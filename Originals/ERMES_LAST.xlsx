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6ead93072cd59127/Osservatorio Tecnologie Emergenti/"/>
    </mc:Choice>
  </mc:AlternateContent>
  <xr:revisionPtr revIDLastSave="39" documentId="13_ncr:1_{DA0F96C5-0D89-44D1-95AA-DA09940D21CF}" xr6:coauthVersionLast="47" xr6:coauthVersionMax="47" xr10:uidLastSave="{8CAD5218-0655-4875-9F5C-8E7A826569DF}"/>
  <bookViews>
    <workbookView xWindow="57480" yWindow="-120" windowWidth="29040" windowHeight="15720" tabRatio="955" firstSheet="21" activeTab="2" xr2:uid="{00000000-000D-0000-FFFF-FFFF00000000}"/>
  </bookViews>
  <sheets>
    <sheet name="00_Executive" sheetId="1" r:id="rId1"/>
    <sheet name="00_Dashboard" sheetId="2" r:id="rId2"/>
    <sheet name="00_Scorecard" sheetId="3" r:id="rId3"/>
    <sheet name="00_Portafoglio_Tecnologie" sheetId="4" r:id="rId4"/>
    <sheet name="00_Guida" sheetId="5" r:id="rId5"/>
    <sheet name="01_Liste" sheetId="6" r:id="rId6"/>
    <sheet name="02_Fonti" sheetId="7" r:id="rId7"/>
    <sheet name="03_Tecnologie" sheetId="8" r:id="rId8"/>
    <sheet name="04_Componenti" sheetId="9" r:id="rId9"/>
    <sheet name="05_Descrizione" sheetId="10" r:id="rId10"/>
    <sheet name="06_Avanzamento" sheetId="11" r:id="rId11"/>
    <sheet name="07_TRL_TLR" sheetId="12" r:id="rId12"/>
    <sheet name="08_Costi_Compet" sheetId="13" r:id="rId13"/>
    <sheet name="09_Settori_Impatto" sheetId="14" r:id="rId14"/>
    <sheet name="10_Sostenibilita" sheetId="16" r:id="rId15"/>
    <sheet name="11_Best_Practice" sheetId="17" r:id="rId16"/>
    <sheet name="12_Policy_Regolazione" sheetId="18" r:id="rId17"/>
    <sheet name="13_Barriere_Opp" sheetId="19" r:id="rId18"/>
    <sheet name="14_Attori_Imprese" sheetId="20" r:id="rId19"/>
    <sheet name="15_Prestazioni" sheetId="21" r:id="rId20"/>
    <sheet name="16_Mercati_Riferimento" sheetId="15" r:id="rId21"/>
    <sheet name="17_Log_Aggiornamenti" sheetId="22" r:id="rId22"/>
    <sheet name="99_Helper_Dashboard" sheetId="23" r:id="rId23"/>
    <sheet name="99_Exec_Helper" sheetId="24" state="hidden" r:id="rId24"/>
  </sheets>
  <definedNames>
    <definedName name="_xlnm._FilterDatabase" localSheetId="10" hidden="1">'06_Avanzamento'!$A$3:$M$69</definedName>
    <definedName name="_xlnm._FilterDatabase" localSheetId="14" hidden="1">'10_Sostenibilita'!$A$3:$L$36</definedName>
    <definedName name="AccessoFonte">'01_Liste'!$Q$2:$Q$5</definedName>
    <definedName name="Affidabilita">'01_Liste'!$N$2:$N$6</definedName>
    <definedName name="AzioniLog">'01_Liste'!$R$2:$R$6</definedName>
    <definedName name="BarrieraOOpportunita">'01_Liste'!$Z$2:$Z$3</definedName>
    <definedName name="Booleane">'01_Liste'!$T$2:$T$4</definedName>
    <definedName name="CategorieBarriere">'01_Liste'!$H$2:$H$9</definedName>
    <definedName name="EsitoVerifica">'01_Liste'!$AA$2:$AA$4</definedName>
    <definedName name="FaseSviluppo">'01_Liste'!$D$2:$D$8</definedName>
    <definedName name="FrequenzeAgg">'01_Liste'!$P$2:$P$7</definedName>
    <definedName name="Geografie">'01_Liste'!$K$2:$K$8</definedName>
    <definedName name="IntensitaImpatto">'01_Liste'!$W$2:$W$4</definedName>
    <definedName name="KPI_Tecnici">'01_Liste'!$J$2:$J$9</definedName>
    <definedName name="LivelloAnalisi">'01_Liste'!$C$2:$C$4</definedName>
    <definedName name="MacroCategorie">'01_Liste'!$A$2:$A$6</definedName>
    <definedName name="MetricheCosto">'01_Liste'!$E$2:$E$9</definedName>
    <definedName name="Orizzonti">'01_Liste'!$X$2:$X$4</definedName>
    <definedName name="SettoriEconomici">'01_Liste'!$F$2:$F$9</definedName>
    <definedName name="SourceIDs">'02_Fonti'!$A$4:$A$14</definedName>
    <definedName name="StatiPolicy">'01_Liste'!$Y$2:$Y$5</definedName>
    <definedName name="StatoMonitoraggio">'01_Liste'!$B$2:$B$6</definedName>
    <definedName name="TassonomiaUE">'01_Liste'!$O$2:$O$5</definedName>
    <definedName name="TechIDs">'03_Tecnologie'!$A$4:$A$14</definedName>
    <definedName name="TipiAttore">'01_Liste'!$I$2:$I$11</definedName>
    <definedName name="TipiFonte">'01_Liste'!$M$2:$M$9</definedName>
    <definedName name="TipiPolicy">'01_Liste'!$G$2:$G$9</definedName>
    <definedName name="Trend">'01_Liste'!$V$2:$V$5</definedName>
    <definedName name="TRL">'01_Liste'!$S$2:$S$10</definedName>
    <definedName name="Valute">'01_Liste'!$U$2:$U$5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24" l="1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B12" i="23"/>
  <c r="B11" i="23"/>
  <c r="B10" i="23"/>
  <c r="B9" i="23"/>
  <c r="B8" i="23"/>
  <c r="B7" i="23"/>
  <c r="E6" i="23"/>
  <c r="B6" i="23"/>
  <c r="E5" i="23"/>
  <c r="B5" i="23"/>
  <c r="H4" i="23"/>
  <c r="E4" i="23"/>
  <c r="B4" i="23"/>
  <c r="H3" i="23"/>
  <c r="E3" i="23"/>
  <c r="B3" i="23"/>
  <c r="H2" i="23"/>
  <c r="E2" i="23"/>
  <c r="B2" i="2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V207" i="3" s="1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V66" i="3" s="1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G50" i="3" s="1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J13" i="2"/>
  <c r="J10" i="2"/>
  <c r="J5" i="2"/>
  <c r="F5" i="2"/>
  <c r="B5" i="2"/>
  <c r="V248" i="3" l="1"/>
  <c r="R248" i="3"/>
  <c r="S248" i="3"/>
  <c r="U248" i="3"/>
  <c r="T248" i="3"/>
  <c r="Q248" i="3"/>
  <c r="P248" i="3"/>
  <c r="O248" i="3"/>
  <c r="N248" i="3"/>
  <c r="M248" i="3"/>
  <c r="V26" i="3"/>
  <c r="U26" i="3"/>
  <c r="Z18" i="24"/>
  <c r="Y18" i="24"/>
  <c r="L248" i="3"/>
  <c r="K248" i="3"/>
  <c r="J248" i="3"/>
  <c r="I248" i="3"/>
  <c r="H24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R187" i="3"/>
  <c r="V187" i="3"/>
  <c r="U187" i="3"/>
  <c r="T187" i="3"/>
  <c r="S187" i="3"/>
  <c r="V167" i="3"/>
  <c r="U167" i="3"/>
  <c r="T167" i="3"/>
  <c r="S167" i="3"/>
  <c r="R167" i="3"/>
  <c r="Q167" i="3"/>
  <c r="P167" i="3"/>
  <c r="O167" i="3"/>
  <c r="N167" i="3"/>
  <c r="M167" i="3"/>
  <c r="I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E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V86" i="3"/>
  <c r="U86" i="3"/>
  <c r="S86" i="3"/>
  <c r="T86" i="3"/>
  <c r="U66" i="3"/>
  <c r="T66" i="3"/>
  <c r="S66" i="3"/>
  <c r="R66" i="3"/>
  <c r="Q66" i="3"/>
  <c r="P66" i="3"/>
  <c r="O66" i="3"/>
  <c r="N6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X18" i="24"/>
  <c r="B18" i="24"/>
  <c r="C18" i="24"/>
  <c r="D18" i="24"/>
  <c r="E18" i="24"/>
  <c r="F18" i="24"/>
  <c r="G18" i="24"/>
  <c r="H18" i="24"/>
  <c r="I18" i="24"/>
  <c r="J18" i="24"/>
  <c r="K18" i="24"/>
  <c r="L18" i="24"/>
  <c r="M18" i="24"/>
  <c r="N18" i="24"/>
  <c r="O18" i="24"/>
  <c r="P18" i="24"/>
  <c r="Q18" i="24"/>
  <c r="R18" i="24"/>
  <c r="S18" i="24"/>
  <c r="T18" i="24"/>
  <c r="U18" i="24"/>
  <c r="V18" i="24"/>
  <c r="W18" i="24"/>
  <c r="B17" i="24"/>
  <c r="X17" i="24"/>
  <c r="Z17" i="24"/>
  <c r="Y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C16" i="24"/>
  <c r="D16" i="24"/>
  <c r="E16" i="24"/>
  <c r="F16" i="24"/>
  <c r="G16" i="24"/>
  <c r="H16" i="24"/>
  <c r="I16" i="24"/>
  <c r="B16" i="24"/>
  <c r="X16" i="24"/>
  <c r="K16" i="24"/>
  <c r="N16" i="24"/>
  <c r="O16" i="24" s="1"/>
  <c r="L16" i="24"/>
  <c r="P16" i="24"/>
  <c r="Q16" i="24"/>
  <c r="R16" i="24"/>
  <c r="I15" i="24"/>
  <c r="H15" i="24"/>
  <c r="Q15" i="24" s="1"/>
  <c r="G15" i="24"/>
  <c r="P15" i="24" s="1"/>
  <c r="F15" i="24"/>
  <c r="N15" i="24" s="1"/>
  <c r="O15" i="24" s="1"/>
  <c r="E15" i="24"/>
  <c r="L15" i="24" s="1"/>
  <c r="D15" i="24"/>
  <c r="K15" i="24" s="1"/>
  <c r="M15" i="24" s="1"/>
  <c r="C15" i="24"/>
  <c r="B15" i="24"/>
  <c r="F14" i="24"/>
  <c r="N14" i="24" s="1"/>
  <c r="O14" i="24" s="1"/>
  <c r="B14" i="24"/>
  <c r="C14" i="24"/>
  <c r="D14" i="24"/>
  <c r="K14" i="24" s="1"/>
  <c r="E14" i="24"/>
  <c r="L14" i="24" s="1"/>
  <c r="G14" i="24"/>
  <c r="P14" i="24" s="1"/>
  <c r="H14" i="24"/>
  <c r="Q14" i="24" s="1"/>
  <c r="I14" i="24"/>
  <c r="I13" i="24"/>
  <c r="D13" i="24"/>
  <c r="K13" i="24" s="1"/>
  <c r="H13" i="24"/>
  <c r="Q13" i="24" s="1"/>
  <c r="G13" i="24"/>
  <c r="P13" i="24" s="1"/>
  <c r="F13" i="24"/>
  <c r="N13" i="24" s="1"/>
  <c r="O13" i="24" s="1"/>
  <c r="E13" i="24"/>
  <c r="L13" i="24" s="1"/>
  <c r="C13" i="24"/>
  <c r="B13" i="24"/>
  <c r="B12" i="24"/>
  <c r="C12" i="24"/>
  <c r="D12" i="24"/>
  <c r="K12" i="24" s="1"/>
  <c r="E12" i="24"/>
  <c r="F12" i="24"/>
  <c r="G12" i="24"/>
  <c r="P12" i="24" s="1"/>
  <c r="H12" i="24"/>
  <c r="I12" i="24"/>
  <c r="L12" i="24"/>
  <c r="Q12" i="24"/>
  <c r="R12" i="24"/>
  <c r="N12" i="24"/>
  <c r="O12" i="24" s="1"/>
  <c r="X12" i="24"/>
  <c r="I11" i="24"/>
  <c r="H11" i="24"/>
  <c r="Q11" i="24" s="1"/>
  <c r="G11" i="24"/>
  <c r="P11" i="24" s="1"/>
  <c r="F11" i="24"/>
  <c r="N11" i="24" s="1"/>
  <c r="O11" i="24" s="1"/>
  <c r="E11" i="24"/>
  <c r="L11" i="24" s="1"/>
  <c r="D11" i="24"/>
  <c r="K11" i="24" s="1"/>
  <c r="M11" i="24" s="1"/>
  <c r="C11" i="24"/>
  <c r="B11" i="24"/>
  <c r="F10" i="24"/>
  <c r="G10" i="24"/>
  <c r="H10" i="24"/>
  <c r="I10" i="24"/>
  <c r="B10" i="24"/>
  <c r="C10" i="24"/>
  <c r="E10" i="24"/>
  <c r="L10" i="24" s="1"/>
  <c r="N10" i="24"/>
  <c r="O10" i="24" s="1"/>
  <c r="D10" i="24"/>
  <c r="K10" i="24" s="1"/>
  <c r="P10" i="24"/>
  <c r="Q10" i="24"/>
  <c r="R10" i="24"/>
  <c r="X10" i="24"/>
  <c r="I9" i="24"/>
  <c r="H9" i="24"/>
  <c r="Q9" i="24" s="1"/>
  <c r="G9" i="24"/>
  <c r="P9" i="24" s="1"/>
  <c r="F9" i="24"/>
  <c r="N9" i="24" s="1"/>
  <c r="O9" i="24" s="1"/>
  <c r="E9" i="24"/>
  <c r="L9" i="24" s="1"/>
  <c r="D9" i="24"/>
  <c r="K9" i="24" s="1"/>
  <c r="M9" i="24" s="1"/>
  <c r="C9" i="24"/>
  <c r="B9" i="24"/>
  <c r="I8" i="24"/>
  <c r="H8" i="24"/>
  <c r="G8" i="24"/>
  <c r="F8" i="24"/>
  <c r="N8" i="24" s="1"/>
  <c r="O8" i="24" s="1"/>
  <c r="E8" i="24"/>
  <c r="L8" i="24" s="1"/>
  <c r="D8" i="24"/>
  <c r="K8" i="24" s="1"/>
  <c r="C8" i="24"/>
  <c r="B8" i="24"/>
  <c r="X8" i="24"/>
  <c r="R8" i="24"/>
  <c r="Q8" i="24"/>
  <c r="P8" i="24"/>
  <c r="I7" i="24"/>
  <c r="F7" i="24"/>
  <c r="N7" i="24" s="1"/>
  <c r="O7" i="24" s="1"/>
  <c r="C7" i="24"/>
  <c r="H7" i="24"/>
  <c r="Q7" i="24" s="1"/>
  <c r="E7" i="24"/>
  <c r="L7" i="24" s="1"/>
  <c r="D7" i="24"/>
  <c r="K7" i="24" s="1"/>
  <c r="M7" i="24" s="1"/>
  <c r="B7" i="24"/>
  <c r="G7" i="24"/>
  <c r="P7" i="24" s="1"/>
  <c r="C6" i="24"/>
  <c r="H6" i="24"/>
  <c r="Q6" i="24" s="1"/>
  <c r="B6" i="24"/>
  <c r="D6" i="24"/>
  <c r="I6" i="24"/>
  <c r="G6" i="24"/>
  <c r="P6" i="24" s="1"/>
  <c r="F6" i="24"/>
  <c r="N6" i="24" s="1"/>
  <c r="O6" i="24" s="1"/>
  <c r="E6" i="24"/>
  <c r="L6" i="24" s="1"/>
  <c r="K6" i="24"/>
  <c r="H5" i="24"/>
  <c r="Q5" i="24" s="1"/>
  <c r="F5" i="24"/>
  <c r="N5" i="24" s="1"/>
  <c r="O5" i="24" s="1"/>
  <c r="D5" i="24"/>
  <c r="B10" i="1" s="1"/>
  <c r="B5" i="24"/>
  <c r="K5" i="24"/>
  <c r="I5" i="24"/>
  <c r="G5" i="24"/>
  <c r="P5" i="24" s="1"/>
  <c r="E5" i="24"/>
  <c r="L5" i="24" s="1"/>
  <c r="C5" i="24"/>
  <c r="V250" i="3"/>
  <c r="U250" i="3"/>
  <c r="T250" i="3"/>
  <c r="S250" i="3"/>
  <c r="R250" i="3"/>
  <c r="Q250" i="3"/>
  <c r="P250" i="3"/>
  <c r="O250" i="3"/>
  <c r="N250" i="3"/>
  <c r="M250" i="3"/>
  <c r="L250" i="3"/>
  <c r="K250" i="3"/>
  <c r="I250" i="3"/>
  <c r="H250" i="3"/>
  <c r="G250" i="3"/>
  <c r="F250" i="3"/>
  <c r="E250" i="3"/>
  <c r="D250" i="3"/>
  <c r="C250" i="3"/>
  <c r="B250" i="3"/>
  <c r="J250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G249" i="3"/>
  <c r="F249" i="3"/>
  <c r="E249" i="3"/>
  <c r="D249" i="3"/>
  <c r="B249" i="3"/>
  <c r="V249" i="3"/>
  <c r="H249" i="3"/>
  <c r="C249" i="3"/>
  <c r="G248" i="3"/>
  <c r="F248" i="3"/>
  <c r="E248" i="3"/>
  <c r="D248" i="3"/>
  <c r="C248" i="3"/>
  <c r="B248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C228" i="3"/>
  <c r="B228" i="3"/>
  <c r="U227" i="3"/>
  <c r="J227" i="3"/>
  <c r="I227" i="3"/>
  <c r="H227" i="3"/>
  <c r="F227" i="3"/>
  <c r="E227" i="3"/>
  <c r="D227" i="3"/>
  <c r="C227" i="3"/>
  <c r="B227" i="3"/>
  <c r="G227" i="3"/>
  <c r="V227" i="3"/>
  <c r="T227" i="3"/>
  <c r="S227" i="3"/>
  <c r="R227" i="3"/>
  <c r="Q227" i="3"/>
  <c r="P227" i="3"/>
  <c r="O227" i="3"/>
  <c r="N227" i="3"/>
  <c r="M227" i="3"/>
  <c r="L227" i="3"/>
  <c r="K227" i="3"/>
  <c r="S226" i="3"/>
  <c r="R226" i="3"/>
  <c r="P226" i="3"/>
  <c r="O226" i="3"/>
  <c r="N226" i="3"/>
  <c r="M226" i="3"/>
  <c r="L226" i="3"/>
  <c r="K226" i="3"/>
  <c r="G226" i="3"/>
  <c r="F226" i="3"/>
  <c r="E226" i="3"/>
  <c r="D226" i="3"/>
  <c r="Q226" i="3"/>
  <c r="C226" i="3"/>
  <c r="J226" i="3"/>
  <c r="I226" i="3"/>
  <c r="H226" i="3"/>
  <c r="B226" i="3"/>
  <c r="V226" i="3"/>
  <c r="U226" i="3"/>
  <c r="T226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V225" i="3"/>
  <c r="U225" i="3"/>
  <c r="T225" i="3"/>
  <c r="T224" i="3"/>
  <c r="D224" i="3"/>
  <c r="R224" i="3"/>
  <c r="Q224" i="3"/>
  <c r="P224" i="3"/>
  <c r="N224" i="3"/>
  <c r="O224" i="3"/>
  <c r="M224" i="3"/>
  <c r="L224" i="3"/>
  <c r="K224" i="3"/>
  <c r="J224" i="3"/>
  <c r="I224" i="3"/>
  <c r="H224" i="3"/>
  <c r="G224" i="3"/>
  <c r="F224" i="3"/>
  <c r="E224" i="3"/>
  <c r="S224" i="3"/>
  <c r="C224" i="3"/>
  <c r="V224" i="3"/>
  <c r="U224" i="3"/>
  <c r="B224" i="3"/>
  <c r="B223" i="3"/>
  <c r="C223" i="3"/>
  <c r="D223" i="3"/>
  <c r="E223" i="3"/>
  <c r="G223" i="3"/>
  <c r="H223" i="3"/>
  <c r="I223" i="3"/>
  <c r="J223" i="3"/>
  <c r="S223" i="3"/>
  <c r="K223" i="3"/>
  <c r="L223" i="3"/>
  <c r="M223" i="3"/>
  <c r="N223" i="3"/>
  <c r="O223" i="3"/>
  <c r="Q223" i="3"/>
  <c r="R223" i="3"/>
  <c r="P223" i="3"/>
  <c r="F223" i="3"/>
  <c r="V223" i="3"/>
  <c r="U223" i="3"/>
  <c r="T223" i="3"/>
  <c r="I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H222" i="3"/>
  <c r="G222" i="3"/>
  <c r="F222" i="3"/>
  <c r="E222" i="3"/>
  <c r="D222" i="3"/>
  <c r="C222" i="3"/>
  <c r="B222" i="3"/>
  <c r="C221" i="3"/>
  <c r="D221" i="3"/>
  <c r="E221" i="3"/>
  <c r="F221" i="3"/>
  <c r="G221" i="3"/>
  <c r="I221" i="3"/>
  <c r="J221" i="3"/>
  <c r="K221" i="3"/>
  <c r="L221" i="3"/>
  <c r="M221" i="3"/>
  <c r="R221" i="3"/>
  <c r="N221" i="3"/>
  <c r="O221" i="3"/>
  <c r="P221" i="3"/>
  <c r="Q221" i="3"/>
  <c r="H221" i="3"/>
  <c r="S221" i="3"/>
  <c r="B221" i="3"/>
  <c r="V221" i="3"/>
  <c r="U221" i="3"/>
  <c r="T221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V220" i="3"/>
  <c r="U220" i="3"/>
  <c r="T220" i="3"/>
  <c r="S219" i="3"/>
  <c r="J219" i="3"/>
  <c r="R219" i="3"/>
  <c r="Q219" i="3"/>
  <c r="P219" i="3"/>
  <c r="O219" i="3"/>
  <c r="N219" i="3"/>
  <c r="I219" i="3"/>
  <c r="M219" i="3"/>
  <c r="L219" i="3"/>
  <c r="K219" i="3"/>
  <c r="B219" i="3"/>
  <c r="C219" i="3"/>
  <c r="D219" i="3"/>
  <c r="E219" i="3"/>
  <c r="F219" i="3"/>
  <c r="G219" i="3"/>
  <c r="H219" i="3"/>
  <c r="V219" i="3"/>
  <c r="U219" i="3"/>
  <c r="T219" i="3"/>
  <c r="K218" i="3"/>
  <c r="J218" i="3"/>
  <c r="I218" i="3"/>
  <c r="H218" i="3"/>
  <c r="G218" i="3"/>
  <c r="E218" i="3"/>
  <c r="D218" i="3"/>
  <c r="C218" i="3"/>
  <c r="B218" i="3"/>
  <c r="N218" i="3"/>
  <c r="F218" i="3"/>
  <c r="V218" i="3"/>
  <c r="U218" i="3"/>
  <c r="T218" i="3"/>
  <c r="S218" i="3"/>
  <c r="R218" i="3"/>
  <c r="Q218" i="3"/>
  <c r="P218" i="3"/>
  <c r="O218" i="3"/>
  <c r="M218" i="3"/>
  <c r="L218" i="3"/>
  <c r="S217" i="3"/>
  <c r="R217" i="3"/>
  <c r="Q217" i="3"/>
  <c r="P217" i="3"/>
  <c r="O217" i="3"/>
  <c r="N217" i="3"/>
  <c r="L217" i="3"/>
  <c r="K217" i="3"/>
  <c r="J217" i="3"/>
  <c r="G217" i="3"/>
  <c r="H217" i="3"/>
  <c r="I217" i="3"/>
  <c r="C217" i="3"/>
  <c r="M217" i="3"/>
  <c r="B217" i="3"/>
  <c r="D217" i="3"/>
  <c r="E217" i="3"/>
  <c r="F217" i="3"/>
  <c r="V217" i="3"/>
  <c r="U217" i="3"/>
  <c r="T217" i="3"/>
  <c r="S216" i="3"/>
  <c r="R216" i="3"/>
  <c r="Q216" i="3"/>
  <c r="P216" i="3"/>
  <c r="O216" i="3"/>
  <c r="N216" i="3"/>
  <c r="M216" i="3"/>
  <c r="L216" i="3"/>
  <c r="K216" i="3"/>
  <c r="J216" i="3"/>
  <c r="H216" i="3"/>
  <c r="G216" i="3"/>
  <c r="F216" i="3"/>
  <c r="E216" i="3"/>
  <c r="D216" i="3"/>
  <c r="C216" i="3"/>
  <c r="B216" i="3"/>
  <c r="I216" i="3"/>
  <c r="V216" i="3"/>
  <c r="U216" i="3"/>
  <c r="T216" i="3"/>
  <c r="D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C215" i="3"/>
  <c r="S215" i="3"/>
  <c r="T215" i="3"/>
  <c r="V215" i="3"/>
  <c r="U215" i="3"/>
  <c r="B215" i="3"/>
  <c r="B214" i="3"/>
  <c r="C214" i="3"/>
  <c r="D214" i="3"/>
  <c r="E214" i="3"/>
  <c r="F214" i="3"/>
  <c r="H214" i="3"/>
  <c r="I214" i="3"/>
  <c r="J214" i="3"/>
  <c r="K214" i="3"/>
  <c r="S214" i="3"/>
  <c r="L214" i="3"/>
  <c r="M214" i="3"/>
  <c r="N214" i="3"/>
  <c r="O214" i="3"/>
  <c r="P214" i="3"/>
  <c r="R214" i="3"/>
  <c r="Q214" i="3"/>
  <c r="G214" i="3"/>
  <c r="V214" i="3"/>
  <c r="U214" i="3"/>
  <c r="T214" i="3"/>
  <c r="I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H213" i="3"/>
  <c r="G213" i="3"/>
  <c r="F213" i="3"/>
  <c r="E213" i="3"/>
  <c r="D213" i="3"/>
  <c r="C213" i="3"/>
  <c r="B213" i="3"/>
  <c r="E212" i="3"/>
  <c r="F212" i="3"/>
  <c r="G212" i="3"/>
  <c r="H212" i="3"/>
  <c r="J212" i="3"/>
  <c r="B212" i="3"/>
  <c r="L212" i="3"/>
  <c r="M212" i="3"/>
  <c r="N212" i="3"/>
  <c r="O212" i="3"/>
  <c r="I212" i="3"/>
  <c r="P212" i="3"/>
  <c r="Q212" i="3"/>
  <c r="R212" i="3"/>
  <c r="S212" i="3"/>
  <c r="K212" i="3"/>
  <c r="C212" i="3"/>
  <c r="D212" i="3"/>
  <c r="V212" i="3"/>
  <c r="U212" i="3"/>
  <c r="T212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V211" i="3"/>
  <c r="U211" i="3"/>
  <c r="T211" i="3"/>
  <c r="Q210" i="3"/>
  <c r="S210" i="3"/>
  <c r="R210" i="3"/>
  <c r="J210" i="3"/>
  <c r="P210" i="3"/>
  <c r="O210" i="3"/>
  <c r="N210" i="3"/>
  <c r="I210" i="3"/>
  <c r="M210" i="3"/>
  <c r="L210" i="3"/>
  <c r="K210" i="3"/>
  <c r="B210" i="3"/>
  <c r="C210" i="3"/>
  <c r="D210" i="3"/>
  <c r="E210" i="3"/>
  <c r="F210" i="3"/>
  <c r="G210" i="3"/>
  <c r="H210" i="3"/>
  <c r="V210" i="3"/>
  <c r="U210" i="3"/>
  <c r="T210" i="3"/>
  <c r="K209" i="3"/>
  <c r="J209" i="3"/>
  <c r="I209" i="3"/>
  <c r="H209" i="3"/>
  <c r="G209" i="3"/>
  <c r="E209" i="3"/>
  <c r="D209" i="3"/>
  <c r="C209" i="3"/>
  <c r="B209" i="3"/>
  <c r="O209" i="3"/>
  <c r="F209" i="3"/>
  <c r="V209" i="3"/>
  <c r="U209" i="3"/>
  <c r="T209" i="3"/>
  <c r="S209" i="3"/>
  <c r="R209" i="3"/>
  <c r="Q209" i="3"/>
  <c r="P209" i="3"/>
  <c r="N209" i="3"/>
  <c r="M209" i="3"/>
  <c r="L209" i="3"/>
  <c r="S208" i="3"/>
  <c r="R208" i="3"/>
  <c r="Q208" i="3"/>
  <c r="P208" i="3"/>
  <c r="O208" i="3"/>
  <c r="N208" i="3"/>
  <c r="L208" i="3"/>
  <c r="K208" i="3"/>
  <c r="J208" i="3"/>
  <c r="G208" i="3"/>
  <c r="H208" i="3"/>
  <c r="I208" i="3"/>
  <c r="B208" i="3"/>
  <c r="M208" i="3"/>
  <c r="C208" i="3"/>
  <c r="D208" i="3"/>
  <c r="E208" i="3"/>
  <c r="F208" i="3"/>
  <c r="V208" i="3"/>
  <c r="U208" i="3"/>
  <c r="T208" i="3"/>
  <c r="M207" i="3"/>
  <c r="L207" i="3"/>
  <c r="K207" i="3"/>
  <c r="J207" i="3"/>
  <c r="I207" i="3"/>
  <c r="H207" i="3"/>
  <c r="G207" i="3"/>
  <c r="F207" i="3"/>
  <c r="D207" i="3"/>
  <c r="C207" i="3"/>
  <c r="B207" i="3"/>
  <c r="E207" i="3"/>
  <c r="U207" i="3"/>
  <c r="T207" i="3"/>
  <c r="S207" i="3"/>
  <c r="R207" i="3"/>
  <c r="Q207" i="3"/>
  <c r="P207" i="3"/>
  <c r="O207" i="3"/>
  <c r="N207" i="3"/>
  <c r="R206" i="3"/>
  <c r="Q206" i="3"/>
  <c r="P206" i="3"/>
  <c r="O206" i="3"/>
  <c r="N206" i="3"/>
  <c r="M206" i="3"/>
  <c r="L206" i="3"/>
  <c r="K206" i="3"/>
  <c r="J206" i="3"/>
  <c r="S206" i="3"/>
  <c r="C206" i="3"/>
  <c r="F206" i="3"/>
  <c r="B206" i="3"/>
  <c r="H206" i="3"/>
  <c r="D206" i="3"/>
  <c r="E206" i="3"/>
  <c r="I206" i="3"/>
  <c r="G206" i="3"/>
  <c r="V206" i="3"/>
  <c r="U206" i="3"/>
  <c r="T206" i="3"/>
  <c r="B205" i="3"/>
  <c r="C205" i="3"/>
  <c r="D205" i="3"/>
  <c r="E205" i="3"/>
  <c r="F205" i="3"/>
  <c r="G205" i="3"/>
  <c r="H205" i="3"/>
  <c r="I205" i="3"/>
  <c r="J205" i="3"/>
  <c r="K205" i="3"/>
  <c r="N205" i="3"/>
  <c r="V205" i="3"/>
  <c r="O205" i="3"/>
  <c r="P205" i="3"/>
  <c r="Q205" i="3"/>
  <c r="L205" i="3"/>
  <c r="R205" i="3"/>
  <c r="S205" i="3"/>
  <c r="T205" i="3"/>
  <c r="M205" i="3"/>
  <c r="U205" i="3"/>
  <c r="J204" i="3"/>
  <c r="I204" i="3"/>
  <c r="H204" i="3"/>
  <c r="G204" i="3"/>
  <c r="F204" i="3"/>
  <c r="E204" i="3"/>
  <c r="D204" i="3"/>
  <c r="C204" i="3"/>
  <c r="B204" i="3"/>
  <c r="V204" i="3"/>
  <c r="K204" i="3"/>
  <c r="U204" i="3"/>
  <c r="T204" i="3"/>
  <c r="S204" i="3"/>
  <c r="R204" i="3"/>
  <c r="Q204" i="3"/>
  <c r="P204" i="3"/>
  <c r="O204" i="3"/>
  <c r="N204" i="3"/>
  <c r="M204" i="3"/>
  <c r="L204" i="3"/>
  <c r="Q203" i="3"/>
  <c r="P203" i="3"/>
  <c r="O203" i="3"/>
  <c r="N203" i="3"/>
  <c r="M203" i="3"/>
  <c r="L203" i="3"/>
  <c r="K203" i="3"/>
  <c r="J203" i="3"/>
  <c r="I203" i="3"/>
  <c r="H203" i="3"/>
  <c r="R203" i="3"/>
  <c r="B203" i="3"/>
  <c r="C203" i="3"/>
  <c r="E203" i="3"/>
  <c r="F203" i="3"/>
  <c r="G203" i="3"/>
  <c r="S203" i="3"/>
  <c r="D203" i="3"/>
  <c r="V203" i="3"/>
  <c r="U203" i="3"/>
  <c r="T203" i="3"/>
  <c r="I202" i="3"/>
  <c r="V202" i="3"/>
  <c r="E202" i="3"/>
  <c r="F202" i="3"/>
  <c r="G202" i="3"/>
  <c r="K202" i="3"/>
  <c r="L202" i="3"/>
  <c r="B202" i="3"/>
  <c r="M202" i="3"/>
  <c r="N202" i="3"/>
  <c r="O202" i="3"/>
  <c r="P202" i="3"/>
  <c r="Q202" i="3"/>
  <c r="R202" i="3"/>
  <c r="S202" i="3"/>
  <c r="T202" i="3"/>
  <c r="U202" i="3"/>
  <c r="H202" i="3"/>
  <c r="C202" i="3"/>
  <c r="D202" i="3"/>
  <c r="J202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V201" i="3"/>
  <c r="U201" i="3"/>
  <c r="T201" i="3"/>
  <c r="S201" i="3"/>
  <c r="F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S200" i="3"/>
  <c r="E200" i="3"/>
  <c r="D200" i="3"/>
  <c r="C200" i="3"/>
  <c r="B200" i="3"/>
  <c r="V200" i="3"/>
  <c r="U200" i="3"/>
  <c r="T200" i="3"/>
  <c r="C199" i="3"/>
  <c r="B199" i="3"/>
  <c r="V199" i="3"/>
  <c r="U199" i="3"/>
  <c r="T199" i="3"/>
  <c r="O199" i="3"/>
  <c r="N199" i="3"/>
  <c r="M199" i="3"/>
  <c r="L199" i="3"/>
  <c r="K199" i="3"/>
  <c r="S199" i="3"/>
  <c r="I199" i="3"/>
  <c r="H199" i="3"/>
  <c r="G199" i="3"/>
  <c r="F199" i="3"/>
  <c r="J199" i="3"/>
  <c r="D199" i="3"/>
  <c r="R199" i="3"/>
  <c r="Q199" i="3"/>
  <c r="P199" i="3"/>
  <c r="E199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V198" i="3"/>
  <c r="U198" i="3"/>
  <c r="T198" i="3"/>
  <c r="S198" i="3"/>
  <c r="R197" i="3"/>
  <c r="Q197" i="3"/>
  <c r="P197" i="3"/>
  <c r="G197" i="3"/>
  <c r="N197" i="3"/>
  <c r="M197" i="3"/>
  <c r="L197" i="3"/>
  <c r="K197" i="3"/>
  <c r="J197" i="3"/>
  <c r="I197" i="3"/>
  <c r="S197" i="3"/>
  <c r="F197" i="3"/>
  <c r="B197" i="3"/>
  <c r="H197" i="3"/>
  <c r="C197" i="3"/>
  <c r="D197" i="3"/>
  <c r="E197" i="3"/>
  <c r="O197" i="3"/>
  <c r="V197" i="3"/>
  <c r="U197" i="3"/>
  <c r="T197" i="3"/>
  <c r="B196" i="3"/>
  <c r="C196" i="3"/>
  <c r="D196" i="3"/>
  <c r="E196" i="3"/>
  <c r="F196" i="3"/>
  <c r="G196" i="3"/>
  <c r="H196" i="3"/>
  <c r="I196" i="3"/>
  <c r="J196" i="3"/>
  <c r="K196" i="3"/>
  <c r="M196" i="3"/>
  <c r="N196" i="3"/>
  <c r="O196" i="3"/>
  <c r="P196" i="3"/>
  <c r="Q196" i="3"/>
  <c r="L196" i="3"/>
  <c r="R196" i="3"/>
  <c r="S196" i="3"/>
  <c r="T196" i="3"/>
  <c r="U196" i="3"/>
  <c r="V196" i="3"/>
  <c r="L195" i="3"/>
  <c r="J195" i="3"/>
  <c r="I195" i="3"/>
  <c r="H195" i="3"/>
  <c r="G195" i="3"/>
  <c r="F195" i="3"/>
  <c r="E195" i="3"/>
  <c r="D195" i="3"/>
  <c r="C195" i="3"/>
  <c r="B195" i="3"/>
  <c r="K195" i="3"/>
  <c r="V195" i="3"/>
  <c r="U195" i="3"/>
  <c r="T195" i="3"/>
  <c r="S195" i="3"/>
  <c r="R195" i="3"/>
  <c r="Q195" i="3"/>
  <c r="P195" i="3"/>
  <c r="O195" i="3"/>
  <c r="N195" i="3"/>
  <c r="M195" i="3"/>
  <c r="R194" i="3"/>
  <c r="Q194" i="3"/>
  <c r="P194" i="3"/>
  <c r="O194" i="3"/>
  <c r="N194" i="3"/>
  <c r="M194" i="3"/>
  <c r="L194" i="3"/>
  <c r="K194" i="3"/>
  <c r="J194" i="3"/>
  <c r="I194" i="3"/>
  <c r="H194" i="3"/>
  <c r="B194" i="3"/>
  <c r="C194" i="3"/>
  <c r="D194" i="3"/>
  <c r="F194" i="3"/>
  <c r="G194" i="3"/>
  <c r="E194" i="3"/>
  <c r="S194" i="3"/>
  <c r="V194" i="3"/>
  <c r="U194" i="3"/>
  <c r="T194" i="3"/>
  <c r="E193" i="3"/>
  <c r="F193" i="3"/>
  <c r="G193" i="3"/>
  <c r="H193" i="3"/>
  <c r="I193" i="3"/>
  <c r="J193" i="3"/>
  <c r="K193" i="3"/>
  <c r="V193" i="3"/>
  <c r="L193" i="3"/>
  <c r="M193" i="3"/>
  <c r="B193" i="3"/>
  <c r="O193" i="3"/>
  <c r="P193" i="3"/>
  <c r="Q193" i="3"/>
  <c r="R193" i="3"/>
  <c r="N193" i="3"/>
  <c r="U193" i="3"/>
  <c r="S193" i="3"/>
  <c r="C193" i="3"/>
  <c r="D193" i="3"/>
  <c r="T193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V192" i="3"/>
  <c r="U192" i="3"/>
  <c r="T192" i="3"/>
  <c r="S192" i="3"/>
  <c r="N191" i="3"/>
  <c r="R191" i="3"/>
  <c r="Q191" i="3"/>
  <c r="P191" i="3"/>
  <c r="O191" i="3"/>
  <c r="I191" i="3"/>
  <c r="M191" i="3"/>
  <c r="L191" i="3"/>
  <c r="K191" i="3"/>
  <c r="J191" i="3"/>
  <c r="S191" i="3"/>
  <c r="H191" i="3"/>
  <c r="G191" i="3"/>
  <c r="F191" i="3"/>
  <c r="E191" i="3"/>
  <c r="B191" i="3"/>
  <c r="D191" i="3"/>
  <c r="C191" i="3"/>
  <c r="V191" i="3"/>
  <c r="U191" i="3"/>
  <c r="T191" i="3"/>
  <c r="U190" i="3"/>
  <c r="F190" i="3"/>
  <c r="B190" i="3"/>
  <c r="C190" i="3"/>
  <c r="D190" i="3"/>
  <c r="K190" i="3"/>
  <c r="L190" i="3"/>
  <c r="M190" i="3"/>
  <c r="N190" i="3"/>
  <c r="O190" i="3"/>
  <c r="G190" i="3"/>
  <c r="Q190" i="3"/>
  <c r="R190" i="3"/>
  <c r="S190" i="3"/>
  <c r="T190" i="3"/>
  <c r="E190" i="3"/>
  <c r="V190" i="3"/>
  <c r="H190" i="3"/>
  <c r="I190" i="3"/>
  <c r="J190" i="3"/>
  <c r="P190" i="3"/>
  <c r="C189" i="3"/>
  <c r="T189" i="3"/>
  <c r="S189" i="3"/>
  <c r="R189" i="3"/>
  <c r="Q189" i="3"/>
  <c r="P189" i="3"/>
  <c r="O189" i="3"/>
  <c r="N189" i="3"/>
  <c r="L189" i="3"/>
  <c r="K189" i="3"/>
  <c r="I189" i="3"/>
  <c r="G189" i="3"/>
  <c r="E189" i="3"/>
  <c r="D189" i="3"/>
  <c r="F189" i="3"/>
  <c r="B189" i="3"/>
  <c r="M189" i="3"/>
  <c r="J189" i="3"/>
  <c r="H189" i="3"/>
  <c r="V189" i="3"/>
  <c r="U189" i="3"/>
  <c r="V188" i="3"/>
  <c r="T188" i="3"/>
  <c r="P188" i="3"/>
  <c r="N188" i="3"/>
  <c r="I188" i="3"/>
  <c r="F188" i="3"/>
  <c r="B188" i="3"/>
  <c r="Q188" i="3"/>
  <c r="R188" i="3"/>
  <c r="H188" i="3"/>
  <c r="O188" i="3"/>
  <c r="L188" i="3"/>
  <c r="J188" i="3"/>
  <c r="M188" i="3"/>
  <c r="D188" i="3"/>
  <c r="S188" i="3"/>
  <c r="U188" i="3"/>
  <c r="C188" i="3"/>
  <c r="E188" i="3"/>
  <c r="G188" i="3"/>
  <c r="K188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O186" i="3"/>
  <c r="U186" i="3"/>
  <c r="V186" i="3"/>
  <c r="E186" i="3"/>
  <c r="F186" i="3"/>
  <c r="G186" i="3"/>
  <c r="H186" i="3"/>
  <c r="I186" i="3"/>
  <c r="D186" i="3"/>
  <c r="T186" i="3"/>
  <c r="S186" i="3"/>
  <c r="R186" i="3"/>
  <c r="Q186" i="3"/>
  <c r="P186" i="3"/>
  <c r="N186" i="3"/>
  <c r="M186" i="3"/>
  <c r="L186" i="3"/>
  <c r="K186" i="3"/>
  <c r="J186" i="3"/>
  <c r="C186" i="3"/>
  <c r="B186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M179" i="3"/>
  <c r="V179" i="3"/>
  <c r="U179" i="3"/>
  <c r="T179" i="3"/>
  <c r="S179" i="3"/>
  <c r="R179" i="3"/>
  <c r="Q179" i="3"/>
  <c r="P179" i="3"/>
  <c r="O179" i="3"/>
  <c r="N179" i="3"/>
  <c r="L179" i="3"/>
  <c r="K179" i="3"/>
  <c r="J179" i="3"/>
  <c r="I179" i="3"/>
  <c r="H179" i="3"/>
  <c r="G179" i="3"/>
  <c r="F179" i="3"/>
  <c r="E179" i="3"/>
  <c r="D179" i="3"/>
  <c r="C179" i="3"/>
  <c r="B179" i="3"/>
  <c r="R178" i="3"/>
  <c r="K178" i="3"/>
  <c r="S178" i="3"/>
  <c r="T178" i="3"/>
  <c r="U178" i="3"/>
  <c r="V178" i="3"/>
  <c r="L178" i="3"/>
  <c r="F178" i="3"/>
  <c r="M178" i="3"/>
  <c r="N178" i="3"/>
  <c r="O178" i="3"/>
  <c r="P178" i="3"/>
  <c r="Q178" i="3"/>
  <c r="J178" i="3"/>
  <c r="I178" i="3"/>
  <c r="H178" i="3"/>
  <c r="G178" i="3"/>
  <c r="E178" i="3"/>
  <c r="D178" i="3"/>
  <c r="C178" i="3"/>
  <c r="B178" i="3"/>
  <c r="K177" i="3"/>
  <c r="J177" i="3"/>
  <c r="I177" i="3"/>
  <c r="H177" i="3"/>
  <c r="G177" i="3"/>
  <c r="E177" i="3"/>
  <c r="D177" i="3"/>
  <c r="C177" i="3"/>
  <c r="B177" i="3"/>
  <c r="V177" i="3"/>
  <c r="F177" i="3"/>
  <c r="M177" i="3"/>
  <c r="S177" i="3"/>
  <c r="R177" i="3"/>
  <c r="Q177" i="3"/>
  <c r="P177" i="3"/>
  <c r="O177" i="3"/>
  <c r="N177" i="3"/>
  <c r="L177" i="3"/>
  <c r="U177" i="3"/>
  <c r="T177" i="3"/>
  <c r="O176" i="3"/>
  <c r="P176" i="3"/>
  <c r="Q176" i="3"/>
  <c r="R176" i="3"/>
  <c r="S176" i="3"/>
  <c r="T176" i="3"/>
  <c r="U176" i="3"/>
  <c r="V176" i="3"/>
  <c r="B176" i="3"/>
  <c r="J176" i="3"/>
  <c r="I176" i="3"/>
  <c r="H176" i="3"/>
  <c r="G176" i="3"/>
  <c r="K176" i="3"/>
  <c r="F176" i="3"/>
  <c r="E176" i="3"/>
  <c r="D176" i="3"/>
  <c r="L176" i="3"/>
  <c r="C176" i="3"/>
  <c r="M176" i="3"/>
  <c r="N176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V175" i="3"/>
  <c r="U175" i="3"/>
  <c r="T175" i="3"/>
  <c r="G174" i="3"/>
  <c r="U174" i="3"/>
  <c r="T174" i="3"/>
  <c r="B174" i="3"/>
  <c r="C174" i="3"/>
  <c r="D174" i="3"/>
  <c r="E174" i="3"/>
  <c r="F174" i="3"/>
  <c r="H174" i="3"/>
  <c r="J174" i="3"/>
  <c r="I174" i="3"/>
  <c r="K174" i="3"/>
  <c r="L174" i="3"/>
  <c r="S174" i="3"/>
  <c r="M174" i="3"/>
  <c r="N174" i="3"/>
  <c r="O174" i="3"/>
  <c r="P174" i="3"/>
  <c r="Q174" i="3"/>
  <c r="R174" i="3"/>
  <c r="V174" i="3"/>
  <c r="I173" i="3"/>
  <c r="B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H173" i="3"/>
  <c r="G173" i="3"/>
  <c r="C173" i="3"/>
  <c r="F173" i="3"/>
  <c r="E173" i="3"/>
  <c r="D173" i="3"/>
  <c r="T172" i="3"/>
  <c r="Q172" i="3"/>
  <c r="O172" i="3"/>
  <c r="N172" i="3"/>
  <c r="M172" i="3"/>
  <c r="R172" i="3"/>
  <c r="P172" i="3"/>
  <c r="L172" i="3"/>
  <c r="V172" i="3"/>
  <c r="K172" i="3"/>
  <c r="J172" i="3"/>
  <c r="D172" i="3"/>
  <c r="I172" i="3"/>
  <c r="H172" i="3"/>
  <c r="G172" i="3"/>
  <c r="B172" i="3"/>
  <c r="C172" i="3"/>
  <c r="U172" i="3"/>
  <c r="E172" i="3"/>
  <c r="F172" i="3"/>
  <c r="S172" i="3"/>
  <c r="G171" i="3"/>
  <c r="H171" i="3"/>
  <c r="I171" i="3"/>
  <c r="J171" i="3"/>
  <c r="K171" i="3"/>
  <c r="M171" i="3"/>
  <c r="N171" i="3"/>
  <c r="O171" i="3"/>
  <c r="Q171" i="3"/>
  <c r="R171" i="3"/>
  <c r="S171" i="3"/>
  <c r="T171" i="3"/>
  <c r="U171" i="3"/>
  <c r="V171" i="3"/>
  <c r="P171" i="3"/>
  <c r="L171" i="3"/>
  <c r="F171" i="3"/>
  <c r="E171" i="3"/>
  <c r="D171" i="3"/>
  <c r="C171" i="3"/>
  <c r="B171" i="3"/>
  <c r="G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F170" i="3"/>
  <c r="E170" i="3"/>
  <c r="D170" i="3"/>
  <c r="C170" i="3"/>
  <c r="B170" i="3"/>
  <c r="G169" i="3"/>
  <c r="Q169" i="3"/>
  <c r="R169" i="3"/>
  <c r="S169" i="3"/>
  <c r="H169" i="3"/>
  <c r="T169" i="3"/>
  <c r="O169" i="3"/>
  <c r="B169" i="3"/>
  <c r="C169" i="3"/>
  <c r="D169" i="3"/>
  <c r="E169" i="3"/>
  <c r="F169" i="3"/>
  <c r="U169" i="3"/>
  <c r="M169" i="3"/>
  <c r="V169" i="3"/>
  <c r="N169" i="3"/>
  <c r="P169" i="3"/>
  <c r="L169" i="3"/>
  <c r="K169" i="3"/>
  <c r="J169" i="3"/>
  <c r="I169" i="3"/>
  <c r="U168" i="3"/>
  <c r="V168" i="3"/>
  <c r="J168" i="3"/>
  <c r="C168" i="3"/>
  <c r="B168" i="3"/>
  <c r="P168" i="3"/>
  <c r="D168" i="3"/>
  <c r="E168" i="3"/>
  <c r="F168" i="3"/>
  <c r="G168" i="3"/>
  <c r="H168" i="3"/>
  <c r="K168" i="3"/>
  <c r="L168" i="3"/>
  <c r="M168" i="3"/>
  <c r="N168" i="3"/>
  <c r="O168" i="3"/>
  <c r="I168" i="3"/>
  <c r="Q168" i="3"/>
  <c r="R168" i="3"/>
  <c r="S168" i="3"/>
  <c r="T168" i="3"/>
  <c r="K167" i="3"/>
  <c r="L167" i="3"/>
  <c r="B167" i="3"/>
  <c r="C167" i="3"/>
  <c r="E167" i="3"/>
  <c r="F167" i="3"/>
  <c r="D167" i="3"/>
  <c r="J167" i="3"/>
  <c r="G167" i="3"/>
  <c r="H167" i="3"/>
  <c r="I167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R166" i="3"/>
  <c r="V166" i="3"/>
  <c r="U166" i="3"/>
  <c r="T166" i="3"/>
  <c r="S166" i="3"/>
  <c r="Q166" i="3"/>
  <c r="C165" i="3"/>
  <c r="L165" i="3"/>
  <c r="K165" i="3"/>
  <c r="J165" i="3"/>
  <c r="I165" i="3"/>
  <c r="H165" i="3"/>
  <c r="F165" i="3"/>
  <c r="M165" i="3"/>
  <c r="G165" i="3"/>
  <c r="D165" i="3"/>
  <c r="E165" i="3"/>
  <c r="B165" i="3"/>
  <c r="N165" i="3"/>
  <c r="O165" i="3"/>
  <c r="P165" i="3"/>
  <c r="Q165" i="3"/>
  <c r="R165" i="3"/>
  <c r="S165" i="3"/>
  <c r="T165" i="3"/>
  <c r="U165" i="3"/>
  <c r="V165" i="3"/>
  <c r="L164" i="3"/>
  <c r="M164" i="3"/>
  <c r="P164" i="3"/>
  <c r="N164" i="3"/>
  <c r="O164" i="3"/>
  <c r="Q164" i="3"/>
  <c r="R164" i="3"/>
  <c r="S164" i="3"/>
  <c r="U164" i="3"/>
  <c r="V164" i="3"/>
  <c r="J164" i="3"/>
  <c r="T164" i="3"/>
  <c r="C164" i="3"/>
  <c r="B164" i="3"/>
  <c r="D164" i="3"/>
  <c r="E164" i="3"/>
  <c r="F164" i="3"/>
  <c r="G164" i="3"/>
  <c r="H164" i="3"/>
  <c r="I164" i="3"/>
  <c r="K164" i="3"/>
  <c r="S163" i="3"/>
  <c r="B163" i="3"/>
  <c r="R163" i="3"/>
  <c r="V163" i="3"/>
  <c r="U163" i="3"/>
  <c r="T163" i="3"/>
  <c r="Q163" i="3"/>
  <c r="P163" i="3"/>
  <c r="O163" i="3"/>
  <c r="N163" i="3"/>
  <c r="M163" i="3"/>
  <c r="L163" i="3"/>
  <c r="K163" i="3"/>
  <c r="H163" i="3"/>
  <c r="J163" i="3"/>
  <c r="I163" i="3"/>
  <c r="G163" i="3"/>
  <c r="F163" i="3"/>
  <c r="E163" i="3"/>
  <c r="D163" i="3"/>
  <c r="C163" i="3"/>
  <c r="V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N161" i="3"/>
  <c r="V161" i="3"/>
  <c r="U161" i="3"/>
  <c r="T161" i="3"/>
  <c r="S161" i="3"/>
  <c r="R161" i="3"/>
  <c r="Q161" i="3"/>
  <c r="I161" i="3"/>
  <c r="P161" i="3"/>
  <c r="O161" i="3"/>
  <c r="M161" i="3"/>
  <c r="L161" i="3"/>
  <c r="K161" i="3"/>
  <c r="J161" i="3"/>
  <c r="B161" i="3"/>
  <c r="H161" i="3"/>
  <c r="G161" i="3"/>
  <c r="F161" i="3"/>
  <c r="E161" i="3"/>
  <c r="D161" i="3"/>
  <c r="C161" i="3"/>
  <c r="C160" i="3"/>
  <c r="V160" i="3"/>
  <c r="U160" i="3"/>
  <c r="T160" i="3"/>
  <c r="S160" i="3"/>
  <c r="R160" i="3"/>
  <c r="Q160" i="3"/>
  <c r="B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59" i="3"/>
  <c r="T159" i="3"/>
  <c r="B159" i="3"/>
  <c r="V159" i="3"/>
  <c r="U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M158" i="3"/>
  <c r="V158" i="3"/>
  <c r="U158" i="3"/>
  <c r="T158" i="3"/>
  <c r="S158" i="3"/>
  <c r="R158" i="3"/>
  <c r="Q158" i="3"/>
  <c r="P158" i="3"/>
  <c r="O158" i="3"/>
  <c r="N158" i="3"/>
  <c r="L158" i="3"/>
  <c r="K158" i="3"/>
  <c r="J158" i="3"/>
  <c r="I158" i="3"/>
  <c r="H158" i="3"/>
  <c r="G158" i="3"/>
  <c r="F158" i="3"/>
  <c r="E158" i="3"/>
  <c r="D158" i="3"/>
  <c r="C158" i="3"/>
  <c r="B158" i="3"/>
  <c r="N157" i="3"/>
  <c r="O157" i="3"/>
  <c r="U157" i="3"/>
  <c r="P157" i="3"/>
  <c r="V157" i="3"/>
  <c r="M157" i="3"/>
  <c r="Q157" i="3"/>
  <c r="R157" i="3"/>
  <c r="S157" i="3"/>
  <c r="T157" i="3"/>
  <c r="B157" i="3"/>
  <c r="C157" i="3"/>
  <c r="D157" i="3"/>
  <c r="E157" i="3"/>
  <c r="F157" i="3"/>
  <c r="G157" i="3"/>
  <c r="H157" i="3"/>
  <c r="I157" i="3"/>
  <c r="J157" i="3"/>
  <c r="K157" i="3"/>
  <c r="L157" i="3"/>
  <c r="E156" i="3"/>
  <c r="M156" i="3"/>
  <c r="N156" i="3"/>
  <c r="O156" i="3"/>
  <c r="D156" i="3"/>
  <c r="C156" i="3"/>
  <c r="B156" i="3"/>
  <c r="S156" i="3"/>
  <c r="R156" i="3"/>
  <c r="P156" i="3"/>
  <c r="V156" i="3"/>
  <c r="U156" i="3"/>
  <c r="T156" i="3"/>
  <c r="L156" i="3"/>
  <c r="K156" i="3"/>
  <c r="Q156" i="3"/>
  <c r="J156" i="3"/>
  <c r="I156" i="3"/>
  <c r="H156" i="3"/>
  <c r="G156" i="3"/>
  <c r="F156" i="3"/>
  <c r="K155" i="3"/>
  <c r="L155" i="3"/>
  <c r="D155" i="3"/>
  <c r="V155" i="3"/>
  <c r="U155" i="3"/>
  <c r="T155" i="3"/>
  <c r="I155" i="3"/>
  <c r="H155" i="3"/>
  <c r="G155" i="3"/>
  <c r="F155" i="3"/>
  <c r="E155" i="3"/>
  <c r="P155" i="3"/>
  <c r="B155" i="3"/>
  <c r="C155" i="3"/>
  <c r="N155" i="3"/>
  <c r="O155" i="3"/>
  <c r="M155" i="3"/>
  <c r="S155" i="3"/>
  <c r="R155" i="3"/>
  <c r="Q155" i="3"/>
  <c r="J155" i="3"/>
  <c r="L154" i="3"/>
  <c r="U154" i="3"/>
  <c r="T154" i="3"/>
  <c r="S154" i="3"/>
  <c r="R154" i="3"/>
  <c r="G154" i="3"/>
  <c r="P154" i="3"/>
  <c r="O154" i="3"/>
  <c r="N154" i="3"/>
  <c r="Q154" i="3"/>
  <c r="F154" i="3"/>
  <c r="B154" i="3"/>
  <c r="C154" i="3"/>
  <c r="D154" i="3"/>
  <c r="E154" i="3"/>
  <c r="H154" i="3"/>
  <c r="M154" i="3"/>
  <c r="I154" i="3"/>
  <c r="J154" i="3"/>
  <c r="K154" i="3"/>
  <c r="V154" i="3"/>
  <c r="M153" i="3"/>
  <c r="N153" i="3"/>
  <c r="Q153" i="3"/>
  <c r="T153" i="3"/>
  <c r="U153" i="3"/>
  <c r="V153" i="3"/>
  <c r="S153" i="3"/>
  <c r="R153" i="3"/>
  <c r="P153" i="3"/>
  <c r="O153" i="3"/>
  <c r="L153" i="3"/>
  <c r="K153" i="3"/>
  <c r="J153" i="3"/>
  <c r="I153" i="3"/>
  <c r="H153" i="3"/>
  <c r="G153" i="3"/>
  <c r="F153" i="3"/>
  <c r="E153" i="3"/>
  <c r="D153" i="3"/>
  <c r="C153" i="3"/>
  <c r="B153" i="3"/>
  <c r="S152" i="3"/>
  <c r="R152" i="3"/>
  <c r="Q152" i="3"/>
  <c r="B152" i="3"/>
  <c r="D152" i="3"/>
  <c r="E152" i="3"/>
  <c r="F152" i="3"/>
  <c r="G152" i="3"/>
  <c r="H152" i="3"/>
  <c r="I152" i="3"/>
  <c r="J152" i="3"/>
  <c r="K152" i="3"/>
  <c r="L152" i="3"/>
  <c r="M152" i="3"/>
  <c r="T152" i="3"/>
  <c r="C152" i="3"/>
  <c r="U152" i="3"/>
  <c r="P152" i="3"/>
  <c r="O152" i="3"/>
  <c r="N152" i="3"/>
  <c r="V152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V151" i="3"/>
  <c r="U151" i="3"/>
  <c r="T151" i="3"/>
  <c r="S151" i="3"/>
  <c r="K150" i="3"/>
  <c r="T150" i="3"/>
  <c r="U150" i="3"/>
  <c r="V150" i="3"/>
  <c r="N150" i="3"/>
  <c r="M150" i="3"/>
  <c r="L150" i="3"/>
  <c r="J150" i="3"/>
  <c r="S150" i="3"/>
  <c r="I150" i="3"/>
  <c r="O150" i="3"/>
  <c r="B150" i="3"/>
  <c r="C150" i="3"/>
  <c r="D150" i="3"/>
  <c r="E150" i="3"/>
  <c r="F150" i="3"/>
  <c r="G150" i="3"/>
  <c r="H150" i="3"/>
  <c r="R150" i="3"/>
  <c r="Q150" i="3"/>
  <c r="P150" i="3"/>
  <c r="H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D149" i="3"/>
  <c r="I149" i="3"/>
  <c r="E149" i="3"/>
  <c r="F149" i="3"/>
  <c r="G149" i="3"/>
  <c r="C149" i="3"/>
  <c r="B149" i="3"/>
  <c r="B148" i="3"/>
  <c r="C148" i="3"/>
  <c r="D148" i="3"/>
  <c r="E148" i="3"/>
  <c r="F148" i="3"/>
  <c r="G148" i="3"/>
  <c r="J148" i="3"/>
  <c r="K148" i="3"/>
  <c r="I148" i="3"/>
  <c r="L148" i="3"/>
  <c r="M148" i="3"/>
  <c r="N148" i="3"/>
  <c r="O148" i="3"/>
  <c r="H148" i="3"/>
  <c r="Q148" i="3"/>
  <c r="R148" i="3"/>
  <c r="S148" i="3"/>
  <c r="T148" i="3"/>
  <c r="U148" i="3"/>
  <c r="V148" i="3"/>
  <c r="P148" i="3"/>
  <c r="B147" i="3"/>
  <c r="H147" i="3"/>
  <c r="G147" i="3"/>
  <c r="F147" i="3"/>
  <c r="E147" i="3"/>
  <c r="D147" i="3"/>
  <c r="C147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B146" i="3"/>
  <c r="C146" i="3"/>
  <c r="D146" i="3"/>
  <c r="D145" i="3"/>
  <c r="E145" i="3"/>
  <c r="C145" i="3"/>
  <c r="B145" i="3"/>
  <c r="R145" i="3"/>
  <c r="G145" i="3"/>
  <c r="P145" i="3"/>
  <c r="V145" i="3"/>
  <c r="U145" i="3"/>
  <c r="T145" i="3"/>
  <c r="S145" i="3"/>
  <c r="Q145" i="3"/>
  <c r="O145" i="3"/>
  <c r="N145" i="3"/>
  <c r="M145" i="3"/>
  <c r="L145" i="3"/>
  <c r="K145" i="3"/>
  <c r="J145" i="3"/>
  <c r="I145" i="3"/>
  <c r="H145" i="3"/>
  <c r="F145" i="3"/>
  <c r="L144" i="3"/>
  <c r="Q144" i="3"/>
  <c r="O144" i="3"/>
  <c r="N144" i="3"/>
  <c r="M144" i="3"/>
  <c r="J144" i="3"/>
  <c r="P144" i="3"/>
  <c r="V144" i="3"/>
  <c r="F144" i="3"/>
  <c r="B144" i="3"/>
  <c r="C144" i="3"/>
  <c r="D144" i="3"/>
  <c r="G144" i="3"/>
  <c r="K144" i="3"/>
  <c r="H144" i="3"/>
  <c r="E144" i="3"/>
  <c r="I144" i="3"/>
  <c r="U144" i="3"/>
  <c r="T144" i="3"/>
  <c r="S144" i="3"/>
  <c r="R144" i="3"/>
  <c r="B143" i="3"/>
  <c r="O143" i="3"/>
  <c r="V143" i="3"/>
  <c r="U143" i="3"/>
  <c r="T143" i="3"/>
  <c r="S143" i="3"/>
  <c r="R143" i="3"/>
  <c r="Q143" i="3"/>
  <c r="P143" i="3"/>
  <c r="N143" i="3"/>
  <c r="M143" i="3"/>
  <c r="K143" i="3"/>
  <c r="J143" i="3"/>
  <c r="I143" i="3"/>
  <c r="H143" i="3"/>
  <c r="G143" i="3"/>
  <c r="F143" i="3"/>
  <c r="L143" i="3"/>
  <c r="E143" i="3"/>
  <c r="D143" i="3"/>
  <c r="C143" i="3"/>
  <c r="M142" i="3"/>
  <c r="S142" i="3"/>
  <c r="T142" i="3"/>
  <c r="U142" i="3"/>
  <c r="I142" i="3"/>
  <c r="B142" i="3"/>
  <c r="C142" i="3"/>
  <c r="V142" i="3"/>
  <c r="E142" i="3"/>
  <c r="F142" i="3"/>
  <c r="D142" i="3"/>
  <c r="J142" i="3"/>
  <c r="K142" i="3"/>
  <c r="L142" i="3"/>
  <c r="G142" i="3"/>
  <c r="H142" i="3"/>
  <c r="N142" i="3"/>
  <c r="O142" i="3"/>
  <c r="P142" i="3"/>
  <c r="Q142" i="3"/>
  <c r="R142" i="3"/>
  <c r="B141" i="3"/>
  <c r="V141" i="3"/>
  <c r="U141" i="3"/>
  <c r="M141" i="3"/>
  <c r="T141" i="3"/>
  <c r="S141" i="3"/>
  <c r="R141" i="3"/>
  <c r="Q141" i="3"/>
  <c r="P141" i="3"/>
  <c r="O141" i="3"/>
  <c r="N141" i="3"/>
  <c r="L141" i="3"/>
  <c r="K141" i="3"/>
  <c r="J141" i="3"/>
  <c r="I141" i="3"/>
  <c r="H141" i="3"/>
  <c r="G141" i="3"/>
  <c r="F141" i="3"/>
  <c r="E141" i="3"/>
  <c r="D141" i="3"/>
  <c r="C141" i="3"/>
  <c r="C140" i="3"/>
  <c r="D140" i="3"/>
  <c r="E140" i="3"/>
  <c r="U140" i="3"/>
  <c r="T140" i="3"/>
  <c r="B140" i="3"/>
  <c r="L140" i="3"/>
  <c r="Q140" i="3"/>
  <c r="P140" i="3"/>
  <c r="O140" i="3"/>
  <c r="V140" i="3"/>
  <c r="K140" i="3"/>
  <c r="J140" i="3"/>
  <c r="S140" i="3"/>
  <c r="H140" i="3"/>
  <c r="G140" i="3"/>
  <c r="I140" i="3"/>
  <c r="N140" i="3"/>
  <c r="R140" i="3"/>
  <c r="F140" i="3"/>
  <c r="M140" i="3"/>
  <c r="H139" i="3"/>
  <c r="G139" i="3"/>
  <c r="F139" i="3"/>
  <c r="E139" i="3"/>
  <c r="D139" i="3"/>
  <c r="C139" i="3"/>
  <c r="B139" i="3"/>
  <c r="T139" i="3"/>
  <c r="V139" i="3"/>
  <c r="U139" i="3"/>
  <c r="S139" i="3"/>
  <c r="R139" i="3"/>
  <c r="Q139" i="3"/>
  <c r="P139" i="3"/>
  <c r="O139" i="3"/>
  <c r="N139" i="3"/>
  <c r="M139" i="3"/>
  <c r="L139" i="3"/>
  <c r="K139" i="3"/>
  <c r="J139" i="3"/>
  <c r="I139" i="3"/>
  <c r="E138" i="3"/>
  <c r="F138" i="3"/>
  <c r="G138" i="3"/>
  <c r="H138" i="3"/>
  <c r="I138" i="3"/>
  <c r="K138" i="3"/>
  <c r="V138" i="3"/>
  <c r="U138" i="3"/>
  <c r="T138" i="3"/>
  <c r="S138" i="3"/>
  <c r="O138" i="3"/>
  <c r="R138" i="3"/>
  <c r="Q138" i="3"/>
  <c r="J138" i="3"/>
  <c r="L138" i="3"/>
  <c r="M138" i="3"/>
  <c r="N138" i="3"/>
  <c r="B138" i="3"/>
  <c r="C138" i="3"/>
  <c r="D138" i="3"/>
  <c r="P138" i="3"/>
  <c r="E137" i="3"/>
  <c r="D137" i="3"/>
  <c r="C137" i="3"/>
  <c r="B137" i="3"/>
  <c r="N137" i="3"/>
  <c r="G137" i="3"/>
  <c r="H137" i="3"/>
  <c r="I137" i="3"/>
  <c r="J137" i="3"/>
  <c r="K137" i="3"/>
  <c r="L137" i="3"/>
  <c r="M137" i="3"/>
  <c r="O137" i="3"/>
  <c r="P137" i="3"/>
  <c r="Q137" i="3"/>
  <c r="R137" i="3"/>
  <c r="S137" i="3"/>
  <c r="F137" i="3"/>
  <c r="T137" i="3"/>
  <c r="U137" i="3"/>
  <c r="V137" i="3"/>
  <c r="V136" i="3"/>
  <c r="H136" i="3"/>
  <c r="G136" i="3"/>
  <c r="F136" i="3"/>
  <c r="E136" i="3"/>
  <c r="R136" i="3"/>
  <c r="D136" i="3"/>
  <c r="T136" i="3"/>
  <c r="U136" i="3"/>
  <c r="S136" i="3"/>
  <c r="C136" i="3"/>
  <c r="Q136" i="3"/>
  <c r="P136" i="3"/>
  <c r="O136" i="3"/>
  <c r="N136" i="3"/>
  <c r="B136" i="3"/>
  <c r="M136" i="3"/>
  <c r="L136" i="3"/>
  <c r="K136" i="3"/>
  <c r="J136" i="3"/>
  <c r="I136" i="3"/>
  <c r="E135" i="3"/>
  <c r="C135" i="3"/>
  <c r="D135" i="3"/>
  <c r="F135" i="3"/>
  <c r="H135" i="3"/>
  <c r="G135" i="3"/>
  <c r="B135" i="3"/>
  <c r="U135" i="3"/>
  <c r="T135" i="3"/>
  <c r="S135" i="3"/>
  <c r="R135" i="3"/>
  <c r="Q135" i="3"/>
  <c r="P135" i="3"/>
  <c r="O135" i="3"/>
  <c r="N135" i="3"/>
  <c r="M135" i="3"/>
  <c r="V135" i="3"/>
  <c r="L135" i="3"/>
  <c r="K135" i="3"/>
  <c r="J135" i="3"/>
  <c r="I135" i="3"/>
  <c r="Q134" i="3"/>
  <c r="R134" i="3"/>
  <c r="S134" i="3"/>
  <c r="T134" i="3"/>
  <c r="U134" i="3"/>
  <c r="V134" i="3"/>
  <c r="M134" i="3"/>
  <c r="B134" i="3"/>
  <c r="C134" i="3"/>
  <c r="D134" i="3"/>
  <c r="E134" i="3"/>
  <c r="F134" i="3"/>
  <c r="G134" i="3"/>
  <c r="H134" i="3"/>
  <c r="I134" i="3"/>
  <c r="J134" i="3"/>
  <c r="K134" i="3"/>
  <c r="L134" i="3"/>
  <c r="N134" i="3"/>
  <c r="O134" i="3"/>
  <c r="P134" i="3"/>
  <c r="O133" i="3"/>
  <c r="F133" i="3"/>
  <c r="E133" i="3"/>
  <c r="D133" i="3"/>
  <c r="C133" i="3"/>
  <c r="B133" i="3"/>
  <c r="V133" i="3"/>
  <c r="U133" i="3"/>
  <c r="T133" i="3"/>
  <c r="S133" i="3"/>
  <c r="R133" i="3"/>
  <c r="Q133" i="3"/>
  <c r="P133" i="3"/>
  <c r="K133" i="3"/>
  <c r="N133" i="3"/>
  <c r="M133" i="3"/>
  <c r="L133" i="3"/>
  <c r="J133" i="3"/>
  <c r="I133" i="3"/>
  <c r="H133" i="3"/>
  <c r="G133" i="3"/>
  <c r="H132" i="3"/>
  <c r="J132" i="3"/>
  <c r="F132" i="3"/>
  <c r="G132" i="3"/>
  <c r="E132" i="3"/>
  <c r="D132" i="3"/>
  <c r="V132" i="3"/>
  <c r="U132" i="3"/>
  <c r="T132" i="3"/>
  <c r="S132" i="3"/>
  <c r="R132" i="3"/>
  <c r="Q132" i="3"/>
  <c r="I132" i="3"/>
  <c r="P132" i="3"/>
  <c r="O132" i="3"/>
  <c r="N132" i="3"/>
  <c r="M132" i="3"/>
  <c r="L132" i="3"/>
  <c r="K132" i="3"/>
  <c r="C132" i="3"/>
  <c r="B132" i="3"/>
  <c r="S131" i="3"/>
  <c r="V131" i="3"/>
  <c r="U131" i="3"/>
  <c r="T131" i="3"/>
  <c r="P131" i="3"/>
  <c r="Q131" i="3"/>
  <c r="R131" i="3"/>
  <c r="O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G130" i="3"/>
  <c r="H130" i="3"/>
  <c r="I130" i="3"/>
  <c r="J130" i="3"/>
  <c r="K130" i="3"/>
  <c r="F130" i="3"/>
  <c r="L130" i="3"/>
  <c r="B130" i="3"/>
  <c r="C130" i="3"/>
  <c r="D130" i="3"/>
  <c r="R130" i="3"/>
  <c r="E130" i="3"/>
  <c r="V130" i="3"/>
  <c r="U130" i="3"/>
  <c r="T130" i="3"/>
  <c r="S130" i="3"/>
  <c r="Q130" i="3"/>
  <c r="P130" i="3"/>
  <c r="O130" i="3"/>
  <c r="N130" i="3"/>
  <c r="M130" i="3"/>
  <c r="B129" i="3"/>
  <c r="R129" i="3"/>
  <c r="K129" i="3"/>
  <c r="L129" i="3"/>
  <c r="M129" i="3"/>
  <c r="N129" i="3"/>
  <c r="O129" i="3"/>
  <c r="D129" i="3"/>
  <c r="F129" i="3"/>
  <c r="C129" i="3"/>
  <c r="E129" i="3"/>
  <c r="G129" i="3"/>
  <c r="Q129" i="3"/>
  <c r="I129" i="3"/>
  <c r="H129" i="3"/>
  <c r="P129" i="3"/>
  <c r="V129" i="3"/>
  <c r="U129" i="3"/>
  <c r="T129" i="3"/>
  <c r="S129" i="3"/>
  <c r="J129" i="3"/>
  <c r="E128" i="3"/>
  <c r="C128" i="3"/>
  <c r="B128" i="3"/>
  <c r="R128" i="3"/>
  <c r="P128" i="3"/>
  <c r="O128" i="3"/>
  <c r="N128" i="3"/>
  <c r="L128" i="3"/>
  <c r="J128" i="3"/>
  <c r="H128" i="3"/>
  <c r="F128" i="3"/>
  <c r="D128" i="3"/>
  <c r="V128" i="3"/>
  <c r="U128" i="3"/>
  <c r="T128" i="3"/>
  <c r="S128" i="3"/>
  <c r="Q128" i="3"/>
  <c r="M128" i="3"/>
  <c r="K128" i="3"/>
  <c r="I128" i="3"/>
  <c r="G128" i="3"/>
  <c r="B127" i="3"/>
  <c r="C127" i="3"/>
  <c r="D127" i="3"/>
  <c r="K126" i="3"/>
  <c r="P126" i="3"/>
  <c r="O126" i="3"/>
  <c r="N126" i="3"/>
  <c r="M126" i="3"/>
  <c r="L126" i="3"/>
  <c r="B126" i="3"/>
  <c r="I126" i="3"/>
  <c r="H126" i="3"/>
  <c r="G126" i="3"/>
  <c r="F126" i="3"/>
  <c r="E126" i="3"/>
  <c r="D126" i="3"/>
  <c r="J126" i="3"/>
  <c r="C126" i="3"/>
  <c r="U126" i="3"/>
  <c r="Q126" i="3"/>
  <c r="R126" i="3"/>
  <c r="S126" i="3"/>
  <c r="T126" i="3"/>
  <c r="V126" i="3"/>
  <c r="H125" i="3"/>
  <c r="I125" i="3"/>
  <c r="V125" i="3"/>
  <c r="J125" i="3"/>
  <c r="K125" i="3"/>
  <c r="L125" i="3"/>
  <c r="M125" i="3"/>
  <c r="N125" i="3"/>
  <c r="U125" i="3"/>
  <c r="O125" i="3"/>
  <c r="S125" i="3"/>
  <c r="F125" i="3"/>
  <c r="Q125" i="3"/>
  <c r="B125" i="3"/>
  <c r="T125" i="3"/>
  <c r="P125" i="3"/>
  <c r="D125" i="3"/>
  <c r="E125" i="3"/>
  <c r="R125" i="3"/>
  <c r="G125" i="3"/>
  <c r="C125" i="3"/>
  <c r="M124" i="3"/>
  <c r="N124" i="3"/>
  <c r="O124" i="3"/>
  <c r="P124" i="3"/>
  <c r="Q124" i="3"/>
  <c r="S124" i="3"/>
  <c r="T124" i="3"/>
  <c r="U124" i="3"/>
  <c r="V124" i="3"/>
  <c r="L124" i="3"/>
  <c r="B124" i="3"/>
  <c r="C124" i="3"/>
  <c r="D124" i="3"/>
  <c r="E124" i="3"/>
  <c r="F124" i="3"/>
  <c r="G124" i="3"/>
  <c r="H124" i="3"/>
  <c r="I124" i="3"/>
  <c r="J124" i="3"/>
  <c r="K124" i="3"/>
  <c r="R124" i="3"/>
  <c r="D123" i="3"/>
  <c r="B123" i="3"/>
  <c r="G123" i="3"/>
  <c r="L123" i="3"/>
  <c r="H123" i="3"/>
  <c r="Q123" i="3"/>
  <c r="I123" i="3"/>
  <c r="J123" i="3"/>
  <c r="F123" i="3"/>
  <c r="E123" i="3"/>
  <c r="K123" i="3"/>
  <c r="T123" i="3"/>
  <c r="V123" i="3"/>
  <c r="U123" i="3"/>
  <c r="C123" i="3"/>
  <c r="M123" i="3"/>
  <c r="N123" i="3"/>
  <c r="O123" i="3"/>
  <c r="P123" i="3"/>
  <c r="R123" i="3"/>
  <c r="S123" i="3"/>
  <c r="S122" i="3"/>
  <c r="R122" i="3"/>
  <c r="Q122" i="3"/>
  <c r="P122" i="3"/>
  <c r="N122" i="3"/>
  <c r="V122" i="3"/>
  <c r="M122" i="3"/>
  <c r="O122" i="3"/>
  <c r="U122" i="3"/>
  <c r="T122" i="3"/>
  <c r="B122" i="3"/>
  <c r="C122" i="3"/>
  <c r="D122" i="3"/>
  <c r="E122" i="3"/>
  <c r="F122" i="3"/>
  <c r="G122" i="3"/>
  <c r="H122" i="3"/>
  <c r="I122" i="3"/>
  <c r="J122" i="3"/>
  <c r="K122" i="3"/>
  <c r="L122" i="3"/>
  <c r="J121" i="3"/>
  <c r="I121" i="3"/>
  <c r="H121" i="3"/>
  <c r="G121" i="3"/>
  <c r="F121" i="3"/>
  <c r="E121" i="3"/>
  <c r="D121" i="3"/>
  <c r="C121" i="3"/>
  <c r="B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G120" i="3"/>
  <c r="F120" i="3"/>
  <c r="E120" i="3"/>
  <c r="D120" i="3"/>
  <c r="C120" i="3"/>
  <c r="B120" i="3"/>
  <c r="N120" i="3"/>
  <c r="Q120" i="3"/>
  <c r="R120" i="3"/>
  <c r="S120" i="3"/>
  <c r="T120" i="3"/>
  <c r="U120" i="3"/>
  <c r="V120" i="3"/>
  <c r="O120" i="3"/>
  <c r="I120" i="3"/>
  <c r="H120" i="3"/>
  <c r="P120" i="3"/>
  <c r="J120" i="3"/>
  <c r="K120" i="3"/>
  <c r="L120" i="3"/>
  <c r="M120" i="3"/>
  <c r="V119" i="3"/>
  <c r="U119" i="3"/>
  <c r="T119" i="3"/>
  <c r="S119" i="3"/>
  <c r="R119" i="3"/>
  <c r="Q119" i="3"/>
  <c r="O119" i="3"/>
  <c r="C119" i="3"/>
  <c r="M119" i="3"/>
  <c r="L119" i="3"/>
  <c r="K119" i="3"/>
  <c r="J119" i="3"/>
  <c r="P119" i="3"/>
  <c r="G119" i="3"/>
  <c r="D119" i="3"/>
  <c r="N119" i="3"/>
  <c r="F119" i="3"/>
  <c r="E119" i="3"/>
  <c r="I119" i="3"/>
  <c r="H119" i="3"/>
  <c r="B119" i="3"/>
  <c r="P118" i="3"/>
  <c r="D118" i="3"/>
  <c r="E118" i="3"/>
  <c r="F118" i="3"/>
  <c r="G118" i="3"/>
  <c r="O118" i="3"/>
  <c r="N118" i="3"/>
  <c r="M118" i="3"/>
  <c r="L118" i="3"/>
  <c r="K118" i="3"/>
  <c r="J118" i="3"/>
  <c r="I118" i="3"/>
  <c r="B118" i="3"/>
  <c r="C118" i="3"/>
  <c r="H118" i="3"/>
  <c r="V118" i="3"/>
  <c r="U118" i="3"/>
  <c r="T118" i="3"/>
  <c r="S118" i="3"/>
  <c r="R118" i="3"/>
  <c r="Q118" i="3"/>
  <c r="F117" i="3"/>
  <c r="C117" i="3"/>
  <c r="O117" i="3"/>
  <c r="D117" i="3"/>
  <c r="E117" i="3"/>
  <c r="K117" i="3"/>
  <c r="J117" i="3"/>
  <c r="L117" i="3"/>
  <c r="M117" i="3"/>
  <c r="N117" i="3"/>
  <c r="P117" i="3"/>
  <c r="V117" i="3"/>
  <c r="T117" i="3"/>
  <c r="Q117" i="3"/>
  <c r="S117" i="3"/>
  <c r="R117" i="3"/>
  <c r="B117" i="3"/>
  <c r="U117" i="3"/>
  <c r="I117" i="3"/>
  <c r="H117" i="3"/>
  <c r="G117" i="3"/>
  <c r="K116" i="3"/>
  <c r="D116" i="3"/>
  <c r="E116" i="3"/>
  <c r="F116" i="3"/>
  <c r="H116" i="3"/>
  <c r="I116" i="3"/>
  <c r="J116" i="3"/>
  <c r="P116" i="3"/>
  <c r="L116" i="3"/>
  <c r="M116" i="3"/>
  <c r="N116" i="3"/>
  <c r="O116" i="3"/>
  <c r="Q116" i="3"/>
  <c r="S116" i="3"/>
  <c r="T116" i="3"/>
  <c r="U116" i="3"/>
  <c r="V116" i="3"/>
  <c r="R116" i="3"/>
  <c r="G116" i="3"/>
  <c r="B116" i="3"/>
  <c r="C116" i="3"/>
  <c r="R115" i="3"/>
  <c r="E115" i="3"/>
  <c r="F115" i="3"/>
  <c r="H115" i="3"/>
  <c r="I115" i="3"/>
  <c r="J115" i="3"/>
  <c r="K115" i="3"/>
  <c r="L115" i="3"/>
  <c r="M115" i="3"/>
  <c r="N115" i="3"/>
  <c r="O115" i="3"/>
  <c r="P115" i="3"/>
  <c r="Q115" i="3"/>
  <c r="S115" i="3"/>
  <c r="U115" i="3"/>
  <c r="V115" i="3"/>
  <c r="C115" i="3"/>
  <c r="B115" i="3"/>
  <c r="D115" i="3"/>
  <c r="G115" i="3"/>
  <c r="T115" i="3"/>
  <c r="P114" i="3"/>
  <c r="M114" i="3"/>
  <c r="V114" i="3"/>
  <c r="N114" i="3"/>
  <c r="O114" i="3"/>
  <c r="Q114" i="3"/>
  <c r="R114" i="3"/>
  <c r="S114" i="3"/>
  <c r="T114" i="3"/>
  <c r="B114" i="3"/>
  <c r="U114" i="3"/>
  <c r="C114" i="3"/>
  <c r="D114" i="3"/>
  <c r="E114" i="3"/>
  <c r="F114" i="3"/>
  <c r="G114" i="3"/>
  <c r="K114" i="3"/>
  <c r="J114" i="3"/>
  <c r="L114" i="3"/>
  <c r="I114" i="3"/>
  <c r="H114" i="3"/>
  <c r="M113" i="3"/>
  <c r="N113" i="3"/>
  <c r="O113" i="3"/>
  <c r="P113" i="3"/>
  <c r="Q113" i="3"/>
  <c r="S113" i="3"/>
  <c r="T113" i="3"/>
  <c r="U113" i="3"/>
  <c r="V113" i="3"/>
  <c r="R113" i="3"/>
  <c r="B113" i="3"/>
  <c r="C113" i="3"/>
  <c r="D113" i="3"/>
  <c r="E113" i="3"/>
  <c r="F113" i="3"/>
  <c r="G113" i="3"/>
  <c r="H113" i="3"/>
  <c r="I113" i="3"/>
  <c r="J113" i="3"/>
  <c r="K113" i="3"/>
  <c r="L113" i="3"/>
  <c r="K112" i="3"/>
  <c r="H112" i="3"/>
  <c r="G112" i="3"/>
  <c r="F112" i="3"/>
  <c r="E112" i="3"/>
  <c r="D112" i="3"/>
  <c r="C112" i="3"/>
  <c r="V112" i="3"/>
  <c r="U112" i="3"/>
  <c r="T112" i="3"/>
  <c r="S112" i="3"/>
  <c r="R112" i="3"/>
  <c r="Q112" i="3"/>
  <c r="P112" i="3"/>
  <c r="O112" i="3"/>
  <c r="N112" i="3"/>
  <c r="M112" i="3"/>
  <c r="L112" i="3"/>
  <c r="B112" i="3"/>
  <c r="J112" i="3"/>
  <c r="I112" i="3"/>
  <c r="G111" i="3"/>
  <c r="E111" i="3"/>
  <c r="D111" i="3"/>
  <c r="C111" i="3"/>
  <c r="B111" i="3"/>
  <c r="F111" i="3"/>
  <c r="N111" i="3"/>
  <c r="V111" i="3"/>
  <c r="U111" i="3"/>
  <c r="T111" i="3"/>
  <c r="S111" i="3"/>
  <c r="R111" i="3"/>
  <c r="Q111" i="3"/>
  <c r="P111" i="3"/>
  <c r="O111" i="3"/>
  <c r="M111" i="3"/>
  <c r="L111" i="3"/>
  <c r="K111" i="3"/>
  <c r="J111" i="3"/>
  <c r="I111" i="3"/>
  <c r="H111" i="3"/>
  <c r="G110" i="3"/>
  <c r="F110" i="3"/>
  <c r="E110" i="3"/>
  <c r="D110" i="3"/>
  <c r="C110" i="3"/>
  <c r="B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J109" i="3"/>
  <c r="I109" i="3"/>
  <c r="H109" i="3"/>
  <c r="G109" i="3"/>
  <c r="F109" i="3"/>
  <c r="K109" i="3"/>
  <c r="V109" i="3"/>
  <c r="U109" i="3"/>
  <c r="T109" i="3"/>
  <c r="S109" i="3"/>
  <c r="R109" i="3"/>
  <c r="Q109" i="3"/>
  <c r="P109" i="3"/>
  <c r="O109" i="3"/>
  <c r="N109" i="3"/>
  <c r="M109" i="3"/>
  <c r="L109" i="3"/>
  <c r="E109" i="3"/>
  <c r="D109" i="3"/>
  <c r="C109" i="3"/>
  <c r="B109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C105" i="3"/>
  <c r="B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V105" i="3"/>
  <c r="U105" i="3"/>
  <c r="T105" i="3"/>
  <c r="S105" i="3"/>
  <c r="R105" i="3"/>
  <c r="Q105" i="3"/>
  <c r="P105" i="3"/>
  <c r="D104" i="3"/>
  <c r="M104" i="3"/>
  <c r="L104" i="3"/>
  <c r="K104" i="3"/>
  <c r="J104" i="3"/>
  <c r="I104" i="3"/>
  <c r="H104" i="3"/>
  <c r="G104" i="3"/>
  <c r="F104" i="3"/>
  <c r="E104" i="3"/>
  <c r="T104" i="3"/>
  <c r="C104" i="3"/>
  <c r="B104" i="3"/>
  <c r="U104" i="3"/>
  <c r="N104" i="3"/>
  <c r="V104" i="3"/>
  <c r="O104" i="3"/>
  <c r="P104" i="3"/>
  <c r="Q104" i="3"/>
  <c r="R104" i="3"/>
  <c r="S104" i="3"/>
  <c r="R103" i="3"/>
  <c r="V103" i="3"/>
  <c r="U103" i="3"/>
  <c r="T103" i="3"/>
  <c r="S103" i="3"/>
  <c r="M103" i="3"/>
  <c r="Q103" i="3"/>
  <c r="P103" i="3"/>
  <c r="H103" i="3"/>
  <c r="N103" i="3"/>
  <c r="G103" i="3"/>
  <c r="F103" i="3"/>
  <c r="L103" i="3"/>
  <c r="K103" i="3"/>
  <c r="J103" i="3"/>
  <c r="I103" i="3"/>
  <c r="D103" i="3"/>
  <c r="C103" i="3"/>
  <c r="O103" i="3"/>
  <c r="E103" i="3"/>
  <c r="B103" i="3"/>
  <c r="O102" i="3"/>
  <c r="B102" i="3"/>
  <c r="D102" i="3"/>
  <c r="E102" i="3"/>
  <c r="F102" i="3"/>
  <c r="G102" i="3"/>
  <c r="P102" i="3"/>
  <c r="I102" i="3"/>
  <c r="J102" i="3"/>
  <c r="K102" i="3"/>
  <c r="L102" i="3"/>
  <c r="C102" i="3"/>
  <c r="M102" i="3"/>
  <c r="Q102" i="3"/>
  <c r="N102" i="3"/>
  <c r="V102" i="3"/>
  <c r="U102" i="3"/>
  <c r="T102" i="3"/>
  <c r="S102" i="3"/>
  <c r="R102" i="3"/>
  <c r="H102" i="3"/>
  <c r="Q101" i="3"/>
  <c r="D101" i="3"/>
  <c r="E101" i="3"/>
  <c r="F101" i="3"/>
  <c r="G101" i="3"/>
  <c r="H101" i="3"/>
  <c r="I101" i="3"/>
  <c r="J101" i="3"/>
  <c r="K101" i="3"/>
  <c r="L101" i="3"/>
  <c r="C101" i="3"/>
  <c r="N101" i="3"/>
  <c r="R101" i="3"/>
  <c r="S101" i="3"/>
  <c r="T101" i="3"/>
  <c r="U101" i="3"/>
  <c r="V101" i="3"/>
  <c r="P101" i="3"/>
  <c r="O101" i="3"/>
  <c r="B101" i="3"/>
  <c r="M101" i="3"/>
  <c r="L100" i="3"/>
  <c r="M100" i="3"/>
  <c r="N100" i="3"/>
  <c r="O100" i="3"/>
  <c r="P100" i="3"/>
  <c r="Q100" i="3"/>
  <c r="R100" i="3"/>
  <c r="S100" i="3"/>
  <c r="T100" i="3"/>
  <c r="U100" i="3"/>
  <c r="F100" i="3"/>
  <c r="B100" i="3"/>
  <c r="C100" i="3"/>
  <c r="D100" i="3"/>
  <c r="E100" i="3"/>
  <c r="G100" i="3"/>
  <c r="H100" i="3"/>
  <c r="I100" i="3"/>
  <c r="J100" i="3"/>
  <c r="K100" i="3"/>
  <c r="V100" i="3"/>
  <c r="N99" i="3"/>
  <c r="M99" i="3"/>
  <c r="L99" i="3"/>
  <c r="K99" i="3"/>
  <c r="J99" i="3"/>
  <c r="I99" i="3"/>
  <c r="H99" i="3"/>
  <c r="G99" i="3"/>
  <c r="F99" i="3"/>
  <c r="E99" i="3"/>
  <c r="C99" i="3"/>
  <c r="B99" i="3"/>
  <c r="O99" i="3"/>
  <c r="T99" i="3"/>
  <c r="D99" i="3"/>
  <c r="V99" i="3"/>
  <c r="U99" i="3"/>
  <c r="S99" i="3"/>
  <c r="R99" i="3"/>
  <c r="Q99" i="3"/>
  <c r="P99" i="3"/>
  <c r="V98" i="3"/>
  <c r="U98" i="3"/>
  <c r="T98" i="3"/>
  <c r="S98" i="3"/>
  <c r="R98" i="3"/>
  <c r="Q98" i="3"/>
  <c r="P98" i="3"/>
  <c r="O98" i="3"/>
  <c r="N98" i="3"/>
  <c r="D98" i="3"/>
  <c r="L98" i="3"/>
  <c r="B98" i="3"/>
  <c r="K98" i="3"/>
  <c r="J98" i="3"/>
  <c r="I98" i="3"/>
  <c r="M98" i="3"/>
  <c r="H98" i="3"/>
  <c r="G98" i="3"/>
  <c r="F98" i="3"/>
  <c r="E98" i="3"/>
  <c r="C98" i="3"/>
  <c r="L97" i="3"/>
  <c r="V97" i="3"/>
  <c r="B97" i="3"/>
  <c r="C97" i="3"/>
  <c r="D97" i="3"/>
  <c r="E97" i="3"/>
  <c r="F97" i="3"/>
  <c r="G97" i="3"/>
  <c r="H97" i="3"/>
  <c r="I97" i="3"/>
  <c r="J97" i="3"/>
  <c r="K97" i="3"/>
  <c r="M97" i="3"/>
  <c r="N97" i="3"/>
  <c r="O97" i="3"/>
  <c r="P97" i="3"/>
  <c r="Q97" i="3"/>
  <c r="R97" i="3"/>
  <c r="S97" i="3"/>
  <c r="T97" i="3"/>
  <c r="U97" i="3"/>
  <c r="I96" i="3"/>
  <c r="H96" i="3"/>
  <c r="G96" i="3"/>
  <c r="F96" i="3"/>
  <c r="E96" i="3"/>
  <c r="D96" i="3"/>
  <c r="C96" i="3"/>
  <c r="B96" i="3"/>
  <c r="M96" i="3"/>
  <c r="N96" i="3"/>
  <c r="K96" i="3"/>
  <c r="O96" i="3"/>
  <c r="L96" i="3"/>
  <c r="P96" i="3"/>
  <c r="Q96" i="3"/>
  <c r="R96" i="3"/>
  <c r="S96" i="3"/>
  <c r="J96" i="3"/>
  <c r="U96" i="3"/>
  <c r="V96" i="3"/>
  <c r="T96" i="3"/>
  <c r="M95" i="3"/>
  <c r="N95" i="3"/>
  <c r="O95" i="3"/>
  <c r="P95" i="3"/>
  <c r="Q95" i="3"/>
  <c r="R95" i="3"/>
  <c r="S95" i="3"/>
  <c r="T95" i="3"/>
  <c r="U95" i="3"/>
  <c r="V95" i="3"/>
  <c r="B95" i="3"/>
  <c r="C95" i="3"/>
  <c r="D95" i="3"/>
  <c r="E95" i="3"/>
  <c r="F95" i="3"/>
  <c r="G95" i="3"/>
  <c r="H95" i="3"/>
  <c r="I95" i="3"/>
  <c r="J95" i="3"/>
  <c r="K95" i="3"/>
  <c r="L95" i="3"/>
  <c r="Q94" i="3"/>
  <c r="F94" i="3"/>
  <c r="H94" i="3"/>
  <c r="I94" i="3"/>
  <c r="K94" i="3"/>
  <c r="J94" i="3"/>
  <c r="T94" i="3"/>
  <c r="S94" i="3"/>
  <c r="U94" i="3"/>
  <c r="V94" i="3"/>
  <c r="L94" i="3"/>
  <c r="M94" i="3"/>
  <c r="N94" i="3"/>
  <c r="G94" i="3"/>
  <c r="O94" i="3"/>
  <c r="P94" i="3"/>
  <c r="E94" i="3"/>
  <c r="R94" i="3"/>
  <c r="B94" i="3"/>
  <c r="C94" i="3"/>
  <c r="D94" i="3"/>
  <c r="O93" i="3"/>
  <c r="N93" i="3"/>
  <c r="M93" i="3"/>
  <c r="L93" i="3"/>
  <c r="K93" i="3"/>
  <c r="E93" i="3"/>
  <c r="D93" i="3"/>
  <c r="C93" i="3"/>
  <c r="P93" i="3"/>
  <c r="Q93" i="3"/>
  <c r="R93" i="3"/>
  <c r="S93" i="3"/>
  <c r="T93" i="3"/>
  <c r="V93" i="3"/>
  <c r="J93" i="3"/>
  <c r="F93" i="3"/>
  <c r="U93" i="3"/>
  <c r="I93" i="3"/>
  <c r="B93" i="3"/>
  <c r="H93" i="3"/>
  <c r="G93" i="3"/>
  <c r="R92" i="3"/>
  <c r="S92" i="3"/>
  <c r="U92" i="3"/>
  <c r="V92" i="3"/>
  <c r="G92" i="3"/>
  <c r="B92" i="3"/>
  <c r="C92" i="3"/>
  <c r="D92" i="3"/>
  <c r="E92" i="3"/>
  <c r="F92" i="3"/>
  <c r="T92" i="3"/>
  <c r="H92" i="3"/>
  <c r="I92" i="3"/>
  <c r="J92" i="3"/>
  <c r="K92" i="3"/>
  <c r="L92" i="3"/>
  <c r="M92" i="3"/>
  <c r="N92" i="3"/>
  <c r="O92" i="3"/>
  <c r="P92" i="3"/>
  <c r="Q92" i="3"/>
  <c r="V91" i="3"/>
  <c r="E91" i="3"/>
  <c r="D91" i="3"/>
  <c r="C91" i="3"/>
  <c r="B91" i="3"/>
  <c r="Q91" i="3"/>
  <c r="U91" i="3"/>
  <c r="T91" i="3"/>
  <c r="S91" i="3"/>
  <c r="R91" i="3"/>
  <c r="O91" i="3"/>
  <c r="P91" i="3"/>
  <c r="N91" i="3"/>
  <c r="M91" i="3"/>
  <c r="L91" i="3"/>
  <c r="K91" i="3"/>
  <c r="J91" i="3"/>
  <c r="I91" i="3"/>
  <c r="H91" i="3"/>
  <c r="G91" i="3"/>
  <c r="F91" i="3"/>
  <c r="C90" i="3"/>
  <c r="E90" i="3"/>
  <c r="F90" i="3"/>
  <c r="B90" i="3"/>
  <c r="V90" i="3"/>
  <c r="U90" i="3"/>
  <c r="T90" i="3"/>
  <c r="J90" i="3"/>
  <c r="S90" i="3"/>
  <c r="R90" i="3"/>
  <c r="Q90" i="3"/>
  <c r="P90" i="3"/>
  <c r="O90" i="3"/>
  <c r="N90" i="3"/>
  <c r="M90" i="3"/>
  <c r="L90" i="3"/>
  <c r="K90" i="3"/>
  <c r="I90" i="3"/>
  <c r="H90" i="3"/>
  <c r="G90" i="3"/>
  <c r="D90" i="3"/>
  <c r="H89" i="3"/>
  <c r="F89" i="3"/>
  <c r="D89" i="3"/>
  <c r="N89" i="3"/>
  <c r="L89" i="3"/>
  <c r="J89" i="3"/>
  <c r="E89" i="3"/>
  <c r="C89" i="3"/>
  <c r="B89" i="3"/>
  <c r="G89" i="3"/>
  <c r="V89" i="3"/>
  <c r="U89" i="3"/>
  <c r="T89" i="3"/>
  <c r="S89" i="3"/>
  <c r="R89" i="3"/>
  <c r="Q89" i="3"/>
  <c r="P89" i="3"/>
  <c r="O89" i="3"/>
  <c r="M89" i="3"/>
  <c r="K89" i="3"/>
  <c r="I89" i="3"/>
  <c r="E88" i="3"/>
  <c r="U88" i="3"/>
  <c r="T88" i="3"/>
  <c r="S88" i="3"/>
  <c r="R88" i="3"/>
  <c r="Q88" i="3"/>
  <c r="P88" i="3"/>
  <c r="O88" i="3"/>
  <c r="N88" i="3"/>
  <c r="L88" i="3"/>
  <c r="K88" i="3"/>
  <c r="J88" i="3"/>
  <c r="F88" i="3"/>
  <c r="M88" i="3"/>
  <c r="B88" i="3"/>
  <c r="G88" i="3"/>
  <c r="D88" i="3"/>
  <c r="I88" i="3"/>
  <c r="C88" i="3"/>
  <c r="H88" i="3"/>
  <c r="V88" i="3"/>
  <c r="P87" i="3"/>
  <c r="O87" i="3"/>
  <c r="M87" i="3"/>
  <c r="L87" i="3"/>
  <c r="K87" i="3"/>
  <c r="I87" i="3"/>
  <c r="H87" i="3"/>
  <c r="F87" i="3"/>
  <c r="B87" i="3"/>
  <c r="D87" i="3"/>
  <c r="J87" i="3"/>
  <c r="N87" i="3"/>
  <c r="V87" i="3"/>
  <c r="C87" i="3"/>
  <c r="E87" i="3"/>
  <c r="G87" i="3"/>
  <c r="U87" i="3"/>
  <c r="T87" i="3"/>
  <c r="S87" i="3"/>
  <c r="R87" i="3"/>
  <c r="Q87" i="3"/>
  <c r="G86" i="3"/>
  <c r="F86" i="3"/>
  <c r="E86" i="3"/>
  <c r="D86" i="3"/>
  <c r="Q86" i="3"/>
  <c r="C86" i="3"/>
  <c r="B86" i="3"/>
  <c r="P86" i="3"/>
  <c r="O86" i="3"/>
  <c r="R86" i="3"/>
  <c r="N86" i="3"/>
  <c r="M86" i="3"/>
  <c r="L86" i="3"/>
  <c r="K86" i="3"/>
  <c r="J86" i="3"/>
  <c r="I86" i="3"/>
  <c r="H86" i="3"/>
  <c r="E85" i="3"/>
  <c r="F85" i="3"/>
  <c r="L85" i="3"/>
  <c r="H85" i="3"/>
  <c r="I85" i="3"/>
  <c r="J85" i="3"/>
  <c r="K85" i="3"/>
  <c r="P85" i="3"/>
  <c r="M85" i="3"/>
  <c r="N85" i="3"/>
  <c r="O85" i="3"/>
  <c r="V85" i="3"/>
  <c r="U85" i="3"/>
  <c r="T85" i="3"/>
  <c r="R85" i="3"/>
  <c r="S85" i="3"/>
  <c r="Q85" i="3"/>
  <c r="B85" i="3"/>
  <c r="C85" i="3"/>
  <c r="D85" i="3"/>
  <c r="G85" i="3"/>
  <c r="S84" i="3"/>
  <c r="T84" i="3"/>
  <c r="V84" i="3"/>
  <c r="U84" i="3"/>
  <c r="Q84" i="3"/>
  <c r="H84" i="3"/>
  <c r="G84" i="3"/>
  <c r="F84" i="3"/>
  <c r="E84" i="3"/>
  <c r="D84" i="3"/>
  <c r="C84" i="3"/>
  <c r="B84" i="3"/>
  <c r="I84" i="3"/>
  <c r="J84" i="3"/>
  <c r="K84" i="3"/>
  <c r="L84" i="3"/>
  <c r="M84" i="3"/>
  <c r="N84" i="3"/>
  <c r="O84" i="3"/>
  <c r="P84" i="3"/>
  <c r="R84" i="3"/>
  <c r="L83" i="3"/>
  <c r="K83" i="3"/>
  <c r="U83" i="3"/>
  <c r="T83" i="3"/>
  <c r="V83" i="3"/>
  <c r="S83" i="3"/>
  <c r="R83" i="3"/>
  <c r="Q83" i="3"/>
  <c r="C83" i="3"/>
  <c r="P83" i="3"/>
  <c r="O83" i="3"/>
  <c r="B83" i="3"/>
  <c r="N83" i="3"/>
  <c r="M83" i="3"/>
  <c r="J83" i="3"/>
  <c r="I83" i="3"/>
  <c r="H83" i="3"/>
  <c r="G83" i="3"/>
  <c r="F83" i="3"/>
  <c r="E83" i="3"/>
  <c r="D83" i="3"/>
  <c r="S82" i="3"/>
  <c r="C82" i="3"/>
  <c r="V82" i="3"/>
  <c r="U82" i="3"/>
  <c r="T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B82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I80" i="3"/>
  <c r="V80" i="3"/>
  <c r="U80" i="3"/>
  <c r="T80" i="3"/>
  <c r="S80" i="3"/>
  <c r="R80" i="3"/>
  <c r="Q80" i="3"/>
  <c r="P80" i="3"/>
  <c r="D80" i="3"/>
  <c r="O80" i="3"/>
  <c r="N80" i="3"/>
  <c r="M80" i="3"/>
  <c r="L80" i="3"/>
  <c r="K80" i="3"/>
  <c r="J80" i="3"/>
  <c r="C80" i="3"/>
  <c r="H80" i="3"/>
  <c r="B80" i="3"/>
  <c r="G80" i="3"/>
  <c r="F80" i="3"/>
  <c r="E80" i="3"/>
  <c r="M79" i="3"/>
  <c r="L79" i="3"/>
  <c r="K79" i="3"/>
  <c r="V79" i="3"/>
  <c r="U79" i="3"/>
  <c r="T79" i="3"/>
  <c r="S79" i="3"/>
  <c r="R79" i="3"/>
  <c r="J79" i="3"/>
  <c r="I79" i="3"/>
  <c r="H79" i="3"/>
  <c r="Q79" i="3"/>
  <c r="G79" i="3"/>
  <c r="F79" i="3"/>
  <c r="E79" i="3"/>
  <c r="B79" i="3"/>
  <c r="D79" i="3"/>
  <c r="C79" i="3"/>
  <c r="P79" i="3"/>
  <c r="O79" i="3"/>
  <c r="N79" i="3"/>
  <c r="F78" i="3"/>
  <c r="C78" i="3"/>
  <c r="M78" i="3"/>
  <c r="L78" i="3"/>
  <c r="K78" i="3"/>
  <c r="J78" i="3"/>
  <c r="I78" i="3"/>
  <c r="H78" i="3"/>
  <c r="D78" i="3"/>
  <c r="G78" i="3"/>
  <c r="B78" i="3"/>
  <c r="E78" i="3"/>
  <c r="V78" i="3"/>
  <c r="U78" i="3"/>
  <c r="T78" i="3"/>
  <c r="S78" i="3"/>
  <c r="R78" i="3"/>
  <c r="Q78" i="3"/>
  <c r="P78" i="3"/>
  <c r="O78" i="3"/>
  <c r="N78" i="3"/>
  <c r="O77" i="3"/>
  <c r="P77" i="3"/>
  <c r="Q77" i="3"/>
  <c r="R77" i="3"/>
  <c r="S77" i="3"/>
  <c r="T77" i="3"/>
  <c r="U77" i="3"/>
  <c r="V77" i="3"/>
  <c r="M77" i="3"/>
  <c r="L77" i="3"/>
  <c r="K77" i="3"/>
  <c r="J77" i="3"/>
  <c r="I77" i="3"/>
  <c r="H77" i="3"/>
  <c r="G77" i="3"/>
  <c r="F77" i="3"/>
  <c r="E77" i="3"/>
  <c r="D77" i="3"/>
  <c r="C77" i="3"/>
  <c r="B77" i="3"/>
  <c r="N77" i="3"/>
  <c r="L76" i="3"/>
  <c r="V76" i="3"/>
  <c r="U76" i="3"/>
  <c r="T76" i="3"/>
  <c r="N76" i="3"/>
  <c r="O76" i="3"/>
  <c r="P76" i="3"/>
  <c r="Q76" i="3"/>
  <c r="R76" i="3"/>
  <c r="S76" i="3"/>
  <c r="M76" i="3"/>
  <c r="E76" i="3"/>
  <c r="B76" i="3"/>
  <c r="C76" i="3"/>
  <c r="D76" i="3"/>
  <c r="F76" i="3"/>
  <c r="G76" i="3"/>
  <c r="H76" i="3"/>
  <c r="I76" i="3"/>
  <c r="J76" i="3"/>
  <c r="K76" i="3"/>
  <c r="B75" i="3"/>
  <c r="C75" i="3"/>
  <c r="D75" i="3"/>
  <c r="F75" i="3"/>
  <c r="G75" i="3"/>
  <c r="H75" i="3"/>
  <c r="I75" i="3"/>
  <c r="P75" i="3"/>
  <c r="Q75" i="3"/>
  <c r="R75" i="3"/>
  <c r="S75" i="3"/>
  <c r="T75" i="3"/>
  <c r="U75" i="3"/>
  <c r="J75" i="3"/>
  <c r="V75" i="3"/>
  <c r="L75" i="3"/>
  <c r="M75" i="3"/>
  <c r="N75" i="3"/>
  <c r="K75" i="3"/>
  <c r="O75" i="3"/>
  <c r="E75" i="3"/>
  <c r="D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E74" i="3"/>
  <c r="B74" i="3"/>
  <c r="C74" i="3"/>
  <c r="U73" i="3"/>
  <c r="L73" i="3"/>
  <c r="K73" i="3"/>
  <c r="J73" i="3"/>
  <c r="I73" i="3"/>
  <c r="H73" i="3"/>
  <c r="C73" i="3"/>
  <c r="M73" i="3"/>
  <c r="B73" i="3"/>
  <c r="Q73" i="3"/>
  <c r="P73" i="3"/>
  <c r="O73" i="3"/>
  <c r="D73" i="3"/>
  <c r="G73" i="3"/>
  <c r="F73" i="3"/>
  <c r="N73" i="3"/>
  <c r="T73" i="3"/>
  <c r="V73" i="3"/>
  <c r="E73" i="3"/>
  <c r="R73" i="3"/>
  <c r="S73" i="3"/>
  <c r="F72" i="3"/>
  <c r="G72" i="3"/>
  <c r="H72" i="3"/>
  <c r="I72" i="3"/>
  <c r="K72" i="3"/>
  <c r="L72" i="3"/>
  <c r="M72" i="3"/>
  <c r="N72" i="3"/>
  <c r="O72" i="3"/>
  <c r="P72" i="3"/>
  <c r="Q72" i="3"/>
  <c r="R72" i="3"/>
  <c r="S72" i="3"/>
  <c r="T72" i="3"/>
  <c r="B72" i="3"/>
  <c r="U72" i="3"/>
  <c r="C72" i="3"/>
  <c r="D72" i="3"/>
  <c r="J72" i="3"/>
  <c r="E72" i="3"/>
  <c r="V72" i="3"/>
  <c r="T71" i="3"/>
  <c r="S71" i="3"/>
  <c r="R71" i="3"/>
  <c r="Q71" i="3"/>
  <c r="M71" i="3"/>
  <c r="L71" i="3"/>
  <c r="K71" i="3"/>
  <c r="J71" i="3"/>
  <c r="P71" i="3"/>
  <c r="O71" i="3"/>
  <c r="F71" i="3"/>
  <c r="N71" i="3"/>
  <c r="B71" i="3"/>
  <c r="C71" i="3"/>
  <c r="D71" i="3"/>
  <c r="E71" i="3"/>
  <c r="G71" i="3"/>
  <c r="H71" i="3"/>
  <c r="I71" i="3"/>
  <c r="V71" i="3"/>
  <c r="U71" i="3"/>
  <c r="Q70" i="3"/>
  <c r="M70" i="3"/>
  <c r="N70" i="3"/>
  <c r="O70" i="3"/>
  <c r="P70" i="3"/>
  <c r="V70" i="3"/>
  <c r="R70" i="3"/>
  <c r="S70" i="3"/>
  <c r="T70" i="3"/>
  <c r="U70" i="3"/>
  <c r="F70" i="3"/>
  <c r="B70" i="3"/>
  <c r="L70" i="3"/>
  <c r="J70" i="3"/>
  <c r="D70" i="3"/>
  <c r="H70" i="3"/>
  <c r="G70" i="3"/>
  <c r="C70" i="3"/>
  <c r="E70" i="3"/>
  <c r="I70" i="3"/>
  <c r="K70" i="3"/>
  <c r="T69" i="3"/>
  <c r="M69" i="3"/>
  <c r="V69" i="3"/>
  <c r="P69" i="3"/>
  <c r="I69" i="3"/>
  <c r="E69" i="3"/>
  <c r="C69" i="3"/>
  <c r="N69" i="3"/>
  <c r="H69" i="3"/>
  <c r="B69" i="3"/>
  <c r="G69" i="3"/>
  <c r="Q69" i="3"/>
  <c r="K69" i="3"/>
  <c r="O69" i="3"/>
  <c r="D69" i="3"/>
  <c r="F69" i="3"/>
  <c r="L69" i="3"/>
  <c r="R69" i="3"/>
  <c r="J69" i="3"/>
  <c r="U69" i="3"/>
  <c r="S69" i="3"/>
  <c r="E68" i="3"/>
  <c r="F68" i="3"/>
  <c r="J68" i="3"/>
  <c r="N68" i="3"/>
  <c r="Q68" i="3"/>
  <c r="V68" i="3"/>
  <c r="D68" i="3"/>
  <c r="H68" i="3"/>
  <c r="B68" i="3"/>
  <c r="R68" i="3"/>
  <c r="O68" i="3"/>
  <c r="S68" i="3"/>
  <c r="C68" i="3"/>
  <c r="G68" i="3"/>
  <c r="M68" i="3"/>
  <c r="U68" i="3"/>
  <c r="K68" i="3"/>
  <c r="T68" i="3"/>
  <c r="P68" i="3"/>
  <c r="I68" i="3"/>
  <c r="L68" i="3"/>
  <c r="P67" i="3"/>
  <c r="N67" i="3"/>
  <c r="R67" i="3"/>
  <c r="U67" i="3"/>
  <c r="C67" i="3"/>
  <c r="I67" i="3"/>
  <c r="D67" i="3"/>
  <c r="M67" i="3"/>
  <c r="O67" i="3"/>
  <c r="K67" i="3"/>
  <c r="G67" i="3"/>
  <c r="V67" i="3"/>
  <c r="B67" i="3"/>
  <c r="L67" i="3"/>
  <c r="J67" i="3"/>
  <c r="S67" i="3"/>
  <c r="E67" i="3"/>
  <c r="F67" i="3"/>
  <c r="T67" i="3"/>
  <c r="Q67" i="3"/>
  <c r="H67" i="3"/>
  <c r="G66" i="3"/>
  <c r="H66" i="3"/>
  <c r="I66" i="3"/>
  <c r="J66" i="3"/>
  <c r="K66" i="3"/>
  <c r="L66" i="3"/>
  <c r="C66" i="3"/>
  <c r="E66" i="3"/>
  <c r="M66" i="3"/>
  <c r="B66" i="3"/>
  <c r="D66" i="3"/>
  <c r="F66" i="3"/>
  <c r="L65" i="3"/>
  <c r="M65" i="3"/>
  <c r="N65" i="3"/>
  <c r="O65" i="3"/>
  <c r="E65" i="3"/>
  <c r="D65" i="3"/>
  <c r="U65" i="3"/>
  <c r="C65" i="3"/>
  <c r="B65" i="3"/>
  <c r="Q65" i="3"/>
  <c r="R65" i="3"/>
  <c r="T65" i="3"/>
  <c r="I65" i="3"/>
  <c r="G65" i="3"/>
  <c r="H65" i="3"/>
  <c r="V65" i="3"/>
  <c r="S65" i="3"/>
  <c r="F65" i="3"/>
  <c r="J65" i="3"/>
  <c r="K65" i="3"/>
  <c r="P65" i="3"/>
  <c r="T64" i="3"/>
  <c r="U64" i="3"/>
  <c r="V64" i="3"/>
  <c r="S64" i="3"/>
  <c r="G64" i="3"/>
  <c r="R64" i="3"/>
  <c r="Q64" i="3"/>
  <c r="P64" i="3"/>
  <c r="O64" i="3"/>
  <c r="N64" i="3"/>
  <c r="M64" i="3"/>
  <c r="L64" i="3"/>
  <c r="K64" i="3"/>
  <c r="J64" i="3"/>
  <c r="I64" i="3"/>
  <c r="H64" i="3"/>
  <c r="F64" i="3"/>
  <c r="E64" i="3"/>
  <c r="D64" i="3"/>
  <c r="C64" i="3"/>
  <c r="B64" i="3"/>
  <c r="K63" i="3"/>
  <c r="L63" i="3"/>
  <c r="S63" i="3"/>
  <c r="F63" i="3"/>
  <c r="E63" i="3"/>
  <c r="C63" i="3"/>
  <c r="I63" i="3"/>
  <c r="J63" i="3"/>
  <c r="V63" i="3"/>
  <c r="D63" i="3"/>
  <c r="U63" i="3"/>
  <c r="T63" i="3"/>
  <c r="B63" i="3"/>
  <c r="R63" i="3"/>
  <c r="Q63" i="3"/>
  <c r="M63" i="3"/>
  <c r="G63" i="3"/>
  <c r="P63" i="3"/>
  <c r="O63" i="3"/>
  <c r="N63" i="3"/>
  <c r="H63" i="3"/>
  <c r="J62" i="3"/>
  <c r="K62" i="3"/>
  <c r="L62" i="3"/>
  <c r="N62" i="3"/>
  <c r="U62" i="3"/>
  <c r="S62" i="3"/>
  <c r="M62" i="3"/>
  <c r="P62" i="3"/>
  <c r="V62" i="3"/>
  <c r="O62" i="3"/>
  <c r="H62" i="3"/>
  <c r="G62" i="3"/>
  <c r="Q62" i="3"/>
  <c r="F62" i="3"/>
  <c r="T62" i="3"/>
  <c r="R62" i="3"/>
  <c r="E62" i="3"/>
  <c r="I62" i="3"/>
  <c r="D62" i="3"/>
  <c r="C62" i="3"/>
  <c r="B62" i="3"/>
  <c r="Q61" i="3"/>
  <c r="P61" i="3"/>
  <c r="O61" i="3"/>
  <c r="N61" i="3"/>
  <c r="M61" i="3"/>
  <c r="L61" i="3"/>
  <c r="K61" i="3"/>
  <c r="J61" i="3"/>
  <c r="I61" i="3"/>
  <c r="H61" i="3"/>
  <c r="G61" i="3"/>
  <c r="E61" i="3"/>
  <c r="D61" i="3"/>
  <c r="C61" i="3"/>
  <c r="B61" i="3"/>
  <c r="F61" i="3"/>
  <c r="V61" i="3"/>
  <c r="U61" i="3"/>
  <c r="T61" i="3"/>
  <c r="S61" i="3"/>
  <c r="R61" i="3"/>
  <c r="Q60" i="3"/>
  <c r="R60" i="3"/>
  <c r="S60" i="3"/>
  <c r="T60" i="3"/>
  <c r="U60" i="3"/>
  <c r="V60" i="3"/>
  <c r="P60" i="3"/>
  <c r="G60" i="3"/>
  <c r="H60" i="3"/>
  <c r="I60" i="3"/>
  <c r="J60" i="3"/>
  <c r="K60" i="3"/>
  <c r="L60" i="3"/>
  <c r="F60" i="3"/>
  <c r="B60" i="3"/>
  <c r="C60" i="3"/>
  <c r="D60" i="3"/>
  <c r="E60" i="3"/>
  <c r="M60" i="3"/>
  <c r="N60" i="3"/>
  <c r="O60" i="3"/>
  <c r="S59" i="3"/>
  <c r="K59" i="3"/>
  <c r="J59" i="3"/>
  <c r="I59" i="3"/>
  <c r="H59" i="3"/>
  <c r="G59" i="3"/>
  <c r="F59" i="3"/>
  <c r="E59" i="3"/>
  <c r="D59" i="3"/>
  <c r="C59" i="3"/>
  <c r="B59" i="3"/>
  <c r="R59" i="3"/>
  <c r="Q59" i="3"/>
  <c r="P59" i="3"/>
  <c r="O59" i="3"/>
  <c r="N59" i="3"/>
  <c r="U59" i="3"/>
  <c r="M59" i="3"/>
  <c r="L59" i="3"/>
  <c r="T59" i="3"/>
  <c r="V59" i="3"/>
  <c r="S58" i="3"/>
  <c r="R58" i="3"/>
  <c r="Q58" i="3"/>
  <c r="P58" i="3"/>
  <c r="O58" i="3"/>
  <c r="N58" i="3"/>
  <c r="L58" i="3"/>
  <c r="K58" i="3"/>
  <c r="J58" i="3"/>
  <c r="I58" i="3"/>
  <c r="M58" i="3"/>
  <c r="H58" i="3"/>
  <c r="V58" i="3"/>
  <c r="U58" i="3"/>
  <c r="T58" i="3"/>
  <c r="G58" i="3"/>
  <c r="F58" i="3"/>
  <c r="E58" i="3"/>
  <c r="D58" i="3"/>
  <c r="C58" i="3"/>
  <c r="B58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H50" i="3"/>
  <c r="C50" i="3"/>
  <c r="E50" i="3"/>
  <c r="B50" i="3"/>
  <c r="D50" i="3"/>
  <c r="F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N49" i="3"/>
  <c r="M49" i="3"/>
  <c r="J49" i="3"/>
  <c r="G49" i="3"/>
  <c r="H49" i="3"/>
  <c r="K49" i="3"/>
  <c r="O49" i="3"/>
  <c r="U49" i="3"/>
  <c r="T49" i="3"/>
  <c r="P49" i="3"/>
  <c r="R49" i="3"/>
  <c r="E49" i="3"/>
  <c r="B49" i="3"/>
  <c r="L49" i="3"/>
  <c r="D49" i="3"/>
  <c r="S49" i="3"/>
  <c r="V49" i="3"/>
  <c r="Q49" i="3"/>
  <c r="I49" i="3"/>
  <c r="F49" i="3"/>
  <c r="C49" i="3"/>
  <c r="B48" i="3"/>
  <c r="J48" i="3"/>
  <c r="C48" i="3"/>
  <c r="F48" i="3"/>
  <c r="S48" i="3"/>
  <c r="M48" i="3"/>
  <c r="H48" i="3"/>
  <c r="P48" i="3"/>
  <c r="U48" i="3"/>
  <c r="O48" i="3"/>
  <c r="K48" i="3"/>
  <c r="L48" i="3"/>
  <c r="E48" i="3"/>
  <c r="I48" i="3"/>
  <c r="V48" i="3"/>
  <c r="Q48" i="3"/>
  <c r="D48" i="3"/>
  <c r="T48" i="3"/>
  <c r="G48" i="3"/>
  <c r="R48" i="3"/>
  <c r="N48" i="3"/>
  <c r="D47" i="3"/>
  <c r="L47" i="3"/>
  <c r="I47" i="3"/>
  <c r="S47" i="3"/>
  <c r="P47" i="3"/>
  <c r="M47" i="3"/>
  <c r="H47" i="3"/>
  <c r="B47" i="3"/>
  <c r="K47" i="3"/>
  <c r="Q47" i="3"/>
  <c r="T47" i="3"/>
  <c r="J47" i="3"/>
  <c r="N47" i="3"/>
  <c r="R47" i="3"/>
  <c r="U47" i="3"/>
  <c r="C47" i="3"/>
  <c r="G47" i="3"/>
  <c r="O47" i="3"/>
  <c r="V47" i="3"/>
  <c r="F47" i="3"/>
  <c r="E47" i="3"/>
  <c r="I46" i="3"/>
  <c r="H46" i="3"/>
  <c r="G46" i="3"/>
  <c r="F46" i="3"/>
  <c r="E46" i="3"/>
  <c r="D46" i="3"/>
  <c r="C46" i="3"/>
  <c r="B46" i="3"/>
  <c r="E45" i="3"/>
  <c r="B45" i="3"/>
  <c r="G45" i="3"/>
  <c r="U45" i="3"/>
  <c r="V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C45" i="3"/>
  <c r="F45" i="3"/>
  <c r="D45" i="3"/>
  <c r="P44" i="3"/>
  <c r="G44" i="3"/>
  <c r="B44" i="3"/>
  <c r="H44" i="3"/>
  <c r="C44" i="3"/>
  <c r="I44" i="3"/>
  <c r="J44" i="3"/>
  <c r="K44" i="3"/>
  <c r="L44" i="3"/>
  <c r="M44" i="3"/>
  <c r="N44" i="3"/>
  <c r="O44" i="3"/>
  <c r="Q44" i="3"/>
  <c r="S44" i="3"/>
  <c r="T44" i="3"/>
  <c r="U44" i="3"/>
  <c r="V44" i="3"/>
  <c r="R44" i="3"/>
  <c r="E44" i="3"/>
  <c r="D44" i="3"/>
  <c r="F44" i="3"/>
  <c r="B43" i="3"/>
  <c r="I43" i="3"/>
  <c r="T43" i="3"/>
  <c r="N43" i="3"/>
  <c r="L43" i="3"/>
  <c r="O43" i="3"/>
  <c r="V43" i="3"/>
  <c r="U43" i="3"/>
  <c r="M43" i="3"/>
  <c r="F43" i="3"/>
  <c r="D43" i="3"/>
  <c r="C43" i="3"/>
  <c r="S43" i="3"/>
  <c r="R43" i="3"/>
  <c r="Q43" i="3"/>
  <c r="K43" i="3"/>
  <c r="J43" i="3"/>
  <c r="E43" i="3"/>
  <c r="H43" i="3"/>
  <c r="G43" i="3"/>
  <c r="P43" i="3"/>
  <c r="C42" i="3"/>
  <c r="D42" i="3"/>
  <c r="E42" i="3"/>
  <c r="F42" i="3"/>
  <c r="M42" i="3"/>
  <c r="V42" i="3"/>
  <c r="U42" i="3"/>
  <c r="T42" i="3"/>
  <c r="S42" i="3"/>
  <c r="R42" i="3"/>
  <c r="Q42" i="3"/>
  <c r="P42" i="3"/>
  <c r="I42" i="3"/>
  <c r="N42" i="3"/>
  <c r="L42" i="3"/>
  <c r="O42" i="3"/>
  <c r="H42" i="3"/>
  <c r="G42" i="3"/>
  <c r="B42" i="3"/>
  <c r="K42" i="3"/>
  <c r="J42" i="3"/>
  <c r="U41" i="3"/>
  <c r="R41" i="3"/>
  <c r="L41" i="3"/>
  <c r="B41" i="3"/>
  <c r="P41" i="3"/>
  <c r="M41" i="3"/>
  <c r="G41" i="3"/>
  <c r="C41" i="3"/>
  <c r="K41" i="3"/>
  <c r="O41" i="3"/>
  <c r="T41" i="3"/>
  <c r="D41" i="3"/>
  <c r="N41" i="3"/>
  <c r="F41" i="3"/>
  <c r="J41" i="3"/>
  <c r="H41" i="3"/>
  <c r="E41" i="3"/>
  <c r="V41" i="3"/>
  <c r="I41" i="3"/>
  <c r="Q41" i="3"/>
  <c r="S41" i="3"/>
  <c r="R40" i="3"/>
  <c r="T40" i="3"/>
  <c r="P40" i="3"/>
  <c r="L40" i="3"/>
  <c r="U40" i="3"/>
  <c r="D40" i="3"/>
  <c r="M40" i="3"/>
  <c r="B40" i="3"/>
  <c r="F40" i="3"/>
  <c r="S40" i="3"/>
  <c r="E40" i="3"/>
  <c r="J40" i="3"/>
  <c r="O40" i="3"/>
  <c r="I40" i="3"/>
  <c r="C40" i="3"/>
  <c r="K40" i="3"/>
  <c r="Q40" i="3"/>
  <c r="V40" i="3"/>
  <c r="H40" i="3"/>
  <c r="G40" i="3"/>
  <c r="N40" i="3"/>
  <c r="J39" i="3"/>
  <c r="O39" i="3"/>
  <c r="D39" i="3"/>
  <c r="E39" i="3"/>
  <c r="V39" i="3"/>
  <c r="I39" i="3"/>
  <c r="L39" i="3"/>
  <c r="T39" i="3"/>
  <c r="M39" i="3"/>
  <c r="Q39" i="3"/>
  <c r="S39" i="3"/>
  <c r="B39" i="3"/>
  <c r="N39" i="3"/>
  <c r="U39" i="3"/>
  <c r="F39" i="3"/>
  <c r="R39" i="3"/>
  <c r="G39" i="3"/>
  <c r="K39" i="3"/>
  <c r="P39" i="3"/>
  <c r="H39" i="3"/>
  <c r="C39" i="3"/>
  <c r="J38" i="3"/>
  <c r="P38" i="3"/>
  <c r="F38" i="3"/>
  <c r="S38" i="3"/>
  <c r="O38" i="3"/>
  <c r="I38" i="3"/>
  <c r="M38" i="3"/>
  <c r="T38" i="3"/>
  <c r="C38" i="3"/>
  <c r="B38" i="3"/>
  <c r="L38" i="3"/>
  <c r="D38" i="3"/>
  <c r="V38" i="3"/>
  <c r="H38" i="3"/>
  <c r="U38" i="3"/>
  <c r="Q38" i="3"/>
  <c r="K38" i="3"/>
  <c r="E38" i="3"/>
  <c r="N38" i="3"/>
  <c r="R38" i="3"/>
  <c r="G38" i="3"/>
  <c r="N37" i="3"/>
  <c r="S37" i="3"/>
  <c r="C37" i="3"/>
  <c r="R37" i="3"/>
  <c r="E37" i="3"/>
  <c r="F37" i="3"/>
  <c r="P37" i="3"/>
  <c r="M37" i="3"/>
  <c r="U37" i="3"/>
  <c r="Q37" i="3"/>
  <c r="V37" i="3"/>
  <c r="J37" i="3"/>
  <c r="I37" i="3"/>
  <c r="K37" i="3"/>
  <c r="G37" i="3"/>
  <c r="D37" i="3"/>
  <c r="B37" i="3"/>
  <c r="H37" i="3"/>
  <c r="L37" i="3"/>
  <c r="T37" i="3"/>
  <c r="O37" i="3"/>
  <c r="D36" i="3"/>
  <c r="E36" i="3"/>
  <c r="U36" i="3"/>
  <c r="B36" i="3"/>
  <c r="I36" i="3"/>
  <c r="V36" i="3"/>
  <c r="S36" i="3"/>
  <c r="P36" i="3"/>
  <c r="J36" i="3"/>
  <c r="F36" i="3"/>
  <c r="T36" i="3"/>
  <c r="Q36" i="3"/>
  <c r="K36" i="3"/>
  <c r="N36" i="3"/>
  <c r="C36" i="3"/>
  <c r="M36" i="3"/>
  <c r="R36" i="3"/>
  <c r="O36" i="3"/>
  <c r="H36" i="3"/>
  <c r="G36" i="3"/>
  <c r="L36" i="3"/>
  <c r="G35" i="3"/>
  <c r="T35" i="3"/>
  <c r="M35" i="3"/>
  <c r="V35" i="3"/>
  <c r="B35" i="3"/>
  <c r="E35" i="3"/>
  <c r="N35" i="3"/>
  <c r="I35" i="3"/>
  <c r="O35" i="3"/>
  <c r="R35" i="3"/>
  <c r="Q35" i="3"/>
  <c r="S35" i="3"/>
  <c r="F35" i="3"/>
  <c r="U35" i="3"/>
  <c r="H35" i="3"/>
  <c r="K35" i="3"/>
  <c r="P35" i="3"/>
  <c r="J35" i="3"/>
  <c r="L35" i="3"/>
  <c r="D35" i="3"/>
  <c r="C35" i="3"/>
  <c r="D34" i="3"/>
  <c r="C34" i="3"/>
  <c r="Q34" i="3"/>
  <c r="M34" i="3"/>
  <c r="P34" i="3"/>
  <c r="J34" i="3"/>
  <c r="I34" i="3"/>
  <c r="U34" i="3"/>
  <c r="S34" i="3"/>
  <c r="N34" i="3"/>
  <c r="H34" i="3"/>
  <c r="B34" i="3"/>
  <c r="E34" i="3"/>
  <c r="T34" i="3"/>
  <c r="F34" i="3"/>
  <c r="L34" i="3"/>
  <c r="O34" i="3"/>
  <c r="K34" i="3"/>
  <c r="R34" i="3"/>
  <c r="G34" i="3"/>
  <c r="V34" i="3"/>
  <c r="G33" i="3"/>
  <c r="D33" i="3"/>
  <c r="O33" i="3"/>
  <c r="C33" i="3"/>
  <c r="J33" i="3"/>
  <c r="P33" i="3"/>
  <c r="E33" i="3"/>
  <c r="L33" i="3"/>
  <c r="V33" i="3"/>
  <c r="H33" i="3"/>
  <c r="M33" i="3"/>
  <c r="N33" i="3"/>
  <c r="S33" i="3"/>
  <c r="T33" i="3"/>
  <c r="R33" i="3"/>
  <c r="I33" i="3"/>
  <c r="F33" i="3"/>
  <c r="U33" i="3"/>
  <c r="Q33" i="3"/>
  <c r="K33" i="3"/>
  <c r="B33" i="3"/>
  <c r="M32" i="3"/>
  <c r="H32" i="3"/>
  <c r="D32" i="3"/>
  <c r="T32" i="3"/>
  <c r="C32" i="3"/>
  <c r="J32" i="3"/>
  <c r="E32" i="3"/>
  <c r="Q32" i="3"/>
  <c r="N32" i="3"/>
  <c r="B32" i="3"/>
  <c r="S32" i="3"/>
  <c r="I32" i="3"/>
  <c r="P32" i="3"/>
  <c r="R32" i="3"/>
  <c r="L32" i="3"/>
  <c r="U32" i="3"/>
  <c r="F32" i="3"/>
  <c r="O32" i="3"/>
  <c r="G32" i="3"/>
  <c r="K32" i="3"/>
  <c r="V32" i="3"/>
  <c r="K31" i="3"/>
  <c r="U31" i="3"/>
  <c r="T31" i="3"/>
  <c r="O31" i="3"/>
  <c r="J31" i="3"/>
  <c r="M31" i="3"/>
  <c r="Q31" i="3"/>
  <c r="B31" i="3"/>
  <c r="N31" i="3"/>
  <c r="I31" i="3"/>
  <c r="E31" i="3"/>
  <c r="S31" i="3"/>
  <c r="R31" i="3"/>
  <c r="V31" i="3"/>
  <c r="G31" i="3"/>
  <c r="L31" i="3"/>
  <c r="P31" i="3"/>
  <c r="C31" i="3"/>
  <c r="D31" i="3"/>
  <c r="H31" i="3"/>
  <c r="F31" i="3"/>
  <c r="I30" i="3"/>
  <c r="Q30" i="3"/>
  <c r="E30" i="3"/>
  <c r="J30" i="3"/>
  <c r="G30" i="3"/>
  <c r="N30" i="3"/>
  <c r="R30" i="3"/>
  <c r="L30" i="3"/>
  <c r="F30" i="3"/>
  <c r="T30" i="3"/>
  <c r="K30" i="3"/>
  <c r="M30" i="3"/>
  <c r="P30" i="3"/>
  <c r="V30" i="3"/>
  <c r="C30" i="3"/>
  <c r="O30" i="3"/>
  <c r="U30" i="3"/>
  <c r="D30" i="3"/>
  <c r="S30" i="3"/>
  <c r="B30" i="3"/>
  <c r="H30" i="3"/>
  <c r="P29" i="3"/>
  <c r="F29" i="3"/>
  <c r="C29" i="3"/>
  <c r="H29" i="3"/>
  <c r="B29" i="3"/>
  <c r="G29" i="3"/>
  <c r="L29" i="3"/>
  <c r="Q29" i="3"/>
  <c r="U29" i="3"/>
  <c r="T29" i="3"/>
  <c r="D29" i="3"/>
  <c r="K29" i="3"/>
  <c r="E29" i="3"/>
  <c r="O29" i="3"/>
  <c r="M29" i="3"/>
  <c r="S29" i="3"/>
  <c r="I29" i="3"/>
  <c r="N29" i="3"/>
  <c r="V29" i="3"/>
  <c r="J29" i="3"/>
  <c r="R29" i="3"/>
  <c r="N28" i="3"/>
  <c r="U28" i="3"/>
  <c r="T28" i="3"/>
  <c r="H28" i="3"/>
  <c r="P28" i="3"/>
  <c r="E28" i="3"/>
  <c r="J28" i="3"/>
  <c r="Q28" i="3"/>
  <c r="K28" i="3"/>
  <c r="R28" i="3"/>
  <c r="O28" i="3"/>
  <c r="G28" i="3"/>
  <c r="C28" i="3"/>
  <c r="L28" i="3"/>
  <c r="D28" i="3"/>
  <c r="F28" i="3"/>
  <c r="I28" i="3"/>
  <c r="M28" i="3"/>
  <c r="S28" i="3"/>
  <c r="B28" i="3"/>
  <c r="V28" i="3"/>
  <c r="N27" i="3"/>
  <c r="B27" i="3"/>
  <c r="V27" i="3"/>
  <c r="F27" i="3"/>
  <c r="E27" i="3"/>
  <c r="L27" i="3"/>
  <c r="G27" i="3"/>
  <c r="O27" i="3"/>
  <c r="I27" i="3"/>
  <c r="H27" i="3"/>
  <c r="J27" i="3"/>
  <c r="P27" i="3"/>
  <c r="M27" i="3"/>
  <c r="S27" i="3"/>
  <c r="D27" i="3"/>
  <c r="R27" i="3"/>
  <c r="U27" i="3"/>
  <c r="K27" i="3"/>
  <c r="T27" i="3"/>
  <c r="Q27" i="3"/>
  <c r="C27" i="3"/>
  <c r="E26" i="3"/>
  <c r="D26" i="3"/>
  <c r="C26" i="3"/>
  <c r="B26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32" i="2" s="1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31" i="2" s="1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30" i="2" s="1"/>
  <c r="S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29" i="2" s="1"/>
  <c r="S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28" i="2" s="1"/>
  <c r="S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27" i="2" s="1"/>
  <c r="S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26" i="2" s="1"/>
  <c r="S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25" i="2" s="1"/>
  <c r="S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24" i="2" s="1"/>
  <c r="S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23" i="2" s="1"/>
  <c r="S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22" i="2" s="1"/>
  <c r="S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21" i="2" s="1"/>
  <c r="S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20" i="2" s="1"/>
  <c r="S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19" i="2" s="1"/>
  <c r="S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18" i="2" s="1"/>
  <c r="M16" i="24" l="1"/>
  <c r="M10" i="24"/>
  <c r="M6" i="24"/>
  <c r="X7" i="24"/>
  <c r="R7" i="24"/>
  <c r="T15" i="3"/>
  <c r="U15" i="3" s="1"/>
  <c r="D29" i="2" s="1"/>
  <c r="R15" i="3"/>
  <c r="C29" i="2" s="1"/>
  <c r="F10" i="2"/>
  <c r="M14" i="24"/>
  <c r="M13" i="24"/>
  <c r="M12" i="24"/>
  <c r="M8" i="24"/>
  <c r="B32" i="2"/>
  <c r="C32" i="2"/>
  <c r="D32" i="2"/>
  <c r="E32" i="2"/>
  <c r="B31" i="2"/>
  <c r="C31" i="2"/>
  <c r="D31" i="2"/>
  <c r="E31" i="2"/>
  <c r="B30" i="2"/>
  <c r="C30" i="2"/>
  <c r="D30" i="2"/>
  <c r="E30" i="2"/>
  <c r="B29" i="2"/>
  <c r="B28" i="2"/>
  <c r="B27" i="2"/>
  <c r="B26" i="2"/>
  <c r="B25" i="2"/>
  <c r="B24" i="2"/>
  <c r="B23" i="2"/>
  <c r="B22" i="2"/>
  <c r="B21" i="2"/>
  <c r="B20" i="2"/>
  <c r="B19" i="2"/>
  <c r="B18" i="2"/>
  <c r="R15" i="24"/>
  <c r="X15" i="24"/>
  <c r="R14" i="24"/>
  <c r="X14" i="24"/>
  <c r="R13" i="24"/>
  <c r="X13" i="24"/>
  <c r="X11" i="24"/>
  <c r="R11" i="24"/>
  <c r="R9" i="24"/>
  <c r="X9" i="24"/>
  <c r="R6" i="24"/>
  <c r="X6" i="24"/>
  <c r="X5" i="24"/>
  <c r="R5" i="24"/>
  <c r="T14" i="3"/>
  <c r="R14" i="3"/>
  <c r="C28" i="2" s="1"/>
  <c r="R13" i="3"/>
  <c r="C27" i="2" s="1"/>
  <c r="T13" i="3"/>
  <c r="R12" i="3"/>
  <c r="C26" i="2" s="1"/>
  <c r="T12" i="3"/>
  <c r="R11" i="3"/>
  <c r="C25" i="2" s="1"/>
  <c r="T11" i="3"/>
  <c r="T10" i="3"/>
  <c r="R10" i="3"/>
  <c r="C24" i="2" s="1"/>
  <c r="R9" i="3"/>
  <c r="C23" i="2" s="1"/>
  <c r="T9" i="3"/>
  <c r="T8" i="3"/>
  <c r="R8" i="3"/>
  <c r="C22" i="2" s="1"/>
  <c r="R7" i="3"/>
  <c r="C21" i="2" s="1"/>
  <c r="T7" i="3"/>
  <c r="T6" i="3"/>
  <c r="R6" i="3"/>
  <c r="C20" i="2" s="1"/>
  <c r="R5" i="3"/>
  <c r="C19" i="2" s="1"/>
  <c r="T5" i="3"/>
  <c r="R4" i="3"/>
  <c r="C18" i="2" s="1"/>
  <c r="T4" i="3"/>
  <c r="M5" i="24"/>
  <c r="U5" i="3" l="1"/>
  <c r="D19" i="2" s="1"/>
  <c r="U9" i="3"/>
  <c r="D23" i="2" s="1"/>
  <c r="V15" i="3"/>
  <c r="E29" i="2" s="1"/>
  <c r="J16" i="24"/>
  <c r="U12" i="3"/>
  <c r="D26" i="2" s="1"/>
  <c r="U11" i="3"/>
  <c r="D25" i="2" s="1"/>
  <c r="U7" i="3"/>
  <c r="D21" i="2" s="1"/>
  <c r="V14" i="3"/>
  <c r="E28" i="2" s="1"/>
  <c r="J15" i="24"/>
  <c r="V13" i="3"/>
  <c r="E27" i="2" s="1"/>
  <c r="J14" i="24"/>
  <c r="V12" i="3"/>
  <c r="E26" i="2" s="1"/>
  <c r="J13" i="24"/>
  <c r="V11" i="3"/>
  <c r="E25" i="2" s="1"/>
  <c r="J12" i="24"/>
  <c r="V10" i="3"/>
  <c r="E24" i="2" s="1"/>
  <c r="J11" i="24"/>
  <c r="V9" i="3"/>
  <c r="E23" i="2" s="1"/>
  <c r="J10" i="24"/>
  <c r="V8" i="3"/>
  <c r="E22" i="2" s="1"/>
  <c r="J9" i="24"/>
  <c r="V7" i="3"/>
  <c r="E21" i="2" s="1"/>
  <c r="J8" i="24"/>
  <c r="V6" i="3"/>
  <c r="E20" i="2" s="1"/>
  <c r="J7" i="24"/>
  <c r="V5" i="3"/>
  <c r="E19" i="2" s="1"/>
  <c r="J6" i="24"/>
  <c r="V4" i="3"/>
  <c r="E18" i="2" s="1"/>
  <c r="J5" i="24"/>
  <c r="B10" i="2"/>
  <c r="U4" i="3"/>
  <c r="N5" i="2"/>
  <c r="U14" i="3"/>
  <c r="D28" i="2" s="1"/>
  <c r="U13" i="3"/>
  <c r="D27" i="2" s="1"/>
  <c r="U10" i="3"/>
  <c r="D24" i="2" s="1"/>
  <c r="U8" i="3"/>
  <c r="D22" i="2" s="1"/>
  <c r="U6" i="3"/>
  <c r="D20" i="2" s="1"/>
  <c r="W16" i="24" l="1"/>
  <c r="S16" i="24"/>
  <c r="T16" i="24" s="1"/>
  <c r="W15" i="24"/>
  <c r="S15" i="24"/>
  <c r="T15" i="24" s="1"/>
  <c r="W14" i="24"/>
  <c r="S14" i="24"/>
  <c r="T14" i="24" s="1"/>
  <c r="W13" i="24"/>
  <c r="S13" i="24"/>
  <c r="T13" i="24" s="1"/>
  <c r="S12" i="24"/>
  <c r="T12" i="24" s="1"/>
  <c r="W12" i="24"/>
  <c r="S11" i="24"/>
  <c r="T11" i="24" s="1"/>
  <c r="W11" i="24"/>
  <c r="W10" i="24"/>
  <c r="S10" i="24"/>
  <c r="T10" i="24" s="1"/>
  <c r="W9" i="24"/>
  <c r="S9" i="24"/>
  <c r="T9" i="24" s="1"/>
  <c r="S8" i="24"/>
  <c r="T8" i="24" s="1"/>
  <c r="W8" i="24"/>
  <c r="W7" i="24"/>
  <c r="S7" i="24"/>
  <c r="T7" i="24" s="1"/>
  <c r="W6" i="24"/>
  <c r="S6" i="24"/>
  <c r="T6" i="24" s="1"/>
  <c r="W5" i="24"/>
  <c r="S5" i="24"/>
  <c r="T5" i="24" s="1"/>
  <c r="F10" i="1"/>
  <c r="D18" i="2"/>
  <c r="N10" i="2"/>
  <c r="K5" i="23"/>
  <c r="K4" i="23"/>
  <c r="K2" i="23"/>
  <c r="K3" i="23"/>
  <c r="Z16" i="24" l="1"/>
  <c r="V16" i="24"/>
  <c r="Y16" i="24" s="1"/>
  <c r="U16" i="24"/>
  <c r="Z5" i="24"/>
  <c r="U5" i="24"/>
  <c r="Z15" i="24"/>
  <c r="U15" i="24"/>
  <c r="V15" i="24"/>
  <c r="Y15" i="24" s="1"/>
  <c r="Z14" i="24"/>
  <c r="V14" i="24"/>
  <c r="Y14" i="24" s="1"/>
  <c r="U14" i="24"/>
  <c r="Z13" i="24"/>
  <c r="V13" i="24"/>
  <c r="Y13" i="24" s="1"/>
  <c r="U13" i="24"/>
  <c r="U12" i="24"/>
  <c r="Z12" i="24"/>
  <c r="V12" i="24"/>
  <c r="Y12" i="24" s="1"/>
  <c r="U11" i="24"/>
  <c r="V11" i="24"/>
  <c r="Y11" i="24" s="1"/>
  <c r="Z11" i="24"/>
  <c r="U10" i="24"/>
  <c r="V10" i="24"/>
  <c r="Y10" i="24" s="1"/>
  <c r="Z10" i="24"/>
  <c r="Z9" i="24"/>
  <c r="V9" i="24"/>
  <c r="Y9" i="24" s="1"/>
  <c r="U9" i="24"/>
  <c r="U8" i="24"/>
  <c r="V8" i="24"/>
  <c r="Y8" i="24" s="1"/>
  <c r="Z8" i="24"/>
  <c r="U7" i="24"/>
  <c r="Z7" i="24"/>
  <c r="V7" i="24"/>
  <c r="Y7" i="24" s="1"/>
  <c r="Z6" i="24"/>
  <c r="V6" i="24"/>
  <c r="Y6" i="24" s="1"/>
  <c r="U6" i="24"/>
  <c r="V5" i="24"/>
  <c r="B5" i="1"/>
  <c r="G36" i="1" l="1"/>
  <c r="N10" i="1"/>
  <c r="E36" i="1"/>
  <c r="D36" i="1"/>
  <c r="B36" i="1"/>
  <c r="G27" i="1"/>
  <c r="H36" i="1"/>
  <c r="D37" i="1"/>
  <c r="I36" i="1"/>
  <c r="C36" i="1"/>
  <c r="K36" i="1"/>
  <c r="J36" i="1"/>
  <c r="F36" i="1"/>
  <c r="H31" i="1"/>
  <c r="F30" i="1"/>
  <c r="J28" i="1"/>
  <c r="D20" i="1"/>
  <c r="D19" i="1"/>
  <c r="J31" i="1"/>
  <c r="L29" i="1"/>
  <c r="H28" i="1"/>
  <c r="D27" i="1"/>
  <c r="B19" i="1"/>
  <c r="K29" i="1"/>
  <c r="K33" i="1"/>
  <c r="D31" i="1"/>
  <c r="H35" i="1"/>
  <c r="H34" i="1"/>
  <c r="H33" i="1"/>
  <c r="J32" i="1"/>
  <c r="D29" i="1"/>
  <c r="D28" i="1"/>
  <c r="J20" i="1"/>
  <c r="B28" i="1"/>
  <c r="F29" i="1"/>
  <c r="E30" i="1"/>
  <c r="C29" i="1"/>
  <c r="L27" i="1"/>
  <c r="B27" i="1"/>
  <c r="C19" i="1"/>
  <c r="L37" i="1"/>
  <c r="E35" i="1"/>
  <c r="E34" i="1"/>
  <c r="G33" i="1"/>
  <c r="C32" i="1"/>
  <c r="B31" i="1"/>
  <c r="C30" i="1"/>
  <c r="L28" i="1"/>
  <c r="J27" i="1"/>
  <c r="E19" i="1"/>
  <c r="K37" i="1"/>
  <c r="C35" i="1"/>
  <c r="C34" i="1"/>
  <c r="C33" i="1"/>
  <c r="B32" i="1"/>
  <c r="K30" i="1"/>
  <c r="G29" i="1"/>
  <c r="E28" i="1"/>
  <c r="C27" i="1"/>
  <c r="J18" i="1"/>
  <c r="I37" i="1"/>
  <c r="F35" i="1"/>
  <c r="F34" i="1"/>
  <c r="J10" i="1"/>
  <c r="Y5" i="24"/>
  <c r="L36" i="1" s="1"/>
  <c r="J5" i="1"/>
  <c r="N5" i="1"/>
  <c r="F5" i="1"/>
  <c r="F32" i="1"/>
  <c r="G37" i="1"/>
  <c r="G35" i="1"/>
  <c r="G34" i="1"/>
  <c r="E33" i="1"/>
  <c r="E32" i="1"/>
  <c r="C31" i="1"/>
  <c r="B30" i="1"/>
  <c r="K28" i="1"/>
  <c r="I27" i="1"/>
  <c r="J19" i="1"/>
  <c r="H37" i="1"/>
  <c r="K35" i="1"/>
  <c r="K34" i="1"/>
  <c r="L33" i="1"/>
  <c r="K32" i="1"/>
  <c r="K31" i="1"/>
  <c r="J30" i="1"/>
  <c r="J29" i="1"/>
  <c r="I28" i="1"/>
  <c r="H27" i="1"/>
  <c r="E20" i="1"/>
  <c r="D18" i="1"/>
  <c r="C37" i="1"/>
  <c r="L35" i="1"/>
  <c r="B35" i="1"/>
  <c r="B34" i="1"/>
  <c r="L32" i="1"/>
  <c r="I31" i="1"/>
  <c r="I30" i="1"/>
  <c r="H29" i="1"/>
  <c r="F28" i="1"/>
  <c r="F27" i="1"/>
  <c r="C20" i="1"/>
  <c r="B18" i="1"/>
  <c r="J37" i="1"/>
  <c r="J35" i="1"/>
  <c r="J34" i="1"/>
  <c r="I33" i="1"/>
  <c r="I32" i="1"/>
  <c r="F31" i="1"/>
  <c r="F33" i="1"/>
  <c r="G32" i="1"/>
  <c r="E31" i="1"/>
  <c r="I29" i="1"/>
  <c r="G28" i="1"/>
  <c r="E27" i="1"/>
  <c r="B20" i="1"/>
  <c r="E18" i="1"/>
  <c r="F37" i="1"/>
  <c r="I35" i="1"/>
  <c r="I34" i="1"/>
  <c r="B33" i="1"/>
  <c r="L31" i="1"/>
  <c r="D30" i="1"/>
  <c r="B29" i="1"/>
  <c r="K27" i="1"/>
  <c r="E37" i="1"/>
  <c r="L34" i="1"/>
  <c r="J33" i="1"/>
  <c r="H32" i="1"/>
  <c r="G31" i="1"/>
  <c r="G30" i="1"/>
  <c r="E29" i="1"/>
  <c r="C28" i="1"/>
  <c r="C18" i="1"/>
  <c r="B37" i="1"/>
  <c r="D35" i="1"/>
  <c r="D34" i="1"/>
  <c r="D33" i="1"/>
  <c r="D32" i="1"/>
  <c r="L30" i="1"/>
  <c r="H30" i="1"/>
  <c r="L20" i="1" l="1"/>
  <c r="K20" i="1"/>
  <c r="M20" i="1"/>
  <c r="N20" i="1"/>
  <c r="N18" i="1"/>
  <c r="M18" i="1"/>
  <c r="K18" i="1"/>
  <c r="L18" i="1"/>
  <c r="M19" i="1"/>
  <c r="K19" i="1"/>
  <c r="N19" i="1"/>
  <c r="L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Tech_ID univoco e stabile, da usare in tutti i fogli tematici.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Comp_ID univoco e stabile. Consigliato includere prefisso tecnologia.</t>
        </r>
      </text>
    </comment>
    <comment ref="C3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Campo descrittivo opzionale. La chiave di collegamento resta Tech_ID.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Campo descrittivo opzionale per leggibilità. Il collegamento univoco resta Tech_ID.</t>
        </r>
      </text>
    </comment>
    <comment ref="J3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Richiamare una Fonte_ID già presente nel foglio 02_Fonti.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Campo descrittivo opzionale per leggibilità. Il collegamento univoco resta Tech_ID.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Campo descrittivo opzionale per leggibilità. Il collegamento univoco resta Tech_ID.</t>
        </r>
      </text>
    </comment>
    <comment ref="F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Usare scala 1-9. Nel brief appare T.L.R.; qui è normalizzata come TRL/TLR.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Campo descrittivo opzionale per leggibilità. Il collegamento univoco resta Tech_ID.</t>
        </r>
      </text>
    </comment>
    <comment ref="F3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Inserire solo il valore numerico; unità, valuta e anno vanno nei campi dedicati.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Campo descrittivo opzionale per leggibilità. Il collegamento univoco resta Tech_ID.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Campo descrittivo opzionale per leggibilità. Il collegamento univoco resta Tech_ID.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Campo descrittivo opzionale per leggibilità. Il collegamento univoco resta Tech_ID.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Campo descrittivo opzionale per leggibilità. Il collegamento univoco resta Tech_ID.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Campo descrittivo opzionale per leggibilità. Il collegamento univoco resta Tech_ID.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Campo descrittivo opzionale per leggibilità. Il collegamento univoco resta Tech_ID.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Campo descrittivo opzionale per leggibilità. Il collegamento univoco resta Tech_ID.</t>
        </r>
      </text>
    </comment>
  </commentList>
</comments>
</file>

<file path=xl/sharedStrings.xml><?xml version="1.0" encoding="utf-8"?>
<sst xmlns="http://schemas.openxmlformats.org/spreadsheetml/2006/main" count="9590" uniqueCount="4033">
  <si>
    <t>ERMES | Executive finale con ranking e semafori</t>
  </si>
  <si>
    <t>Vista per decisori: ranking sintetico delle tecnologie osservate, semafori per attrattivita, policy fit e copertura dati. Il punteggio executive combina strategia/mercato (25%), maturita tecnologica (15%), prontezza industriale (15%), competitivita economica (20%), sostenibilita/policy fit (20%) e copertura informativa (5%).</t>
  </si>
  <si>
    <t>Score medio portafoglio</t>
  </si>
  <si>
    <t>Tecnologie in verde</t>
  </si>
  <si>
    <t>Tecnologie in giallo</t>
  </si>
  <si>
    <t>Tecnologie in rosso</t>
  </si>
  <si>
    <t>Indice medio 0-100</t>
  </si>
  <si>
    <t>Accelerare / selezionare</t>
  </si>
  <si>
    <t>Selettive / da pilotare</t>
  </si>
  <si>
    <t>Presidiare / phase-out</t>
  </si>
  <si>
    <t>Tecnologie globali / multi-mercato</t>
  </si>
  <si>
    <t>Copertura dati media</t>
  </si>
  <si>
    <t>Fossili in rosso</t>
  </si>
  <si>
    <t>Leader portafoglio</t>
  </si>
  <si>
    <t>Mercato ampio + semaforo verde</t>
  </si>
  <si>
    <t>Copertura aree osservatorio</t>
  </si>
  <si>
    <t>Tecnologie fossili penalizzate</t>
  </si>
  <si>
    <t>Prima nel ranking</t>
  </si>
  <si>
    <t>Sintesi decisionale: watchlist e ranking finale</t>
  </si>
  <si>
    <t>Leggi cosi: VERDE = accelerare, GIALLO = selezionare / pilotare, ROSSO = presidiare o mantenere per motivi di continuita / sicurezza.</t>
  </si>
  <si>
    <t>Top 3 da accelerare</t>
  </si>
  <si>
    <t>Ultimi 3 / da presidiare</t>
  </si>
  <si>
    <t>Rank</t>
  </si>
  <si>
    <t>Tecnologia</t>
  </si>
  <si>
    <t>Score</t>
  </si>
  <si>
    <t>Semaforo</t>
  </si>
  <si>
    <t>Posizionamento</t>
  </si>
  <si>
    <t>Ranking integrale del portafoglio tecnologico</t>
  </si>
  <si>
    <t>Il ranking e dinamico e si aggiorna dalle anagrafiche e dai fogli analitici tramite 99_Exec_Helper.</t>
  </si>
  <si>
    <t>Macro-categoria</t>
  </si>
  <si>
    <t>Mercato di riferimento</t>
  </si>
  <si>
    <t>Score executive</t>
  </si>
  <si>
    <t>Semaforo exec</t>
  </si>
  <si>
    <t>Semaforo policy</t>
  </si>
  <si>
    <t>Semaforo dati</t>
  </si>
  <si>
    <t>TRL</t>
  </si>
  <si>
    <t>Costo / competitivita</t>
  </si>
  <si>
    <t>Raccomandazione</t>
  </si>
  <si>
    <t>ERMES | Dashboard manageriale e KPI sintetici</t>
  </si>
  <si>
    <t>Cruscotto executive per seguire il popolamento dell'Osservatorio. Le metriche leggono in automatico le anagrafiche e i fogli analitici; si aggiornano man mano che compili il database.</t>
  </si>
  <si>
    <t>Fonti censite</t>
  </si>
  <si>
    <t>Tecnologie monitorate</t>
  </si>
  <si>
    <t>Perimetro mercati</t>
  </si>
  <si>
    <t>Record analitici</t>
  </si>
  <si>
    <t>Repertorio fonti</t>
  </si>
  <si>
    <t>Tecnologie attive in anagrafica</t>
  </si>
  <si>
    <t>Classificazione mercati di riferimento</t>
  </si>
  <si>
    <t>Somma di tutte le aree</t>
  </si>
  <si>
    <t>Copertura media aree</t>
  </si>
  <si>
    <t>TRL/TLR medio</t>
  </si>
  <si>
    <t>Mercati perimetro</t>
  </si>
  <si>
    <t>Copertura avanzata</t>
  </si>
  <si>
    <t>Quota media aree coperte</t>
  </si>
  <si>
    <t>Solo tecnologie con dati TRL</t>
  </si>
  <si>
    <t>Tecnologie senza perimetro mercato</t>
  </si>
  <si>
    <t>Tecnologie oltre il 70%</t>
  </si>
  <si>
    <t>Sintesi per tecnologia (vista rapida)</t>
  </si>
  <si>
    <t>La tabella sotto riprende la scorecard manageriale. Se una tecnologia ha copertura bassa o presidio informativo limitato, il database va rafforzato prima.</t>
  </si>
  <si>
    <t>Stato monitoraggio</t>
  </si>
  <si>
    <t>Copertura</t>
  </si>
  <si>
    <t>Stato manageriale</t>
  </si>
  <si>
    <t>Priorita di popolamento</t>
  </si>
  <si>
    <t>ERMES | Scorecard manageriale per tecnologia</t>
  </si>
  <si>
    <t>Foglio di sintesi automatico: misura la completezza del database ERMES per ciascuna tecnologia. Non valuta il merito tecnologico, ma il livello di copertura informativa dei dati raccolti.</t>
  </si>
  <si>
    <t>Tech_ID</t>
  </si>
  <si>
    <t># Componenti</t>
  </si>
  <si>
    <t># Descrizione</t>
  </si>
  <si>
    <t># Avanzamento</t>
  </si>
  <si>
    <t># TRL/TLR</t>
  </si>
  <si>
    <t># Costi</t>
  </si>
  <si>
    <t># Settori</t>
  </si>
  <si>
    <t># Mercati</t>
  </si>
  <si>
    <t># Sostenibilita</t>
  </si>
  <si>
    <t># Best practice</t>
  </si>
  <si>
    <t># Policy</t>
  </si>
  <si>
    <t># Barriere/Opp.</t>
  </si>
  <si>
    <t># Attori</t>
  </si>
  <si>
    <t># Prestazioni</t>
  </si>
  <si>
    <t>Copertura aree</t>
  </si>
  <si>
    <t>TRL medio</t>
  </si>
  <si>
    <t>Record totali</t>
  </si>
  <si>
    <t>ERMES | Portafoglio tecnologie integrato</t>
  </si>
  <si>
    <t>Vista sintetica per tecnologia: maturita, competitivita, sostenibilita e copertura informativa.</t>
  </si>
  <si>
    <t>TRL indicativo</t>
  </si>
  <si>
    <t>TLR indicativo</t>
  </si>
  <si>
    <t>LCOE / costo indicativo</t>
  </si>
  <si>
    <t>GHG lifecycle</t>
  </si>
  <si>
    <t>Allineamento tassonomia UE</t>
  </si>
  <si>
    <t>Fonte primaria</t>
  </si>
  <si>
    <t>Scorecard row</t>
  </si>
  <si>
    <t>T001</t>
  </si>
  <si>
    <t>Carbone</t>
  </si>
  <si>
    <t>Fossili</t>
  </si>
  <si>
    <t>Media</t>
  </si>
  <si>
    <t>Monitoraggio attivo</t>
  </si>
  <si>
    <t>9</t>
  </si>
  <si>
    <t>Medio in calo</t>
  </si>
  <si>
    <t>90-160 EUR/MWh</t>
  </si>
  <si>
    <t>1000 gCO2e/kWh</t>
  </si>
  <si>
    <t>Non allineata</t>
  </si>
  <si>
    <t>S077</t>
  </si>
  <si>
    <t>vedi 00_Scorecard</t>
  </si>
  <si>
    <t>T002</t>
  </si>
  <si>
    <t>Olio</t>
  </si>
  <si>
    <t>Alto ma in calo nei segmenti power</t>
  </si>
  <si>
    <t>130-220 EUR/MWh</t>
  </si>
  <si>
    <t>780 gCO2e/kWh</t>
  </si>
  <si>
    <t>S076</t>
  </si>
  <si>
    <t>T003</t>
  </si>
  <si>
    <t>Gas Naturale</t>
  </si>
  <si>
    <t>Alta</t>
  </si>
  <si>
    <t>Prioritaria</t>
  </si>
  <si>
    <t>Alto ma condizionato da policy climatiche</t>
  </si>
  <si>
    <t>70-120 EUR/MWh</t>
  </si>
  <si>
    <t>450 gCO2e/kWh</t>
  </si>
  <si>
    <t>Parzialmente allineata / transitoria</t>
  </si>
  <si>
    <t>S074</t>
  </si>
  <si>
    <t>T004</t>
  </si>
  <si>
    <t>Fotovoltaico</t>
  </si>
  <si>
    <t>Rinnovabili</t>
  </si>
  <si>
    <t>Molto competitivo</t>
  </si>
  <si>
    <t>23 gCO2e/kWh</t>
  </si>
  <si>
    <t>Allineata</t>
  </si>
  <si>
    <t>S012</t>
  </si>
  <si>
    <t>T005</t>
  </si>
  <si>
    <t>Solare Termico</t>
  </si>
  <si>
    <t>8</t>
  </si>
  <si>
    <t>Medio</t>
  </si>
  <si>
    <t>110-220 EUR/MWh</t>
  </si>
  <si>
    <t>30 gCO2e/kWh</t>
  </si>
  <si>
    <t>S063</t>
  </si>
  <si>
    <t>T006</t>
  </si>
  <si>
    <t>Eolico</t>
  </si>
  <si>
    <t>Competitivo</t>
  </si>
  <si>
    <t>~10-15 gCO2e/kWh</t>
  </si>
  <si>
    <t>S033</t>
  </si>
  <si>
    <t>T007</t>
  </si>
  <si>
    <t>Idroelettrico</t>
  </si>
  <si>
    <t>Alto</t>
  </si>
  <si>
    <t>40-120 EUR/MWh</t>
  </si>
  <si>
    <t>15 gCO2e/kWh</t>
  </si>
  <si>
    <t>Allineata con DNSH</t>
  </si>
  <si>
    <t>S068</t>
  </si>
  <si>
    <t>T008</t>
  </si>
  <si>
    <t>Biomasse</t>
  </si>
  <si>
    <t>Medio-alto</t>
  </si>
  <si>
    <t>90-180 EUR/MWh</t>
  </si>
  <si>
    <t>70 gCO2e/kWh</t>
  </si>
  <si>
    <t>Condizionata</t>
  </si>
  <si>
    <t>S065</t>
  </si>
  <si>
    <t>T009</t>
  </si>
  <si>
    <t>Geotermico</t>
  </si>
  <si>
    <t>45-120 EUR/MWh</t>
  </si>
  <si>
    <t>25 gCO2e/kWh</t>
  </si>
  <si>
    <t>S079</t>
  </si>
  <si>
    <t>T010</t>
  </si>
  <si>
    <t>Nucleare da fissione</t>
  </si>
  <si>
    <t>Basse emissioni / transitorie</t>
  </si>
  <si>
    <t>In approfondimento</t>
  </si>
  <si>
    <t>12 gCO2e/kWh</t>
  </si>
  <si>
    <t>S070</t>
  </si>
  <si>
    <t>T011</t>
  </si>
  <si>
    <t>Idrogeno verde</t>
  </si>
  <si>
    <t>Vettori innovativi</t>
  </si>
  <si>
    <t>7-8</t>
  </si>
  <si>
    <t>In crescita</t>
  </si>
  <si>
    <t>Fuel cost-driven</t>
  </si>
  <si>
    <t>molto dipende da power input</t>
  </si>
  <si>
    <t>Allineabile</t>
  </si>
  <si>
    <t>S048</t>
  </si>
  <si>
    <t>ERMES | Template database informativo per l'Osservatorio Tecnologie Energetiche Emergenti</t>
  </si>
  <si>
    <t>Workbook strutturato per raccogliere dati su tecnologie, componenti, costi, sostenibilita, policy, attori e prestazioni. In questa versione manageriale apri prima 00_Executive, poi 00_Dashboard e 00_Scorecard.</t>
  </si>
  <si>
    <t>Navigazione consigliata: 00_Dashboard -&gt; 00_Scorecard -&gt; fogli tematici (05-15) -&gt; 16_Log_Aggiornamenti</t>
  </si>
  <si>
    <t>1. Logica del database</t>
  </si>
  <si>
    <t>3. Filtro analitico ERMES</t>
  </si>
  <si>
    <t>• Ogni riga rappresenta una singola evidenza / osservazione.</t>
  </si>
  <si>
    <t>• Technology Watch</t>
  </si>
  <si>
    <t>• Le anagrafiche base sono: 02_Fonti, 03_Tecnologie, 04_Componenti.</t>
  </si>
  <si>
    <t>• Horizon Scanning</t>
  </si>
  <si>
    <t>• I fogli 05-15 raccolgono i dati tematici richiesti da ERMES.</t>
  </si>
  <si>
    <t>• P-TEA (assessment preliminare)</t>
  </si>
  <si>
    <t>• Usa sempre Tech_ID e, quando serve, Comp_ID per collegare i record.</t>
  </si>
  <si>
    <t>• Disseminazione / reporting</t>
  </si>
  <si>
    <t>2. Regole di compilazione</t>
  </si>
  <si>
    <t>4. Fogli del workbook</t>
  </si>
  <si>
    <t>• Compila i campi in blu (input manuale). I campi in nero sono formule di supporto.</t>
  </si>
  <si>
    <t>• 02_Fonti: repertorio delle fonti informative.</t>
  </si>
  <si>
    <t>• Una tecnologia va descritta in modo sintetico; i dettagli analitici vanno nei fogli tematici.</t>
  </si>
  <si>
    <t>• 03_Tecnologie: elenco delle tecnologie osservate.</t>
  </si>
  <si>
    <t>• Cita sempre una Fonte_ID presente nel foglio 02_Fonti e, se utile, aggiungi URL o note.</t>
  </si>
  <si>
    <t>• 04_Componenti: macrocomponenti / sottosistemi.</t>
  </si>
  <si>
    <t>• Formato data consigliato: YYYY-MM-DD.</t>
  </si>
  <si>
    <t>• 05-15: raccolta strutturata delle 11 aree informative richieste.</t>
  </si>
  <si>
    <t>• TRL/TLR: nel workbook è usata la scala standard 1-9.</t>
  </si>
  <si>
    <t>• 16_Log_Aggiornamenti: storico operativo degli aggiornamenti.</t>
  </si>
  <si>
    <t>5. Convenzione minima consigliata per gli ID</t>
  </si>
  <si>
    <t>6. Legenda colori</t>
  </si>
  <si>
    <t>Input manuale</t>
  </si>
  <si>
    <t>esempio</t>
  </si>
  <si>
    <t>Comp_ID</t>
  </si>
  <si>
    <t>C-FV-001</t>
  </si>
  <si>
    <t>Modulo FV</t>
  </si>
  <si>
    <t>Formula / supporto</t>
  </si>
  <si>
    <t>Record_ID</t>
  </si>
  <si>
    <t>R-COST-0001</t>
  </si>
  <si>
    <t>Prima osservazione costi</t>
  </si>
  <si>
    <t>Valori statici / anagrafiche</t>
  </si>
  <si>
    <t>Istruzioni / attenzione</t>
  </si>
  <si>
    <t>Fonti informative di base già precaricate nel foglio 02_Fonti: IEA, MIT Technology Review, Gartner, WEF, Cleantechnica, SETIS, JRC, BloombergNEF, Energy Innovation, NREL.</t>
  </si>
  <si>
    <t>Aggiornamento struttura: eliminata la colonna "Priorità ERMES"; aggiunto il foglio "09bis_Mercati_Riferimento" per valutare applicabilità in Paesi sviluppati, Paesi in via di sviluppo o entrambi.</t>
  </si>
  <si>
    <t>MacroCategorie</t>
  </si>
  <si>
    <t>StatoMonitoraggio</t>
  </si>
  <si>
    <t>LivelloAnalisi</t>
  </si>
  <si>
    <t>FaseSviluppo</t>
  </si>
  <si>
    <t>MetricheCosto</t>
  </si>
  <si>
    <t>SettoriEconomici</t>
  </si>
  <si>
    <t>TipiPolicy</t>
  </si>
  <si>
    <t>CategorieBarriere</t>
  </si>
  <si>
    <t>TipiAttore</t>
  </si>
  <si>
    <t>KPI_Tecnici</t>
  </si>
  <si>
    <t>Geografie</t>
  </si>
  <si>
    <t>TipiFonte</t>
  </si>
  <si>
    <t>Affidabilita</t>
  </si>
  <si>
    <t>TassonomiaUE</t>
  </si>
  <si>
    <t>FrequenzeAgg</t>
  </si>
  <si>
    <t>AccessoFonte</t>
  </si>
  <si>
    <t>AzioniLog</t>
  </si>
  <si>
    <t>Booleane</t>
  </si>
  <si>
    <t>Valute</t>
  </si>
  <si>
    <t>Trend</t>
  </si>
  <si>
    <t>IntensitaImpatto</t>
  </si>
  <si>
    <t>Orizzonti</t>
  </si>
  <si>
    <t>StatiPolicy</t>
  </si>
  <si>
    <t>BarrieraOOpportunita</t>
  </si>
  <si>
    <t>EsitoVerifica</t>
  </si>
  <si>
    <t>Ricerca di base</t>
  </si>
  <si>
    <t>CAPEX</t>
  </si>
  <si>
    <t>Agricoltura</t>
  </si>
  <si>
    <t>Strategia</t>
  </si>
  <si>
    <t>Tecnologica</t>
  </si>
  <si>
    <t>Azienda</t>
  </si>
  <si>
    <t>Efficienza energetica</t>
  </si>
  <si>
    <t>Italia</t>
  </si>
  <si>
    <t>PS (Paesi Sviluppati)</t>
  </si>
  <si>
    <t>Report istituzionale</t>
  </si>
  <si>
    <t>1</t>
  </si>
  <si>
    <t>Continuativa</t>
  </si>
  <si>
    <t>Pubblica</t>
  </si>
  <si>
    <t>Nuovo record</t>
  </si>
  <si>
    <t>Sì</t>
  </si>
  <si>
    <t>EUR</t>
  </si>
  <si>
    <t>In calo</t>
  </si>
  <si>
    <t>Breve termine</t>
  </si>
  <si>
    <t>In vigore</t>
  </si>
  <si>
    <t>Barriera</t>
  </si>
  <si>
    <t>Da verificare</t>
  </si>
  <si>
    <t>Archiviata</t>
  </si>
  <si>
    <t>Componente</t>
  </si>
  <si>
    <t>Proof of concept</t>
  </si>
  <si>
    <t>OPEX</t>
  </si>
  <si>
    <t>Industria</t>
  </si>
  <si>
    <t>Legge</t>
  </si>
  <si>
    <t>Economica</t>
  </si>
  <si>
    <t>OEM</t>
  </si>
  <si>
    <t>Scalabilità</t>
  </si>
  <si>
    <t>UE</t>
  </si>
  <si>
    <t>PVS Paesi in Via di Sviluppo)</t>
  </si>
  <si>
    <t>Paper scientifico</t>
  </si>
  <si>
    <t>2</t>
  </si>
  <si>
    <t>Parzialmente allineata</t>
  </si>
  <si>
    <t>Mensile</t>
  </si>
  <si>
    <t>Abbonamento</t>
  </si>
  <si>
    <t>Aggiornamento</t>
  </si>
  <si>
    <t>No</t>
  </si>
  <si>
    <t>USD</t>
  </si>
  <si>
    <t>Stabile</t>
  </si>
  <si>
    <t>Medio termine</t>
  </si>
  <si>
    <t>In consultazione</t>
  </si>
  <si>
    <t>Opportunità</t>
  </si>
  <si>
    <t>Verificato</t>
  </si>
  <si>
    <t>Nucleare</t>
  </si>
  <si>
    <t xml:space="preserve"> </t>
  </si>
  <si>
    <t>Sottosistema</t>
  </si>
  <si>
    <t>Prototipo laboratorio</t>
  </si>
  <si>
    <t>LCOE</t>
  </si>
  <si>
    <t>Trasporti</t>
  </si>
  <si>
    <t>Decreto</t>
  </si>
  <si>
    <t>Regolatoria</t>
  </si>
  <si>
    <t>Utility</t>
  </si>
  <si>
    <t>Disponibilità</t>
  </si>
  <si>
    <t>USA</t>
  </si>
  <si>
    <t>Database</t>
  </si>
  <si>
    <t>3</t>
  </si>
  <si>
    <t>Trimestrale</t>
  </si>
  <si>
    <t>Interna</t>
  </si>
  <si>
    <t>Validazione</t>
  </si>
  <si>
    <t>Parziale</t>
  </si>
  <si>
    <t>GBP</t>
  </si>
  <si>
    <t>In aumento</t>
  </si>
  <si>
    <t>Bassa</t>
  </si>
  <si>
    <t>Lungo termine</t>
  </si>
  <si>
    <t>In revisione</t>
  </si>
  <si>
    <t>Parzialmente verificato</t>
  </si>
  <si>
    <t>Idrogeno</t>
  </si>
  <si>
    <t>Pilota / dimostratore</t>
  </si>
  <si>
    <t>LCOS</t>
  </si>
  <si>
    <t>Edilizia</t>
  </si>
  <si>
    <t>Regolazione</t>
  </si>
  <si>
    <t>Infrastrutturale</t>
  </si>
  <si>
    <t>Startup</t>
  </si>
  <si>
    <t>Durata utile</t>
  </si>
  <si>
    <t>Cina</t>
  </si>
  <si>
    <t>News / media specializzato</t>
  </si>
  <si>
    <t>4</t>
  </si>
  <si>
    <t>Semestrale</t>
  </si>
  <si>
    <t>Mista</t>
  </si>
  <si>
    <t>Correzione</t>
  </si>
  <si>
    <t>Altro</t>
  </si>
  <si>
    <t>Volatile</t>
  </si>
  <si>
    <t>Scaduta</t>
  </si>
  <si>
    <t>FOAK (First of a kind)</t>
  </si>
  <si>
    <t>TCO</t>
  </si>
  <si>
    <t>Pubblica Amministrazione</t>
  </si>
  <si>
    <t>Incentivo</t>
  </si>
  <si>
    <t>Supply chain</t>
  </si>
  <si>
    <t>Centro di ricerca</t>
  </si>
  <si>
    <t>Emissioni dirette</t>
  </si>
  <si>
    <t>Asia-Pacifico</t>
  </si>
  <si>
    <t>Documento normativo</t>
  </si>
  <si>
    <t>5</t>
  </si>
  <si>
    <t>Annuale</t>
  </si>
  <si>
    <t>Archiviazione</t>
  </si>
  <si>
    <t>Commerciale iniziale</t>
  </si>
  <si>
    <t>Trend costo</t>
  </si>
  <si>
    <t>Standard tecnico</t>
  </si>
  <si>
    <t>Sociale</t>
  </si>
  <si>
    <t>Università</t>
  </si>
  <si>
    <t>Fattore di capacità</t>
  </si>
  <si>
    <t>Globale</t>
  </si>
  <si>
    <t>Sito corporate</t>
  </si>
  <si>
    <t>Ad hoc</t>
  </si>
  <si>
    <t>6</t>
  </si>
  <si>
    <t>Commerciale diffusa</t>
  </si>
  <si>
    <t>Incentivi</t>
  </si>
  <si>
    <t>Residenziale</t>
  </si>
  <si>
    <t>Tassonomia</t>
  </si>
  <si>
    <t>Competenze</t>
  </si>
  <si>
    <t>Ente pubblico</t>
  </si>
  <si>
    <t>Densità energetica</t>
  </si>
  <si>
    <t>Intervista esperto</t>
  </si>
  <si>
    <t>7</t>
  </si>
  <si>
    <t>Investitore</t>
  </si>
  <si>
    <t>Associazione</t>
  </si>
  <si>
    <t>Ramp rate</t>
  </si>
  <si>
    <t>Round-trip efficiency</t>
  </si>
  <si>
    <t>Heat rate</t>
  </si>
  <si>
    <t>Capture rate CO2</t>
  </si>
  <si>
    <t>Ore di accumulo termico</t>
  </si>
  <si>
    <t>Vita utile tecnica</t>
  </si>
  <si>
    <t>02_Fonti | Repertorio fonti informative</t>
  </si>
  <si>
    <t>Precaricate le principali fonti esplicitate nel brief. Aggiungere qui eventuali fonti FEEM / interne / di progetto prima di usarle nei fogli analitici.</t>
  </si>
  <si>
    <t>Source_ID</t>
  </si>
  <si>
    <t>Nome fonte</t>
  </si>
  <si>
    <t>Categoria fonte</t>
  </si>
  <si>
    <t>Organizzazione</t>
  </si>
  <si>
    <t>URL</t>
  </si>
  <si>
    <t>Copertura / ambito</t>
  </si>
  <si>
    <t>Frequenza agg.</t>
  </si>
  <si>
    <t>Accesso</t>
  </si>
  <si>
    <t>Affidabilità (1-5)</t>
  </si>
  <si>
    <t>Note operative</t>
  </si>
  <si>
    <t>S001</t>
  </si>
  <si>
    <t>IEA - Tracking Clean Energy Progress</t>
  </si>
  <si>
    <t>IEA</t>
  </si>
  <si>
    <t>https://www.iea.org/topics/tracking-clean-energy-progress</t>
  </si>
  <si>
    <t>monitoraggio progresso clean energy</t>
  </si>
  <si>
    <t>Fonte istituzionale di monitoraggio</t>
  </si>
  <si>
    <t>S002</t>
  </si>
  <si>
    <t>IEA - Technology Innovation</t>
  </si>
  <si>
    <t>https://www.iea.org/topics/technology-innovation</t>
  </si>
  <si>
    <t>rapporti e analisi su innovazione energetica</t>
  </si>
  <si>
    <t>S003</t>
  </si>
  <si>
    <t>MIT Technology Review</t>
  </si>
  <si>
    <t>https://www.technologyreview.com/</t>
  </si>
  <si>
    <t>trend e segnali deboli tecnologici</t>
  </si>
  <si>
    <t>utile per horizon scanning</t>
  </si>
  <si>
    <t>S004</t>
  </si>
  <si>
    <t>Gartner - Hype Cycle</t>
  </si>
  <si>
    <t>Gartner</t>
  </si>
  <si>
    <t>https://www.gartner.com/en/research/methodologies/gartner-hype-cycle</t>
  </si>
  <si>
    <t>maturità e hype di tecnologie</t>
  </si>
  <si>
    <t>S005</t>
  </si>
  <si>
    <t>World Economic Forum - Strategic Intelligence</t>
  </si>
  <si>
    <t>World Economic Forum</t>
  </si>
  <si>
    <t>https://intelligence.weforum.org/</t>
  </si>
  <si>
    <t>trend, temi strategici e correlazioni</t>
  </si>
  <si>
    <t>S006</t>
  </si>
  <si>
    <t>Cleantechnica</t>
  </si>
  <si>
    <t>https://cleantechnica.com/</t>
  </si>
  <si>
    <t>notizie e casi applicativi clean tech</t>
  </si>
  <si>
    <t>da validare sempre con fonti primarie</t>
  </si>
  <si>
    <t>S007</t>
  </si>
  <si>
    <t>SETIS - Strategic Energy Technology Information System</t>
  </si>
  <si>
    <t>Commissione Europea</t>
  </si>
  <si>
    <t>https://setis.ec.europa.eu/</t>
  </si>
  <si>
    <t>informazioni su tecnologie SET europee</t>
  </si>
  <si>
    <t>S008</t>
  </si>
  <si>
    <t>JRC - Technology Innovation Watch</t>
  </si>
  <si>
    <t>Joint Research Centre</t>
  </si>
  <si>
    <t>https://ec.europa.eu/jrc/en/research-topic/energy-technologies-and-innovation</t>
  </si>
  <si>
    <t>sorveglianza innovazione tecnologica</t>
  </si>
  <si>
    <t>S009</t>
  </si>
  <si>
    <t>BloombergNEF</t>
  </si>
  <si>
    <t>https://about.bnef.com/</t>
  </si>
  <si>
    <t>mercati, costi, investimenti, benchmark</t>
  </si>
  <si>
    <t>S010</t>
  </si>
  <si>
    <t>Energy Innovation - Technology Policy Insights</t>
  </si>
  <si>
    <t>Energy Innovation</t>
  </si>
  <si>
    <t>https://energyinnovation.org/our-work/energy-policy-solutions/</t>
  </si>
  <si>
    <t>policy insight e technology policy</t>
  </si>
  <si>
    <t>S011</t>
  </si>
  <si>
    <t>NREL Research</t>
  </si>
  <si>
    <t>NREL</t>
  </si>
  <si>
    <t>https://www.nrel.gov/research/</t>
  </si>
  <si>
    <t>ricerca applicata e benchmark tecnologici</t>
  </si>
  <si>
    <t>IEA - Solar PV</t>
  </si>
  <si>
    <t>https://www.iea.org/energy-system/renewables/solar-pv</t>
  </si>
  <si>
    <t>quadro globale PV: mercato, generazione, outlook</t>
  </si>
  <si>
    <t>fonte primaria per scenario e ruolo della tecnologia</t>
  </si>
  <si>
    <t>S013</t>
  </si>
  <si>
    <t>NREL - Spring 2025 Solar Industry Update</t>
  </si>
  <si>
    <t>https://docs.nrel.gov/docs/fy25osti/95135.pdf</t>
  </si>
  <si>
    <t>mercato globale PV, trend industriali e roadmap</t>
  </si>
  <si>
    <t>Periodica</t>
  </si>
  <si>
    <t>fonte utile per horizon scanning e trend 2024-2025</t>
  </si>
  <si>
    <t>S014</t>
  </si>
  <si>
    <t>NREL - Fall 2024 Solar Industry Update</t>
  </si>
  <si>
    <t>https://docs.nrel.gov/docs/fy25osti/92257.pdf</t>
  </si>
  <si>
    <t>benchmark costi PV, ibridazione con storage, tracker</t>
  </si>
  <si>
    <t>fonte di benchmark costi e configurazioni di impianto</t>
  </si>
  <si>
    <t>S015</t>
  </si>
  <si>
    <t>NREL - Updated Life Cycle Assessment and Techno-Economic Analysis of Utility-Scale PV</t>
  </si>
  <si>
    <t>https://docs.nrel.gov/docs/fy24osti/87372.pdf</t>
  </si>
  <si>
    <t>LCA, emissioni lifecycle, energy payback, costi benchmark</t>
  </si>
  <si>
    <t>fonte primaria per sostenibilita ambientale</t>
  </si>
  <si>
    <t>S016</t>
  </si>
  <si>
    <t>Fraunhofer ISE - Photovoltaics Report</t>
  </si>
  <si>
    <t>Fraunhofer ISE</t>
  </si>
  <si>
    <t>https://www.ise.fraunhofer.de/content/dam/ise/de/documents/publications/studies/Photovoltaics-Report.pdf</t>
  </si>
  <si>
    <t>prestazioni, efficienze, andamento mercato PV</t>
  </si>
  <si>
    <t>riferimento tecnico europeo sulle performance</t>
  </si>
  <si>
    <t>S017</t>
  </si>
  <si>
    <t>VDMA - International Technology Roadmap for Photovoltaic (ITRPV)</t>
  </si>
  <si>
    <t>Roadmap industriale</t>
  </si>
  <si>
    <t>VDMA</t>
  </si>
  <si>
    <t>https://www.vdma.org/international-technology-roadmap-photovoltaic</t>
  </si>
  <si>
    <t>roadmap tecnologica moduli, celle, costi, supply chain</t>
  </si>
  <si>
    <t>fonte chiave su maturita e transizione PERC/TOPCon/tandem</t>
  </si>
  <si>
    <t>S018</t>
  </si>
  <si>
    <t>European Commission - Renewable Energy Directive (RED III)</t>
  </si>
  <si>
    <t>Normativa UE</t>
  </si>
  <si>
    <t>https://energy.ec.europa.eu/topics/renewable-energy/renewable-energy-directive-targets-and-rules/renewable-energy-directive_en</t>
  </si>
  <si>
    <t>quadro normativo UE per rinnovabili, permitting, target 2030</t>
  </si>
  <si>
    <t>policy di cornice per diffusione FV</t>
  </si>
  <si>
    <t>S019</t>
  </si>
  <si>
    <t>European Commission - Net-Zero Industry Act</t>
  </si>
  <si>
    <t>https://single-market-economy.ec.europa.eu/industry/sustainability/net-zero-industry-act_en</t>
  </si>
  <si>
    <t>manifattura cleantech UE, permitting, resilience e aste</t>
  </si>
  <si>
    <t>rilevante per filiera FV e componenti</t>
  </si>
  <si>
    <t>S020</t>
  </si>
  <si>
    <t>GSE - Configurazioni per autoconsumo diffuso e CER</t>
  </si>
  <si>
    <t>Normativa/Incentivi</t>
  </si>
  <si>
    <t>GSE</t>
  </si>
  <si>
    <t>https://www.gse.it/servizi-per-te/autoconsumo/gruppi-di-autoconsumatori-e-comunita-di-energia-rinnovabile</t>
  </si>
  <si>
    <t>regole operative autoconsumo, CER, tariffa incentivante e PNRR</t>
  </si>
  <si>
    <t>riferimento operativo per mercato italiano distribuito</t>
  </si>
  <si>
    <t>S021</t>
  </si>
  <si>
    <t>JRC - Deep Dive on Critical Raw Materials for Solar Photovoltaics in the EU</t>
  </si>
  <si>
    <t>https://publications.jrc.ec.europa.eu/repository/handle/JRC141760</t>
  </si>
  <si>
    <t>materie prime critiche, supply chain e resilienza filiera FV</t>
  </si>
  <si>
    <t>riferimento per rischio materiali e circolarita</t>
  </si>
  <si>
    <t>S022</t>
  </si>
  <si>
    <t>European Commission - EU Taxonomy for sustainable activities</t>
  </si>
  <si>
    <t>https://finance.ec.europa.eu/sustainable-finance/tools-and-standards/eu-taxonomy-sustainable-activities_en</t>
  </si>
  <si>
    <t>criteri di sostenibilita e accesso alla finanza sostenibile</t>
  </si>
  <si>
    <t>utile per compatibilita tassonomia UE</t>
  </si>
  <si>
    <t>S023</t>
  </si>
  <si>
    <t>Al Dhafra Solar PV Project</t>
  </si>
  <si>
    <t>Caso applicativo</t>
  </si>
  <si>
    <t>ADPV2 / EWEC / EDF Renewables / Jinko Power</t>
  </si>
  <si>
    <t>https://www.adpv2.ae/solar-project</t>
  </si>
  <si>
    <t>mega-impianto utility-scale con tariffa record</t>
  </si>
  <si>
    <t>best practice utility-scale in area MENA</t>
  </si>
  <si>
    <t>S024</t>
  </si>
  <si>
    <t>Noor Abu Dhabi</t>
  </si>
  <si>
    <t>EWEC / SPPC</t>
  </si>
  <si>
    <t>https://www.noorabudhabi.ae/</t>
  </si>
  <si>
    <t>impianto utility-scale da 1,2 GW in esercizio dal 2019</t>
  </si>
  <si>
    <t>best practice su scala industriale</t>
  </si>
  <si>
    <t>S025</t>
  </si>
  <si>
    <t>Cirata Floating PV</t>
  </si>
  <si>
    <t>PLN Nusantara Renewables / Masdar</t>
  </si>
  <si>
    <t>https://ptplnnr.com/en/profile/portfolio/detail/cirata-floating-pv</t>
  </si>
  <si>
    <t>impianto floating PV di riferimento in Asia</t>
  </si>
  <si>
    <t>best practice floating PV</t>
  </si>
  <si>
    <t>S026</t>
  </si>
  <si>
    <t>Fraunhofer ISE - Agrivoltaics</t>
  </si>
  <si>
    <t>Studio / linee guida</t>
  </si>
  <si>
    <t>https://www.ise.fraunhofer.de/en/publications/studies/agrivoltaics-opportunities-for-agriculture-and-the-energy-transition.html</t>
  </si>
  <si>
    <t>agrovoltaico: costi, linee guida e casi pilota</t>
  </si>
  <si>
    <t>riferimento tecnico su dual land use</t>
  </si>
  <si>
    <t>S027</t>
  </si>
  <si>
    <t>Sungrow - SG1100UD-20</t>
  </si>
  <si>
    <t>Scheda tecnica</t>
  </si>
  <si>
    <t>Sungrow</t>
  </si>
  <si>
    <t>https://en.sungrowpower.com/productDetail/4102/1-x-modular-inverter-sg1100ud-20</t>
  </si>
  <si>
    <t>inverter utility-scale, efficienza e grid support</t>
  </si>
  <si>
    <t>riferimento esemplificativo lato inverter</t>
  </si>
  <si>
    <t>S028</t>
  </si>
  <si>
    <t>MASE - Sviluppo agro-voltaico</t>
  </si>
  <si>
    <t>MASE</t>
  </si>
  <si>
    <t>https://www.mase.gov.it/portale/-/investimento-1.1-sviluppo-agro-voltaico</t>
  </si>
  <si>
    <t>misure e aggiornamenti PNRR per sistemi agrivoltaici</t>
  </si>
  <si>
    <t>riferimento italiano per agrivoltaico innovativo</t>
  </si>
  <si>
    <t>S029</t>
  </si>
  <si>
    <t>LONGi Solar - Corporate website</t>
  </si>
  <si>
    <t>Sito aziendale</t>
  </si>
  <si>
    <t>LONGi</t>
  </si>
  <si>
    <t>https://www.longi.com/en/</t>
  </si>
  <si>
    <t>attore industriale globale su moduli e celle ad alta efficienza</t>
  </si>
  <si>
    <t>fonte corporate</t>
  </si>
  <si>
    <t>S030</t>
  </si>
  <si>
    <t>SMA Italia - Corporate website</t>
  </si>
  <si>
    <t>SMA Solar Technology</t>
  </si>
  <si>
    <t>https://www.sma-italia.com/</t>
  </si>
  <si>
    <t>attore industriale su inverter e system integration</t>
  </si>
  <si>
    <t>S031</t>
  </si>
  <si>
    <t>Trina Solar - Corporate website</t>
  </si>
  <si>
    <t>Trina Solar</t>
  </si>
  <si>
    <t>https://www.trinasolar.com/en-glb/</t>
  </si>
  <si>
    <t>attore industriale su moduli, tracker e smart energy</t>
  </si>
  <si>
    <t>S032</t>
  </si>
  <si>
    <t>NREL ATB 2024 - Utility-Scale PV</t>
  </si>
  <si>
    <t>Benchmark</t>
  </si>
  <si>
    <t>https://atb.nrel.gov/electricity/2024/utility-scale_pv</t>
  </si>
  <si>
    <t>benchmark capacity factor e parametri techno-economic utility-scale</t>
  </si>
  <si>
    <t>utile per KPI tecnici e benchmark di esercizio</t>
  </si>
  <si>
    <t>IEA - Wind</t>
  </si>
  <si>
    <t>https://www.iea.org/energy-system/renewables/wind</t>
  </si>
  <si>
    <t>quadro globale eolico: mercato, ruolo nel mix, outlook</t>
  </si>
  <si>
    <t>S034</t>
  </si>
  <si>
    <t>NREL ATB 2024 - Land-Based Wind</t>
  </si>
  <si>
    <t>https://atb.nrel.gov/electricity/2024/Land-Based_Wind</t>
  </si>
  <si>
    <t>benchmark costi e prestazioni eolico onshore</t>
  </si>
  <si>
    <t>utile per costi, CF e KPI tecnici</t>
  </si>
  <si>
    <t>S035</t>
  </si>
  <si>
    <t>NREL ATB 2024 - Offshore Wind</t>
  </si>
  <si>
    <t>https://atb.nrel.gov/electricity/2024/offshore_wind</t>
  </si>
  <si>
    <t>benchmark costi e prestazioni eolico offshore fisso e floating</t>
  </si>
  <si>
    <t>utile per costi, CF e maturita offshore</t>
  </si>
  <si>
    <t>S036</t>
  </si>
  <si>
    <t>DOE - Land-Based Wind Market Report 2024</t>
  </si>
  <si>
    <t>U.S. Department of Energy</t>
  </si>
  <si>
    <t>https://www.energy.gov/eere/wind/land-based-wind-market-report-2024-edition</t>
  </si>
  <si>
    <t>mercato eolico onshore, trend industriali e O&amp;M</t>
  </si>
  <si>
    <t>fonte utile per trend 2023-2024</t>
  </si>
  <si>
    <t>S037</t>
  </si>
  <si>
    <t>NREL - Offshore Wind Market Report 2024</t>
  </si>
  <si>
    <t>NREL / DOE</t>
  </si>
  <si>
    <t>https://docs.nrel.gov/docs/fy24osti/90897.pdf</t>
  </si>
  <si>
    <t>pipeline globale offshore, floating, supply chain</t>
  </si>
  <si>
    <t>fonte primaria per avanzamento offshore e floating</t>
  </si>
  <si>
    <t>S038</t>
  </si>
  <si>
    <t>European Commission - Offshore renewable energy</t>
  </si>
  <si>
    <t>https://energy.ec.europa.eu/topics/renewable-energy/offshore-renewable-energy_en</t>
  </si>
  <si>
    <t>strategia UE per offshore wind e rinnovabili marine</t>
  </si>
  <si>
    <t>cornice UE per sviluppo offshore</t>
  </si>
  <si>
    <t>S039</t>
  </si>
  <si>
    <t>European Commission - European Wind Power Action Plan</t>
  </si>
  <si>
    <t>https://eur-lex.europa.eu/legal-content/EN/TXT/?uri=CELEX:52023DC0669</t>
  </si>
  <si>
    <t>action plan UE su permitting, aste, supply chain e finanziabilita</t>
  </si>
  <si>
    <t>rilevante per competitivita manifatturiera eolico</t>
  </si>
  <si>
    <t>S040</t>
  </si>
  <si>
    <t>MASE - Eolico Offshore</t>
  </si>
  <si>
    <t>Normativa/programma</t>
  </si>
  <si>
    <t>https://www.mase.gov.it/portale/-/eolico-offshore</t>
  </si>
  <si>
    <t>quadro italiano su eolico offshore e floating</t>
  </si>
  <si>
    <t>riferimento nazionale</t>
  </si>
  <si>
    <t>S041</t>
  </si>
  <si>
    <t>GSE - FER X graduatorie</t>
  </si>
  <si>
    <t>https://www.gse.it/servizi-per-te/fonti-rinnovabili/ferx/graduatorie</t>
  </si>
  <si>
    <t>aste e graduatorie FER X per eolico e altre FER</t>
  </si>
  <si>
    <t>riferimento operativo per incentivo italiano</t>
  </si>
  <si>
    <t>S042</t>
  </si>
  <si>
    <t>Dogger Bank Wind Farm</t>
  </si>
  <si>
    <t>SSE Renewables / Equinor / Vaargronn</t>
  </si>
  <si>
    <t>https://doggerbank.com/</t>
  </si>
  <si>
    <t>mega-progetto offshore in tre fasi, riferimento globale</t>
  </si>
  <si>
    <t>best practice offshore su scala multi-GW</t>
  </si>
  <si>
    <t>S043</t>
  </si>
  <si>
    <t>Orsted - Hornsea 2</t>
  </si>
  <si>
    <t>Orsted</t>
  </si>
  <si>
    <t>https://orsted.co.uk/energy-solutions/offshore-wind/our-wind-farms/hornsea2</t>
  </si>
  <si>
    <t>benchmark offshore operativo di grande scala</t>
  </si>
  <si>
    <t>riferimento per esercizio commerciale</t>
  </si>
  <si>
    <t>S044</t>
  </si>
  <si>
    <t>Equinor - Hywind Tampen</t>
  </si>
  <si>
    <t>Equinor</t>
  </si>
  <si>
    <t>https://www.equinor.com/energy/hywind-tampen</t>
  </si>
  <si>
    <t>best practice floating offshore wind</t>
  </si>
  <si>
    <t>riferimento per floating e integrazione offshore</t>
  </si>
  <si>
    <t>S045</t>
  </si>
  <si>
    <t>Vattenfall - Hollandse Kust Zuid</t>
  </si>
  <si>
    <t>Vattenfall</t>
  </si>
  <si>
    <t>https://powerplants.vattenfall.com/hollandse-kust-zuid/</t>
  </si>
  <si>
    <t>best practice offshore subsidy-free</t>
  </si>
  <si>
    <t>riferimento per competitivita e bancabilita</t>
  </si>
  <si>
    <t>S046</t>
  </si>
  <si>
    <t>GE Vernova - Haliade-X</t>
  </si>
  <si>
    <t>GE Vernova</t>
  </si>
  <si>
    <t>https://www.gevernova.com/wind-power/wind-turbines/offshore-wind-turbines</t>
  </si>
  <si>
    <t>turbine offshore di grande taglia e frontiera tecnologica</t>
  </si>
  <si>
    <t>utile per KPI e roadmap turbine</t>
  </si>
  <si>
    <t>S047</t>
  </si>
  <si>
    <t>Vestas - EnVentus / Onshore Wind</t>
  </si>
  <si>
    <t>Scheda tecnica / sito aziendale</t>
  </si>
  <si>
    <t>Vestas</t>
  </si>
  <si>
    <t>https://www.vestas.com/en/energy-solutions/onshore-wind-turbines</t>
  </si>
  <si>
    <t>piattaforme turbine onshore, performance e riciclabilita</t>
  </si>
  <si>
    <t>utile per componenti e KPI tecnici</t>
  </si>
  <si>
    <t>IEA - Hydrogen</t>
  </si>
  <si>
    <t>https://www.iea.org/energy-system/low-emission-fuels/hydrogen</t>
  </si>
  <si>
    <t>quadro globale idrogeno e ruolo nel net zero</t>
  </si>
  <si>
    <t>fonte primaria per scenario e ruolo del vettore</t>
  </si>
  <si>
    <t>S049</t>
  </si>
  <si>
    <t>IEA - Global Hydrogen Review 2025</t>
  </si>
  <si>
    <t>https://www.iea.org/reports/global-hydrogen-review-2025</t>
  </si>
  <si>
    <t>progetti, costi, policy, domanda e infrastrutture</t>
  </si>
  <si>
    <t>riferimento chiave per stato di mercato 2025</t>
  </si>
  <si>
    <t>S050</t>
  </si>
  <si>
    <t>NREL - PEM Electrolyzer Cost Analysis</t>
  </si>
  <si>
    <t>https://docs.nrel.gov/docs/fy24osti/87625.pdf</t>
  </si>
  <si>
    <t>costi di produzione stack PEM e opportunita di cost-down</t>
  </si>
  <si>
    <t>utile per costi componenti e supply chain</t>
  </si>
  <si>
    <t>S051</t>
  </si>
  <si>
    <t>DOE - Hydrogen Shot</t>
  </si>
  <si>
    <t>Programma / target</t>
  </si>
  <si>
    <t>https://www.energy.gov/eere/fuelcells/articles/hydrogen-shot-introduction</t>
  </si>
  <si>
    <t>target 1-1-1 e cost down clean hydrogen</t>
  </si>
  <si>
    <t>riferimento per competitivita target</t>
  </si>
  <si>
    <t>S052</t>
  </si>
  <si>
    <t>European Commission - Renewable hydrogen</t>
  </si>
  <si>
    <t>https://energy.ec.europa.eu/topics/eus-energy-system/hydrogen/renewable-hydrogen_en</t>
  </si>
  <si>
    <t>regole UE per idrogeno rinnovabile e criteri GHG</t>
  </si>
  <si>
    <t>rilevante per certificazione e accesso al mercato UE</t>
  </si>
  <si>
    <t>S053</t>
  </si>
  <si>
    <t>EUR-Lex - Delegated Regulation 2023/1184 (RFNBO)</t>
  </si>
  <si>
    <t>Unione Europea</t>
  </si>
  <si>
    <t>https://eur-lex.europa.eu/eli/reg_del/2023/1184/oj/eng</t>
  </si>
  <si>
    <t>metodologia UE per produzione RFNBO e addizionalita</t>
  </si>
  <si>
    <t>atto chiave per bankability dei progetti</t>
  </si>
  <si>
    <t>S054</t>
  </si>
  <si>
    <t>European Commission - European Hydrogen Bank</t>
  </si>
  <si>
    <t>https://energy.ec.europa.eu/topics/eus-energy-system/hydrogen/european-hydrogen-bank_en</t>
  </si>
  <si>
    <t>aste e sostegno alla produzione di idrogeno rinnovabile</t>
  </si>
  <si>
    <t>strumento chiave di market creation</t>
  </si>
  <si>
    <t>S055</t>
  </si>
  <si>
    <t>JRC CETO - Water electrolysers and hydrogen in the EU</t>
  </si>
  <si>
    <t>https://publications.jrc.ec.europa.eu/repository/handle/JRC144106</t>
  </si>
  <si>
    <t>stato di water electrolysers, capacity, filiera e materiali in UE</t>
  </si>
  <si>
    <t>riferimento tecnico UE su elettrolizzatori</t>
  </si>
  <si>
    <t>S056</t>
  </si>
  <si>
    <t>MASE - Strategia Nazionale Idrogeno</t>
  </si>
  <si>
    <t>Strategia nazionale</t>
  </si>
  <si>
    <t>https://www.mase.gov.it/portale/documents/d/guest/strategia-nazionale-idrogeno-pdf</t>
  </si>
  <si>
    <t>quadro strategico italiano al 2030-2050</t>
  </si>
  <si>
    <t>riferimento nazionale per traiettorie di sviluppo</t>
  </si>
  <si>
    <t>S057</t>
  </si>
  <si>
    <t>MASE - Hydrogen Valleys</t>
  </si>
  <si>
    <t>https://www.mase.gov.it/portale/-/hydrogen-valleys-il-mase-finanzia-nuovi-progetti-per-la-produzione-di-idrogeno-in-aree-industriali-dismesse</t>
  </si>
  <si>
    <t>PNRR e progetti in aree industriali dismesse</t>
  </si>
  <si>
    <t>strumento rilevante per cluster e early market</t>
  </si>
  <si>
    <t>S058</t>
  </si>
  <si>
    <t>NEOM Green Hydrogen Company</t>
  </si>
  <si>
    <t>NGHC</t>
  </si>
  <si>
    <t>https://nghc.com/</t>
  </si>
  <si>
    <t>mega-progetto green hydrogen/ammonia su scala globale</t>
  </si>
  <si>
    <t>riferimento per scala industriale</t>
  </si>
  <si>
    <t>S059</t>
  </si>
  <si>
    <t>HYBRIT</t>
  </si>
  <si>
    <t>https://www.hybritdevelopment.se/en/</t>
  </si>
  <si>
    <t>uso di idrogeno verde nella siderurgia</t>
  </si>
  <si>
    <t>best practice su hard-to-abate industry</t>
  </si>
  <si>
    <t>S060</t>
  </si>
  <si>
    <t>REFHYNE</t>
  </si>
  <si>
    <t>https://www.refhyne.eu/</t>
  </si>
  <si>
    <t>PEM elettrolisi in raffineria e scala industriale</t>
  </si>
  <si>
    <t>riferimento per integrazione industriale</t>
  </si>
  <si>
    <t>S061</t>
  </si>
  <si>
    <t>Iberdrola - Puertollano green hydrogen plant</t>
  </si>
  <si>
    <t>Iberdrola</t>
  </si>
  <si>
    <t>https://www.iberdrola.com/about-us/what-we-do/green-hydrogen/puertollano-green-hydrogen-plant</t>
  </si>
  <si>
    <t>impianto integrato PV+battery+elettrolisi per uso industriale</t>
  </si>
  <si>
    <t>best practice europea integrata</t>
  </si>
  <si>
    <t>S062</t>
  </si>
  <si>
    <t>IEA - Renewables overview</t>
  </si>
  <si>
    <t>https://www.iea.org/energy-system/renewables</t>
  </si>
  <si>
    <t>quadro generale rinnovabili incluse bioenergia, idro, geotermia e solare termico</t>
  </si>
  <si>
    <t>fonte di contesto per tecnologie rinnovabili</t>
  </si>
  <si>
    <t>NREL ATB 2024 - Concentrating Solar Power</t>
  </si>
  <si>
    <t>https://atb.nrel.gov/electricity/2024/concentrating_solar_power</t>
  </si>
  <si>
    <t>benchmark costi e prestazioni CSP con accumulo termico</t>
  </si>
  <si>
    <t>fonte per CSP / solare termico elettrico</t>
  </si>
  <si>
    <t>S064</t>
  </si>
  <si>
    <t>IEA TCP - SolarPACES / CSP</t>
  </si>
  <si>
    <t>Programma tecnologico</t>
  </si>
  <si>
    <t>IEA TCP</t>
  </si>
  <si>
    <t>https://www.iea.org/programmes/technology-collaboration-programme/renewable-energy</t>
  </si>
  <si>
    <t>cooperazione tecnologica su CSP e accumulo termico</t>
  </si>
  <si>
    <t>utile per trend e roadmapping</t>
  </si>
  <si>
    <t>IEA - Bioenergy</t>
  </si>
  <si>
    <t>https://www.iea.org/energy-system/renewables/bioenergy</t>
  </si>
  <si>
    <t>ruolo bioenergia, mercati e sostenibilita</t>
  </si>
  <si>
    <t>fonte primaria per biomasse e bioenergia</t>
  </si>
  <si>
    <t>S066</t>
  </si>
  <si>
    <t>NREL ATB 2024 - Biopower (EIA)</t>
  </si>
  <si>
    <t>https://atb.nrel.gov/electricity/2024/biopower_%28eia%29</t>
  </si>
  <si>
    <t>benchmark costi e prestazioni biopower</t>
  </si>
  <si>
    <t>proiezioni ATB basate su EIA</t>
  </si>
  <si>
    <t>S067</t>
  </si>
  <si>
    <t>European Commission - Support schemes for renewable energy</t>
  </si>
  <si>
    <t>https://energy.ec.europa.eu/topics/renewable-energy/financing/support-schemes-renewable-energy_en</t>
  </si>
  <si>
    <t>quadro di supporto alle FER in UE</t>
  </si>
  <si>
    <t>rilevante per aste e incentivi</t>
  </si>
  <si>
    <t>IEA - Hydropower</t>
  </si>
  <si>
    <t>https://www.iea.org/energy-system/renewables/hydroelectricity</t>
  </si>
  <si>
    <t>quadro globale idroelettrico, ruolo e outlook</t>
  </si>
  <si>
    <t>fonte primaria per idroelettrico</t>
  </si>
  <si>
    <t>S069</t>
  </si>
  <si>
    <t>NREL ATB 2024 - Hydropower</t>
  </si>
  <si>
    <t>https://atb.nrel.gov/electricity/2024/hydropower</t>
  </si>
  <si>
    <t>benchmark costi e prestazioni idroelettrico</t>
  </si>
  <si>
    <t>fonte per costi greenfield e upgrading</t>
  </si>
  <si>
    <t>IEA - Nuclear power</t>
  </si>
  <si>
    <t>https://www.iea.org/energy-system/electricity/nuclear-power</t>
  </si>
  <si>
    <t>ruolo del nucleare nei sistemi elettrici e nella sicurezza energetica</t>
  </si>
  <si>
    <t>fonte primaria di scenario</t>
  </si>
  <si>
    <t>S071</t>
  </si>
  <si>
    <t>World Nuclear Association - Economics of Nuclear Power</t>
  </si>
  <si>
    <t>World Nuclear Association</t>
  </si>
  <si>
    <t>https://www.world-nuclear.org/information-library/economic-aspects/economics-of-nuclear-power</t>
  </si>
  <si>
    <t>economia, costi e struttura di costo del nucleare</t>
  </si>
  <si>
    <t>riferimento per costi e competitivita</t>
  </si>
  <si>
    <t>S072</t>
  </si>
  <si>
    <t>European Commission - Small Modular Reactors</t>
  </si>
  <si>
    <t>Normativa/strategia UE</t>
  </si>
  <si>
    <t>https://energy.ec.europa.eu/topics/nuclear-energy/small-modular-reactors_en</t>
  </si>
  <si>
    <t>quadro UE su SMR e alleanza industriale</t>
  </si>
  <si>
    <t>rilevante per nucleare avanzato</t>
  </si>
  <si>
    <t>S073</t>
  </si>
  <si>
    <t>IAEA - Safety standards</t>
  </si>
  <si>
    <t>IAEA</t>
  </si>
  <si>
    <t>https://www.iaea.org/resources/safety-standards</t>
  </si>
  <si>
    <t>standard globali di sicurezza nucleare</t>
  </si>
  <si>
    <t>riferimento regolatorio e di safety</t>
  </si>
  <si>
    <t>IEA - Natural gas</t>
  </si>
  <si>
    <t>https://www.iea.org/energy-system/fossil-fuels/natural-gas</t>
  </si>
  <si>
    <t>ruolo del gas naturale nel sistema energetico</t>
  </si>
  <si>
    <t>fonte primaria per gas</t>
  </si>
  <si>
    <t>S075</t>
  </si>
  <si>
    <t>NREL ATB 2024 - Fossil energy technologies</t>
  </si>
  <si>
    <t>https://atb.nrel.gov/electricity/2024/fossil_energy_technologies</t>
  </si>
  <si>
    <t>benchmark costi e prestazioni per gas e carbone con e senza CCS</t>
  </si>
  <si>
    <t>fonte tecnico-economica su tecnologie fossili</t>
  </si>
  <si>
    <t>IEA - Oil</t>
  </si>
  <si>
    <t>https://www.iea.org/energy-system/fossil-fuels/oil</t>
  </si>
  <si>
    <t>ruolo dell olio nel sistema energetico e nei mercati</t>
  </si>
  <si>
    <t>fonte primaria per olio</t>
  </si>
  <si>
    <t>IEA - Coal</t>
  </si>
  <si>
    <t>https://www.iea.org/energy-system/fossil-fuels/coal</t>
  </si>
  <si>
    <t>ruolo del carbone nel sistema energetico e nei mercati</t>
  </si>
  <si>
    <t>fonte primaria per carbone</t>
  </si>
  <si>
    <t>S078</t>
  </si>
  <si>
    <t>EUR-Lex - Complementary Climate Delegated Act for gas and nuclear</t>
  </si>
  <si>
    <t>https://eur-lex.europa.eu/legal-content/EN/TXT/?uri=intcom%3AC%282022%29631</t>
  </si>
  <si>
    <t>criteri di tassonomia UE per specifiche attivita gas e nucleare</t>
  </si>
  <si>
    <t>riferimento per allineamento condizionato</t>
  </si>
  <si>
    <t>IEA - The Future of Geothermal Energy</t>
  </si>
  <si>
    <t>https://www.iea.org/reports/the-future-of-geothermal-energy</t>
  </si>
  <si>
    <t>potenziale, costi e policy per geotermia di nuova generazione</t>
  </si>
  <si>
    <t>fonte primaria per geotermico</t>
  </si>
  <si>
    <t>S080</t>
  </si>
  <si>
    <t>NREL ATB 2024 - Geothermal</t>
  </si>
  <si>
    <t>https://atb.nrel.gov/electricity/2024/geothermal</t>
  </si>
  <si>
    <t>benchmark costi e prestazioni geotermiche</t>
  </si>
  <si>
    <t>copre hydrothermal ed EGS</t>
  </si>
  <si>
    <t>S081</t>
  </si>
  <si>
    <t>European Commission - Renewable Energy Directive</t>
  </si>
  <si>
    <t>target e regole per FER</t>
  </si>
  <si>
    <t>fonte di cornice rinnovabili</t>
  </si>
  <si>
    <t>S082</t>
  </si>
  <si>
    <t>GSE - Biometano</t>
  </si>
  <si>
    <t>https://www.gse.it/servizi-per-te/attuazione-misure-pnrr/biometano</t>
  </si>
  <si>
    <t>misure e incentivi per biometano in Italia</t>
  </si>
  <si>
    <t>riferimento nazionale biomasse / biometano</t>
  </si>
  <si>
    <t>S083</t>
  </si>
  <si>
    <t>criteri generali di tassonomia UE</t>
  </si>
  <si>
    <t>fonte trasversale per allineamento</t>
  </si>
  <si>
    <t>S084</t>
  </si>
  <si>
    <t>MASE - FER2</t>
  </si>
  <si>
    <t>https://www.mase.gov.it/portale/fer2</t>
  </si>
  <si>
    <t>incentivi per rinnovabili innovative incluse alcune configurazioni geotermiche</t>
  </si>
  <si>
    <t>riferimento nazionale geotermia / rinnovabili innovative</t>
  </si>
  <si>
    <t>S085</t>
  </si>
  <si>
    <t>European Industrial Alliance on SMRs</t>
  </si>
  <si>
    <t>Strategia industriale UE</t>
  </si>
  <si>
    <t>https://single-market-economy.ec.europa.eu/industry/industrial-alliances/european-industrial-alliance-small-modular-reactors_en</t>
  </si>
  <si>
    <t>alleanza industriale UE per SMR</t>
  </si>
  <si>
    <t>sviluppo e deployment SMR in Europa</t>
  </si>
  <si>
    <t>S086</t>
  </si>
  <si>
    <t>European Commission - Strategy for the development and deployment of SMRs in Europe</t>
  </si>
  <si>
    <t>Strategia UE</t>
  </si>
  <si>
    <t>https://eur-lex.europa.eu/legal-content/EN/TXT/?uri=celex%3A52026DC0117</t>
  </si>
  <si>
    <t>strategia SMR UE pubblicata nel 2026</t>
  </si>
  <si>
    <t>riferimento molto recente</t>
  </si>
  <si>
    <t>S087</t>
  </si>
  <si>
    <t>IEA - Gas 2025</t>
  </si>
  <si>
    <t>https://www.iea.org/reports/gas-2025</t>
  </si>
  <si>
    <t>mercato gas e outlook al 2030</t>
  </si>
  <si>
    <t>utile per scenario gas</t>
  </si>
  <si>
    <t>S088</t>
  </si>
  <si>
    <t>IEA - Oil 2025</t>
  </si>
  <si>
    <t>https://www.iea.org/reports/oil-2025</t>
  </si>
  <si>
    <t>mercato petrolio e outlook al 2030</t>
  </si>
  <si>
    <t>utile per scenario oil</t>
  </si>
  <si>
    <t>S089</t>
  </si>
  <si>
    <t>IEA - Coal 2025</t>
  </si>
  <si>
    <t>https://www.iea.org/reports/coal-2025</t>
  </si>
  <si>
    <t>mercato carbone e outlook al 2030</t>
  </si>
  <si>
    <t>utile per scenario coal</t>
  </si>
  <si>
    <t>S090</t>
  </si>
  <si>
    <t>Noor Energy 1</t>
  </si>
  <si>
    <t>DEWA</t>
  </si>
  <si>
    <t>https://www.noorenergy.ae/</t>
  </si>
  <si>
    <t>mega progetto CSP+PV con accumulo termico</t>
  </si>
  <si>
    <t>best practice CSP</t>
  </si>
  <si>
    <t>S091</t>
  </si>
  <si>
    <t>Cerro Dominador</t>
  </si>
  <si>
    <t>https://cerrodominador.com/en/</t>
  </si>
  <si>
    <t>impianto tower CSP con accumulo in Cile</t>
  </si>
  <si>
    <t>S092</t>
  </si>
  <si>
    <t>Noor Ouarzazate III</t>
  </si>
  <si>
    <t>ACWA Power / MASEN</t>
  </si>
  <si>
    <t>https://www.acwapower.com/en/projects/noor-ouarzazate-iii/</t>
  </si>
  <si>
    <t>impianto tower CSP con storage in Marocco</t>
  </si>
  <si>
    <t>S093</t>
  </si>
  <si>
    <t>Silkeborg district heating solar plant</t>
  </si>
  <si>
    <t>Arcon-Sunmark / Silkeborg Forsyning</t>
  </si>
  <si>
    <t>https://arcon-sunmark.com/cases/silkeborg/</t>
  </si>
  <si>
    <t>grande impianto solar district heating</t>
  </si>
  <si>
    <t>best practice solare termico per calore</t>
  </si>
  <si>
    <t>S094</t>
  </si>
  <si>
    <t>Stockholm Exergi - Vartan bioenergy CHP</t>
  </si>
  <si>
    <t>Stockholm Exergi</t>
  </si>
  <si>
    <t>https://www.stockholmexergi.se/en/our-business/our-production-plants/vartanverket/</t>
  </si>
  <si>
    <t>CHP a biomassa per elettricita e calore urbano</t>
  </si>
  <si>
    <t>best practice bioenergia urbana</t>
  </si>
  <si>
    <t>S095</t>
  </si>
  <si>
    <t>Drax BECCS</t>
  </si>
  <si>
    <t>Drax</t>
  </si>
  <si>
    <t>https://www.drax.com/beccs/</t>
  </si>
  <si>
    <t>biomassa con cattura della CO2</t>
  </si>
  <si>
    <t>best practice BECCS</t>
  </si>
  <si>
    <t>S096</t>
  </si>
  <si>
    <t>VERBIO biomethane and bioLNG</t>
  </si>
  <si>
    <t>VERBIO</t>
  </si>
  <si>
    <t>https://www.verbio.com/en/</t>
  </si>
  <si>
    <t>integrazione biometano e bioLNG</t>
  </si>
  <si>
    <t>best practice biometano</t>
  </si>
  <si>
    <t>S097</t>
  </si>
  <si>
    <t>Avedore Power Station</t>
  </si>
  <si>
    <t>https://orsted.com/en/our-business/our-power-plants/avedore-power-station</t>
  </si>
  <si>
    <t>conversione verso biomassa e cogenerazione</t>
  </si>
  <si>
    <t>best practice conversione impianti</t>
  </si>
  <si>
    <t>S098</t>
  </si>
  <si>
    <t>The Geysers</t>
  </si>
  <si>
    <t>Calpine</t>
  </si>
  <si>
    <t>https://www.calpine.com/the-geysers</t>
  </si>
  <si>
    <t>piu grande complesso geotermico operativo al mondo</t>
  </si>
  <si>
    <t>best practice geotermia convenzionale</t>
  </si>
  <si>
    <t>S099</t>
  </si>
  <si>
    <t>Hellisheidi geothermal plant</t>
  </si>
  <si>
    <t>ON Power</t>
  </si>
  <si>
    <t>https://www.on.is/en/power-plants/hellisheidi-power-station</t>
  </si>
  <si>
    <t>integrazione elettricita, calore e mineralizzazione CO2</t>
  </si>
  <si>
    <t>best practice geotermia islandese</t>
  </si>
  <si>
    <t>S100</t>
  </si>
  <si>
    <t>Fervo Energy - Cape Station</t>
  </si>
  <si>
    <t>Fervo Energy</t>
  </si>
  <si>
    <t>https://fervoenergy.com/cape-station/</t>
  </si>
  <si>
    <t>progetto EGS / next-gen geothermal</t>
  </si>
  <si>
    <t>best practice geotermia avanzata</t>
  </si>
  <si>
    <t>S101</t>
  </si>
  <si>
    <t>Eavor</t>
  </si>
  <si>
    <t>https://eavor.com/</t>
  </si>
  <si>
    <t>closed-loop geothermal di nuova generazione</t>
  </si>
  <si>
    <t>best practice geotermia closed-loop</t>
  </si>
  <si>
    <t>S102</t>
  </si>
  <si>
    <t>Three Gorges Project</t>
  </si>
  <si>
    <t>China Three Gorges</t>
  </si>
  <si>
    <t>https://www.ctg.com.cn/en/</t>
  </si>
  <si>
    <t>mega impianto idroelettrico multiuso</t>
  </si>
  <si>
    <t>best practice scala idroelettrica</t>
  </si>
  <si>
    <t>S103</t>
  </si>
  <si>
    <t>Bath County Pumped Storage Station</t>
  </si>
  <si>
    <t>Dominion Energy</t>
  </si>
  <si>
    <t>https://www.dominionenergy.com/projects-and-facilities/hydroelectric-facilities/bath-county-pumped-storage-station</t>
  </si>
  <si>
    <t>impianto di pompaggio per flessibilita di sistema</t>
  </si>
  <si>
    <t>best practice storage idroelettrico</t>
  </si>
  <si>
    <t>S104</t>
  </si>
  <si>
    <t>Itaipu Binacional</t>
  </si>
  <si>
    <t>https://www.itaipu.gov.br/en</t>
  </si>
  <si>
    <t>benchmark di grande idroelettrico e governance binazionale</t>
  </si>
  <si>
    <t>best practice gestione e affidabilita</t>
  </si>
  <si>
    <t>S105</t>
  </si>
  <si>
    <t>Nant de Drance</t>
  </si>
  <si>
    <t>https://www.nant-de-drance.ch/en/</t>
  </si>
  <si>
    <t>pompaggio ad alta flessibilita in area alpina</t>
  </si>
  <si>
    <t>best practice pumped storage</t>
  </si>
  <si>
    <t>S106</t>
  </si>
  <si>
    <t>Barakah Nuclear Energy Plant</t>
  </si>
  <si>
    <t>ENEC</t>
  </si>
  <si>
    <t>https://www.enec.gov.ae/barakah-plant/</t>
  </si>
  <si>
    <t>nucleare di nuova realizzazione su scala nazionale</t>
  </si>
  <si>
    <t>best practice new build</t>
  </si>
  <si>
    <t>S107</t>
  </si>
  <si>
    <t>Olkiluoto 3</t>
  </si>
  <si>
    <t>TVO</t>
  </si>
  <si>
    <t>https://www.tvo.fi/en/index/production/plants/olkiluoto3.html</t>
  </si>
  <si>
    <t>EPR europeo entrato in esercizio commerciale</t>
  </si>
  <si>
    <t>best practice Gen III+ in UE</t>
  </si>
  <si>
    <t>S108</t>
  </si>
  <si>
    <t>Vogtle Units 3 and 4</t>
  </si>
  <si>
    <t>Georgia Power</t>
  </si>
  <si>
    <t>https://www.georgiapower.com/company/energy-industry/nuclear-energy/vogtle-3-and-4.html</t>
  </si>
  <si>
    <t>nuovi AP1000 in esercizio negli USA</t>
  </si>
  <si>
    <t>best practice new build USA</t>
  </si>
  <si>
    <t>S109</t>
  </si>
  <si>
    <t>Linglong One SMR</t>
  </si>
  <si>
    <t>CNNC</t>
  </si>
  <si>
    <t>https://en.cnnc.com.cn/</t>
  </si>
  <si>
    <t>SMR di riferimento in Cina</t>
  </si>
  <si>
    <t>best practice SMR frontiera</t>
  </si>
  <si>
    <t>S110</t>
  </si>
  <si>
    <t>Keadby 2 Power Station</t>
  </si>
  <si>
    <t>SSE Thermal</t>
  </si>
  <si>
    <t>https://www.ssethermal.com/our-business/our-projects/keadby-2/</t>
  </si>
  <si>
    <t>CCGT flessibile e ad alta efficienza</t>
  </si>
  <si>
    <t>best practice CCGT</t>
  </si>
  <si>
    <t>S111</t>
  </si>
  <si>
    <t>Intermountain Power Project</t>
  </si>
  <si>
    <t>IPA / Mitsubishi Power</t>
  </si>
  <si>
    <t>https://ipautah.com/intermountain-power-project/</t>
  </si>
  <si>
    <t>conversione verso turbina H2-capable</t>
  </si>
  <si>
    <t>best practice gas hydrogen-ready</t>
  </si>
  <si>
    <t>S112</t>
  </si>
  <si>
    <t>NET Power</t>
  </si>
  <si>
    <t>https://netpower.com/</t>
  </si>
  <si>
    <t>ciclo ossicombustione a gas con cattura intrinseca CO2</t>
  </si>
  <si>
    <t>best practice gas con CCS</t>
  </si>
  <si>
    <t>S113</t>
  </si>
  <si>
    <t>T-Power Tessenderlo CCGT</t>
  </si>
  <si>
    <t>T-Power</t>
  </si>
  <si>
    <t>https://www.engie.com/en/activities/electricity/t-power</t>
  </si>
  <si>
    <t>centrale gas efficiente per mercato europeo</t>
  </si>
  <si>
    <t>best practice CCGT merchant</t>
  </si>
  <si>
    <t>S114</t>
  </si>
  <si>
    <t>S-OIL Shaheen Project</t>
  </si>
  <si>
    <t>S-OIL</t>
  </si>
  <si>
    <t>https://www.s-oil.com/en/ir/shaheen.aspx</t>
  </si>
  <si>
    <t>upgrading raffinazione con maggiore efficienza e resa</t>
  </si>
  <si>
    <t>best practice oil refining</t>
  </si>
  <si>
    <t>S115</t>
  </si>
  <si>
    <t>Neste Porvoo transformation</t>
  </si>
  <si>
    <t>Neste</t>
  </si>
  <si>
    <t>https://www.neste.com/</t>
  </si>
  <si>
    <t>trasformazione raffinazione verso prodotti a minore intensita carbonica</t>
  </si>
  <si>
    <t>best practice transizione oil</t>
  </si>
  <si>
    <t>S116</t>
  </si>
  <si>
    <t>ADNOC decarbonization and efficiency</t>
  </si>
  <si>
    <t>ADNOC</t>
  </si>
  <si>
    <t>https://www.adnoc.ae/en/sustainability</t>
  </si>
  <si>
    <t>efficienza operativa e riduzione flaring / metano</t>
  </si>
  <si>
    <t>best practice oil upstream</t>
  </si>
  <si>
    <t>S117</t>
  </si>
  <si>
    <t>Jamnagar refinery complex</t>
  </si>
  <si>
    <t>Reliance Industries</t>
  </si>
  <si>
    <t>https://www.ril.com/ourbusinesses/oil-and-gas.aspx</t>
  </si>
  <si>
    <t>integrazione di scala e ottimizzazione raffinazione</t>
  </si>
  <si>
    <t>best practice scala oil</t>
  </si>
  <si>
    <t>S118</t>
  </si>
  <si>
    <t>Petra Nova</t>
  </si>
  <si>
    <t>https://petranova.com/</t>
  </si>
  <si>
    <t>retrofit CCS su impianto a carbone</t>
  </si>
  <si>
    <t>best practice coal CCS</t>
  </si>
  <si>
    <t>S119</t>
  </si>
  <si>
    <t>Boundary Dam Unit 3 CCS</t>
  </si>
  <si>
    <t>SaskPower</t>
  </si>
  <si>
    <t>https://www.saskpower.com/Our-Power-Future/Infrastructure-Projects/Carbon-Capture-and-Storage/Boundary-Dam-Carbon-Capture-Project</t>
  </si>
  <si>
    <t>impianto a carbone con CCS operativo</t>
  </si>
  <si>
    <t>S120</t>
  </si>
  <si>
    <t>Isogo Thermal Power Station</t>
  </si>
  <si>
    <t>JERA</t>
  </si>
  <si>
    <t>https://www.jera.co.jp/english/corporate/business/thermalpower/list/isogo</t>
  </si>
  <si>
    <t>ultra-supercritical coal con standard emissivi elevati</t>
  </si>
  <si>
    <t>best practice HELE coal</t>
  </si>
  <si>
    <t>S121</t>
  </si>
  <si>
    <t>Yuhuan power plant</t>
  </si>
  <si>
    <t>China Energy</t>
  </si>
  <si>
    <t>https://www.ceic.com/</t>
  </si>
  <si>
    <t>impianto ultrasupercritico di grande taglia</t>
  </si>
  <si>
    <t>best practice coal efficiency</t>
  </si>
  <si>
    <t>03_Tecnologie | Anagrafica tecnologie osservate</t>
  </si>
  <si>
    <t>Precaricato l’elenco base delle tecnologie emerse nel brief. Integrare con nuove tecnologie mantenendo un Tech_ID univoco e stabile.</t>
  </si>
  <si>
    <t>Cluster</t>
  </si>
  <si>
    <t>Descrizione sintetica</t>
  </si>
  <si>
    <t>Geografia focus</t>
  </si>
  <si>
    <t>Link approfondimento</t>
  </si>
  <si>
    <t>Fonte_ID primaria</t>
  </si>
  <si>
    <t>Ultimo aggiornamento</t>
  </si>
  <si>
    <t>Responsabile</t>
  </si>
  <si>
    <t>Fonti fossili</t>
  </si>
  <si>
    <t>Tecnologia fossile matura usata soprattutto per generazione elettrica e processi industriali ad alta intensita energetica; in molti mercati e in declino regolatorio ma ancora rilevante per sicurezza e baseload.</t>
  </si>
  <si>
    <t>Tecnologia fossile consolidata che alimenta soprattutto mobilita, calore e parte della generazione di backup; strategicamente rilevante ma esposta a forte pressione climatica e di efficienza.</t>
  </si>
  <si>
    <t>Fonti fossili / transitoria</t>
  </si>
  <si>
    <t>Tecnologia fossile flessibile e programmabile, centrale per bilanciamento del sistema elettrico, calore industriale e sicurezza energetica; in UE e considerata fonte transitoria sotto condizioni stringenti.</t>
  </si>
  <si>
    <t>Italia / UE</t>
  </si>
  <si>
    <t>Solare</t>
  </si>
  <si>
    <t>Tecnologia di generazione elettrica che converte la radiazione solare in elettricità tramite celle semiconduttrici. Applicabile su scala utility, C&amp;I, residenziale, floating e agrivoltaica.</t>
  </si>
  <si>
    <t>2026-03-28</t>
  </si>
  <si>
    <t>Tecnologia che converte l irraggiamento solare in calore utile o in elettricita tramite concentrazione; include collettori per acqua calda/process heat e CSP con accumulo termico per generazione programmabile.</t>
  </si>
  <si>
    <t>MENA / UE</t>
  </si>
  <si>
    <t>Elettricità rinnovabile</t>
  </si>
  <si>
    <t>Tecnologia di generazione elettrica che converte l energia cinetica del vento in elettricita tramite aerogeneratori onshore e offshore, inclusi sistemi floating in acque profonde.</t>
  </si>
  <si>
    <t>Elettricita rinnovabile</t>
  </si>
  <si>
    <t>Tecnologia rinnovabile matura e programmabile che sfrutta salti idraulici, invasi o impianti ad acqua fluente; chiave per flessibilita, riserva e servizi di rete, inclusi sistemi di pompaggio.</t>
  </si>
  <si>
    <t>Bioenergia</t>
  </si>
  <si>
    <t>Famiglia di tecnologie che valorizza biomasse solide, biogas, biometano e residui organici per produrre elettricita, calore, gas rinnovabili e combustibili avanzati, con forte dipendenza dalla sostenibilita della filiera.</t>
  </si>
  <si>
    <t>UE / Italia</t>
  </si>
  <si>
    <t>Calore / elettricita rinnovabile</t>
  </si>
  <si>
    <t>Tecnologia che sfrutta il calore del sottosuolo per generare elettricita e calore; oggi basata su risorse idrotermali ma in forte attenzione per EGS e closed-loop di nuova generazione.</t>
  </si>
  <si>
    <t>UE / Globale</t>
  </si>
  <si>
    <t>Tecnologia a basse emissioni lifecycle per generazione elettrica e potenzialmente calore industriale; elevata intensita di capitale, forte rilevanza per sicurezza energetica, con nuova attenzione verso Gen III+ e SMR.</t>
  </si>
  <si>
    <t>Vettore energetico prodotto per elettrolisi dell acqua alimentata da elettricita rinnovabile; rilevante per industria hard-to-abate, chimica, fertilizzanti e alcuni trasporti pesanti.</t>
  </si>
  <si>
    <t>T012</t>
  </si>
  <si>
    <t>04_Componenti | Anagrafica componenti e sottosistemi</t>
  </si>
  <si>
    <t>Starter list con alcuni componenti esemplificativi. Puoi estendere l’anagrafica aggiungendo righe mantenendo Comp_ID stabili e univoci.</t>
  </si>
  <si>
    <t>Macrocomponente</t>
  </si>
  <si>
    <t>Componente / Sottosistema</t>
  </si>
  <si>
    <t>Funzione</t>
  </si>
  <si>
    <t>Stato componente</t>
  </si>
  <si>
    <t>Fonte_ID</t>
  </si>
  <si>
    <t>Note</t>
  </si>
  <si>
    <t>Generazione</t>
  </si>
  <si>
    <t>Elemento attivo composto da celle, vetro, encapsulante e frame; oggi dominano soluzioni bifacciali e n-type.</t>
  </si>
  <si>
    <t>Conversione della radiazione in corrente continua</t>
  </si>
  <si>
    <t>mainstream c-Si; transizione rapida verso TOPCon</t>
  </si>
  <si>
    <t>C-FV-002</t>
  </si>
  <si>
    <t>Elettronica di potenza</t>
  </si>
  <si>
    <t>Inverter</t>
  </si>
  <si>
    <t>Converte la corrente continua in alternata e abilita controllo, protezione e servizi di rete.</t>
  </si>
  <si>
    <t>Conversione DC/AC, controllo e grid support</t>
  </si>
  <si>
    <t>piattaforme 1500 V e funzioni smart inverter</t>
  </si>
  <si>
    <t>C-FV-003</t>
  </si>
  <si>
    <t>Accumulo / backup</t>
  </si>
  <si>
    <t>Sistema di backup / accumulo</t>
  </si>
  <si>
    <t>Batterie e PCS integrati con il FV per continuità, peak shaving e riduzione curtailment.</t>
  </si>
  <si>
    <t>Flessibilità, backup e ottimizzazione energetica</t>
  </si>
  <si>
    <t>crescita rapida nei sistemi ibridi PV+BESS</t>
  </si>
  <si>
    <t>C-ST-001</t>
  </si>
  <si>
    <t>Captazione solare</t>
  </si>
  <si>
    <t>Campo collettori / eliostati</t>
  </si>
  <si>
    <t>Superficie ottica che concentra o raccoglie la radiazione solare.</t>
  </si>
  <si>
    <t>Raccolta energia solare</t>
  </si>
  <si>
    <t>2026-03-29</t>
  </si>
  <si>
    <t>starter</t>
  </si>
  <si>
    <t>C-ST-002</t>
  </si>
  <si>
    <t>Accumulo termico</t>
  </si>
  <si>
    <t>Serbatoio / TES termico</t>
  </si>
  <si>
    <t>Accumulo caldo/freddo o molten salt per spostare produzione nel tempo.</t>
  </si>
  <si>
    <t>Dispatchability e spostamento energetico</t>
  </si>
  <si>
    <t>C-FV-004</t>
  </si>
  <si>
    <t>Inseguimento / BOS</t>
  </si>
  <si>
    <t>Tracker monoassiale</t>
  </si>
  <si>
    <t>Struttura mobile che aumenta la produzione seguendo il sole, molto diffusa negli impianti utility-scale.</t>
  </si>
  <si>
    <t>Incremento resa energetica</t>
  </si>
  <si>
    <t>standard di mercato in molti impianti a terra</t>
  </si>
  <si>
    <t>C-FV-005</t>
  </si>
  <si>
    <t>BOS / connessione</t>
  </si>
  <si>
    <t>Strutture e BOS</t>
  </si>
  <si>
    <t>Cabling, quadri, trasformatori, protezioni e opere elettromeccaniche di impianto.</t>
  </si>
  <si>
    <t>Installazione, connessione e sicurezza</t>
  </si>
  <si>
    <t>determinante per costi e tempi di connessione</t>
  </si>
  <si>
    <t>C-FV-006</t>
  </si>
  <si>
    <t>Modulo avanzato</t>
  </si>
  <si>
    <t>Modulo tandem perovskite-silicio</t>
  </si>
  <si>
    <t>Nuova generazione di moduli ad altissima efficienza, oggi in fase di scale-up industriale iniziale.</t>
  </si>
  <si>
    <t>Aumento efficienza e riduzione impronta materiale per kWh</t>
  </si>
  <si>
    <t>FOAK / pre-commerciale</t>
  </si>
  <si>
    <t>alto potenziale ma sfide su stabilità e durabilità</t>
  </si>
  <si>
    <t>C-FV-007</t>
  </si>
  <si>
    <t>Applicazione integrata</t>
  </si>
  <si>
    <t>Sistema agrivoltaico</t>
  </si>
  <si>
    <t>Configurazione integrata FV + attività agricola con progettazione per dual land use.</t>
  </si>
  <si>
    <t>Co-produzione di energia e valore agricolo</t>
  </si>
  <si>
    <t>in sviluppo regolatorio e tecnico</t>
  </si>
  <si>
    <t>C-GEO-001</t>
  </si>
  <si>
    <t>Reservoir</t>
  </si>
  <si>
    <t>Esplorazione e modellazione serbatoio</t>
  </si>
  <si>
    <t>Geofisica, geologia e reservoir simulation.</t>
  </si>
  <si>
    <t>Riduzione rischio geologico</t>
  </si>
  <si>
    <t>C-NUC-001</t>
  </si>
  <si>
    <t>Nuclear island</t>
  </si>
  <si>
    <t>Reattore e vessel</t>
  </si>
  <si>
    <t>Core, vessel e sistema nucleare principale.</t>
  </si>
  <si>
    <t>Fissione controllata e produzione calore</t>
  </si>
  <si>
    <t>C-H2-001</t>
  </si>
  <si>
    <t>Produzione</t>
  </si>
  <si>
    <t>Elettrolizzatore alcalino</t>
  </si>
  <si>
    <t>Tecnologia matura con elettrolita liquido, adatta a grandi taglie e CAPEX relativamente contenuto.</t>
  </si>
  <si>
    <t>Scissione dell acqua in H2 e O2</t>
  </si>
  <si>
    <t>maturita elevata, meno dinamica del PEM</t>
  </si>
  <si>
    <t>C-H2-002</t>
  </si>
  <si>
    <t>Elettrolizzatore PEM</t>
  </si>
  <si>
    <t>Tecnologia polimerica con buona flessibilita e rapido ramping, adatta a integrazione con rinnovabili variabili.</t>
  </si>
  <si>
    <t>Produzione H2 con elevata dinamica operativa</t>
  </si>
  <si>
    <t>attenzione a iridio e platino</t>
  </si>
  <si>
    <t>C-H2-003</t>
  </si>
  <si>
    <t>Produzione avanzata</t>
  </si>
  <si>
    <t>Elettrolizzatore SOEC</t>
  </si>
  <si>
    <t>Tecnologia ad alta temperatura con potenziale di maggiore efficienza, particolarmente interessante con calore di processo.</t>
  </si>
  <si>
    <t>Produzione H2 ad alta efficienza con input termico</t>
  </si>
  <si>
    <t>Pre-commerciale</t>
  </si>
  <si>
    <t>alta efficienza ma durabilita ancora da consolidare</t>
  </si>
  <si>
    <t>C-WI-001</t>
  </si>
  <si>
    <t>Aerodinamica</t>
  </si>
  <si>
    <t>Rotore e pale</t>
  </si>
  <si>
    <t>Insieme pale-mozzo che cattura energia dal vento; trend verso pale piu lunghe e migliori materiali compositi.</t>
  </si>
  <si>
    <t>Conversione dell energia cinetica del vento in coppia meccanica</t>
  </si>
  <si>
    <t>frontiera su materiali, logistica e riciclo</t>
  </si>
  <si>
    <t>C-WI-002</t>
  </si>
  <si>
    <t>Conversione elettromeccanica</t>
  </si>
  <si>
    <t>Nacelle e drivetrain</t>
  </si>
  <si>
    <t>Insieme gearbox/direct drive, generatore e sistemi ausiliari che convertono la potenza meccanica in elettrica.</t>
  </si>
  <si>
    <t>Conversione meccanico-elettrica e affidabilita di sistema</t>
  </si>
  <si>
    <t>evoluzione verso maggior digitalizzazione e affidabilita</t>
  </si>
  <si>
    <t>C-WI-003</t>
  </si>
  <si>
    <t>Struttura</t>
  </si>
  <si>
    <t>Torre e struttura di supporto</t>
  </si>
  <si>
    <t>Torre tubolare o modulare che aumenta l accesso a risorse migliori e influenza logistica, CAPEX e performance.</t>
  </si>
  <si>
    <t>Supporto strutturale e altezza mozzo</t>
  </si>
  <si>
    <t>chiave per classi di vento medio-basse</t>
  </si>
  <si>
    <t>C-WI-004</t>
  </si>
  <si>
    <t>Offshore fisso</t>
  </si>
  <si>
    <t>Fondazione fissa offshore</t>
  </si>
  <si>
    <t>Monopile, jacket o altre soluzioni per acque relativamente basse; standard dominante nell offshore europeo.</t>
  </si>
  <si>
    <t>Ancoraggio e stabilita in ambiente marino</t>
  </si>
  <si>
    <t>componente chiave di CAPEX e installazione</t>
  </si>
  <si>
    <t>C-WI-005</t>
  </si>
  <si>
    <t>Offshore floating</t>
  </si>
  <si>
    <t>Piattaforma floating</t>
  </si>
  <si>
    <t>Sottostruttura galleggiante con sistemi di ancoraggio che abilita sviluppo in acque profonde.</t>
  </si>
  <si>
    <t>Sostegno della turbina in acque profonde</t>
  </si>
  <si>
    <t>frontiera tecnologica e industriale</t>
  </si>
  <si>
    <t>C-WI-006</t>
  </si>
  <si>
    <t>Digitale / O&amp;M</t>
  </si>
  <si>
    <t>Sistemi di controllo e condition monitoring</t>
  </si>
  <si>
    <t>Sensoristica, SCADA, digital twin e algoritmi per ottimizzare resa, disponibilita e manutenzione predittiva.</t>
  </si>
  <si>
    <t>Ottimizzazione produzione, affidabilita e O&amp;M</t>
  </si>
  <si>
    <t>abilita incremento della disponibilita</t>
  </si>
  <si>
    <t>C-WI-007</t>
  </si>
  <si>
    <t>Grid connection</t>
  </si>
  <si>
    <t>Sottostazione e connessione di rete</t>
  </si>
  <si>
    <t>Trasformatori, sottostazioni offshore/onshore e cavi HVAC/HVDC necessari per evacuare la produzione.</t>
  </si>
  <si>
    <t>Connessione alla rete e integrazione di sistema</t>
  </si>
  <si>
    <t>driver critico per time-to-market offshore</t>
  </si>
  <si>
    <t>C-CO-001</t>
  </si>
  <si>
    <t>Supply</t>
  </si>
  <si>
    <t>Estrazione e preparazione</t>
  </si>
  <si>
    <t>Mining, washing e handling del carbone con controllo qualita combustibile.</t>
  </si>
  <si>
    <t>Fornitura combustibile e riduzione impurita</t>
  </si>
  <si>
    <t>C-CO-002</t>
  </si>
  <si>
    <t>Combustione</t>
  </si>
  <si>
    <t>Caldaia PC / USC</t>
  </si>
  <si>
    <t>Boiler a polverino, supercritical o ultrasupercritical per migliorare efficienza.</t>
  </si>
  <si>
    <t>Generazione vapore ad alta temperatura e pressione</t>
  </si>
  <si>
    <t>C-CO-003</t>
  </si>
  <si>
    <t>Turbina</t>
  </si>
  <si>
    <t>Turbina a vapore e generatore</t>
  </si>
  <si>
    <t>Isola convenzionale di conversione termoelettrica.</t>
  </si>
  <si>
    <t>Conversione meccanica ed elettrica</t>
  </si>
  <si>
    <t>C-H2-004</t>
  </si>
  <si>
    <t>Balance of Plant</t>
  </si>
  <si>
    <t>Rettificatori, acqua e ausiliari di processo</t>
  </si>
  <si>
    <t>Include conversione elettrica, deionizzazione, raffreddamento, separazione gas e sicurezza.</t>
  </si>
  <si>
    <t>Supporto al funzionamento dello stack</t>
  </si>
  <si>
    <t>spesso quota rilevante del CAPEX totale</t>
  </si>
  <si>
    <t>C-H2-005</t>
  </si>
  <si>
    <t>Midstream</t>
  </si>
  <si>
    <t>Compressione e stoccaggio H2</t>
  </si>
  <si>
    <t>Compressori, serbatoi e sistemi di accumulo per buffer operativo, distribuzione e flessibilita.</t>
  </si>
  <si>
    <t>Condizionamento e disponibilita del vettore</t>
  </si>
  <si>
    <t>cruciale per utilizzi continui e logistica</t>
  </si>
  <si>
    <t>C-H2-006</t>
  </si>
  <si>
    <t>Logistica</t>
  </si>
  <si>
    <t>Trasporto e distribuzione</t>
  </si>
  <si>
    <t>Tube trailer, pipeline, liquefazione o conversione in vettori come ammoniaca per movimentazione a distanza.</t>
  </si>
  <si>
    <t>Consegna del vettore ai siti di uso finale</t>
  </si>
  <si>
    <t>maturita variabile per soluzione e distanza</t>
  </si>
  <si>
    <t>C-H2-007</t>
  </si>
  <si>
    <t>Controllo sistema</t>
  </si>
  <si>
    <t>Energy management e integrazione con rinnovabili</t>
  </si>
  <si>
    <t>EMS e logiche di dispatch che coordinano elettrolizzatore, rinnovabili, rete e stoccaggi.</t>
  </si>
  <si>
    <t>Ottimizzazione LCOH e flessibilita di esercizio</t>
  </si>
  <si>
    <t>determinante per profilo di utilizzo e business case</t>
  </si>
  <si>
    <t>C-CO-004</t>
  </si>
  <si>
    <t>Controllo emissioni</t>
  </si>
  <si>
    <t>FGD / SCR / ESP</t>
  </si>
  <si>
    <t>Sistemi di abbattimento SOx, NOx, polveri e mercurio.</t>
  </si>
  <si>
    <t>Conformita ambientale</t>
  </si>
  <si>
    <t>C-CO-005</t>
  </si>
  <si>
    <t>Decarbonizzazione</t>
  </si>
  <si>
    <t>CCS retrofit</t>
  </si>
  <si>
    <t>Cattura post-combustione e compressione CO2 su impianti esistenti o nuovi.</t>
  </si>
  <si>
    <t>Riduzione emissioni lifecycle e direct stack</t>
  </si>
  <si>
    <t>C-CO-006</t>
  </si>
  <si>
    <t>Materiali avanzati</t>
  </si>
  <si>
    <t>AUSC materials</t>
  </si>
  <si>
    <t>Materiali e componenti per temperature piu elevate e maggiore efficienza.</t>
  </si>
  <si>
    <t>Aumento efficienza e affidabilita</t>
  </si>
  <si>
    <t>C-OI-001</t>
  </si>
  <si>
    <t>Upstream</t>
  </si>
  <si>
    <t>Produzione ed estrazione</t>
  </si>
  <si>
    <t>Pozzi, gathering e separazione primaria del greggio.</t>
  </si>
  <si>
    <t>Fornitura feedstock liquidi</t>
  </si>
  <si>
    <t>C-OI-002</t>
  </si>
  <si>
    <t>Stoccaggio e logistica</t>
  </si>
  <si>
    <t>Tank farm, terminali, shipping e pipeline per greggio e prodotti.</t>
  </si>
  <si>
    <t>Movimentazione e sicurezza di approvvigionamento</t>
  </si>
  <si>
    <t>C-OI-003</t>
  </si>
  <si>
    <t>Downstream</t>
  </si>
  <si>
    <t>Raffinazione</t>
  </si>
  <si>
    <t>Distillazione, cracking, hydrotreating e upgrading prodotti.</t>
  </si>
  <si>
    <t>Produzione carburanti e feedstock</t>
  </si>
  <si>
    <t>C-OI-004</t>
  </si>
  <si>
    <t>Uso finale</t>
  </si>
  <si>
    <t>Motori / turbine oil-fired</t>
  </si>
  <si>
    <t>Tecnologie di combustione per trasporti, backup e alcuni mercati insulari.</t>
  </si>
  <si>
    <t>Conversione energetica finale</t>
  </si>
  <si>
    <t>C-OI-005</t>
  </si>
  <si>
    <t>Efficienza</t>
  </si>
  <si>
    <t>Cogen e heat integration</t>
  </si>
  <si>
    <t>Recuperi termici, cogenerazione e digital energy management in raffineria.</t>
  </si>
  <si>
    <t>Riduzione consumi ed emissioni</t>
  </si>
  <si>
    <t>C-OI-006</t>
  </si>
  <si>
    <t>Abatement</t>
  </si>
  <si>
    <t>Flare and methane monitoring</t>
  </si>
  <si>
    <t>Tecnologie LDAR, riduzione flaring e monitoraggio perdite.</t>
  </si>
  <si>
    <t>Riduzione emissioni fuggitive</t>
  </si>
  <si>
    <t>C-GA-001</t>
  </si>
  <si>
    <t>Produzione e supply</t>
  </si>
  <si>
    <t>Upstream / LNG / import</t>
  </si>
  <si>
    <t>Filiera di produzione, liquefazione, rigassificazione e importazione gas.</t>
  </si>
  <si>
    <t>Sicurezza di approvvigionamento</t>
  </si>
  <si>
    <t>C-GA-002</t>
  </si>
  <si>
    <t>Turbina a gas simple cycle</t>
  </si>
  <si>
    <t>Macchine flessibili per picco e servizi ancillari.</t>
  </si>
  <si>
    <t>Peak load e fast ramping</t>
  </si>
  <si>
    <t>C-GA-003</t>
  </si>
  <si>
    <t>CCGT H/F class</t>
  </si>
  <si>
    <t>Cicli combinati ad alta efficienza per mid-merit e baseload flessibile.</t>
  </si>
  <si>
    <t>Generazione efficiente e modulabile</t>
  </si>
  <si>
    <t>C-GA-004</t>
  </si>
  <si>
    <t>Infrastruttura</t>
  </si>
  <si>
    <t>Storage, pipeline e terminali</t>
  </si>
  <si>
    <t>Reti, stoccaggi e terminali LNG a supporto di sicurezza e flessibilita.</t>
  </si>
  <si>
    <t>Bilanciamento e resilienza di sistema</t>
  </si>
  <si>
    <t>C-GA-005</t>
  </si>
  <si>
    <t>CCS-ready / post-combustion CCS</t>
  </si>
  <si>
    <t>Configurazioni nuove o retrofit con cattura CO2.</t>
  </si>
  <si>
    <t>Riduzione emissioni dirette</t>
  </si>
  <si>
    <t>C-GA-006</t>
  </si>
  <si>
    <t>Transizione</t>
  </si>
  <si>
    <t>Hydrogen-ready combustion</t>
  </si>
  <si>
    <t>Turbine predisposte a miscele crescenti di H2.</t>
  </si>
  <si>
    <t>Riduzione intensita carbonica nel tempo</t>
  </si>
  <si>
    <t>C-ST-003</t>
  </si>
  <si>
    <t>Ricevitore</t>
  </si>
  <si>
    <t>Ricevitore e fluido termovettore</t>
  </si>
  <si>
    <t>Receiver, HTF e piping per trasferire il calore al power block o ai carichi termici.</t>
  </si>
  <si>
    <t>Trasferimento del calore</t>
  </si>
  <si>
    <t>C-ST-004</t>
  </si>
  <si>
    <t>Power block</t>
  </si>
  <si>
    <t>Steam cycle / ORC / chiller</t>
  </si>
  <si>
    <t>Blocco di conversione elettrica o termofrigorifera.</t>
  </si>
  <si>
    <t>Produzione elettricita, calore o freddo</t>
  </si>
  <si>
    <t>C-ST-005</t>
  </si>
  <si>
    <t>Applicazione calore</t>
  </si>
  <si>
    <t>Solar process heat</t>
  </si>
  <si>
    <t>Integrazione in processi industriali a bassa-media temperatura.</t>
  </si>
  <si>
    <t>Decarbonizzazione del calore</t>
  </si>
  <si>
    <t>C-ST-006</t>
  </si>
  <si>
    <t>District heating solar</t>
  </si>
  <si>
    <t>Campi collettori con accumuli per reti di teleriscaldamento.</t>
  </si>
  <si>
    <t>Calore urbano rinnovabile</t>
  </si>
  <si>
    <t>C-HY-001</t>
  </si>
  <si>
    <t>Civil works</t>
  </si>
  <si>
    <t>Diga / opera di presa</t>
  </si>
  <si>
    <t>Opere civili, diga, galleria e condotta forzata.</t>
  </si>
  <si>
    <t>Gestione risorsa idrica e salto</t>
  </si>
  <si>
    <t>C-HY-002</t>
  </si>
  <si>
    <t>Elettromeccanico</t>
  </si>
  <si>
    <t>Turbina e generatore</t>
  </si>
  <si>
    <t>Francis, Kaplan, Pelton e relativi generatori.</t>
  </si>
  <si>
    <t>Conversione energia idraulica in elettrica</t>
  </si>
  <si>
    <t>C-HY-003</t>
  </si>
  <si>
    <t>Power electronics</t>
  </si>
  <si>
    <t>Controllo, protezione e automazione</t>
  </si>
  <si>
    <t>Sistemi di controllo impianto e servizi di rete.</t>
  </si>
  <si>
    <t>Affidabilita, dispatch e ancillary services</t>
  </si>
  <si>
    <t>C-HY-004</t>
  </si>
  <si>
    <t>Flessibilita</t>
  </si>
  <si>
    <t>Pumped storage</t>
  </si>
  <si>
    <t>Pompage reversible per accumulo e flessibilita di rete.</t>
  </si>
  <si>
    <t>Storage di lunga durata</t>
  </si>
  <si>
    <t>C-HY-005</t>
  </si>
  <si>
    <t>Refurbishment</t>
  </si>
  <si>
    <t>Repowering e upgrading</t>
  </si>
  <si>
    <t>Revamping, rewinding e sostituzione turbine su impianti esistenti.</t>
  </si>
  <si>
    <t>Estensione vita utile e incremento output</t>
  </si>
  <si>
    <t>C-HY-006</t>
  </si>
  <si>
    <t>Mitigazione ambientale</t>
  </si>
  <si>
    <t>Fish passage e monitoraggio</t>
  </si>
  <si>
    <t>Bypass fauna, monitoraggio sedimenti e gestione ecosistemi.</t>
  </si>
  <si>
    <t>Riduzione impatti ambientali</t>
  </si>
  <si>
    <t>C-BM-001</t>
  </si>
  <si>
    <t>Feedstock</t>
  </si>
  <si>
    <t>Supply e pretrattamento</t>
  </si>
  <si>
    <t>Raccolta, essiccazione, cippatura, pelletizzazione e controllo feedstock.</t>
  </si>
  <si>
    <t>Stabilita combustibile e filiera</t>
  </si>
  <si>
    <t>C-BM-002</t>
  </si>
  <si>
    <t>Conversione termica</t>
  </si>
  <si>
    <t>Boiler / combustione</t>
  </si>
  <si>
    <t>Caldaie a biomassa per elettricita, vapore o calore.</t>
  </si>
  <si>
    <t>Produzione energia termica ed elettrica</t>
  </si>
  <si>
    <t>C-BM-003</t>
  </si>
  <si>
    <t>Conversione avanzata</t>
  </si>
  <si>
    <t>Gasificazione</t>
  </si>
  <si>
    <t>Produzione syngas per power, fuels o chemicals.</t>
  </si>
  <si>
    <t>Maggiore flessibilita di valorizzazione</t>
  </si>
  <si>
    <t>C-BM-004</t>
  </si>
  <si>
    <t>Biogas</t>
  </si>
  <si>
    <t>Digestione anaerobica</t>
  </si>
  <si>
    <t>Produzione di biogas da FORSU, reflui e sottoprodotti.</t>
  </si>
  <si>
    <t>Generazione rinnovabile e gestione rifiuti</t>
  </si>
  <si>
    <t>C-BM-005</t>
  </si>
  <si>
    <t>Upgrading</t>
  </si>
  <si>
    <t>Biometano / bioLNG</t>
  </si>
  <si>
    <t>Rimozione CO2 e upgrading per immissione in rete o uso trasporti.</t>
  </si>
  <si>
    <t>Gas rinnovabile e flessibilita di uso finale</t>
  </si>
  <si>
    <t>C-BM-006</t>
  </si>
  <si>
    <t>Flue gas cleaning e ash handling</t>
  </si>
  <si>
    <t>Controllo emissioni, gestione ceneri e nutrient recovery.</t>
  </si>
  <si>
    <t>Conformita ambientale e recupero materia</t>
  </si>
  <si>
    <t>C-GEO-002</t>
  </si>
  <si>
    <t>Well system</t>
  </si>
  <si>
    <t>Drilling e completamento pozzi</t>
  </si>
  <si>
    <t>Pozzi di produzione e reiniezione con casing e completamento.</t>
  </si>
  <si>
    <t>Accesso alla risorsa</t>
  </si>
  <si>
    <t>C-GEO-003</t>
  </si>
  <si>
    <t>Flash / dry steam / ORC</t>
  </si>
  <si>
    <t>Blocco di conversione adatto alla temperatura della risorsa.</t>
  </si>
  <si>
    <t>Generazione elettrica</t>
  </si>
  <si>
    <t>C-GEO-004</t>
  </si>
  <si>
    <t>Heat use</t>
  </si>
  <si>
    <t>Scambiatori e teleriscaldamento</t>
  </si>
  <si>
    <t>Utilizzo diretto del calore e reti termiche.</t>
  </si>
  <si>
    <t>C-GEO-005</t>
  </si>
  <si>
    <t>Next-gen geothermal</t>
  </si>
  <si>
    <t>EGS</t>
  </si>
  <si>
    <t>Stimolazione o sviluppo di reservoir artificiali per estendere il potenziale geografico.</t>
  </si>
  <si>
    <t>Scalabilita globale della geotermia</t>
  </si>
  <si>
    <t>C-GEO-006</t>
  </si>
  <si>
    <t>Closed-loop geothermal</t>
  </si>
  <si>
    <t>Sistemi chiusi con scambio termico senza produzione diretta di fluidi di formazione.</t>
  </si>
  <si>
    <t>Riduzione rischio idrico e ambientale</t>
  </si>
  <si>
    <t>C-NUC-002</t>
  </si>
  <si>
    <t>Primary circuit</t>
  </si>
  <si>
    <t>Steam generator e circuiti primari</t>
  </si>
  <si>
    <t>Scambiatori, pompe e circuiti del primario.</t>
  </si>
  <si>
    <t>Trasferimento calore e sicurezza</t>
  </si>
  <si>
    <t>C-NUC-003</t>
  </si>
  <si>
    <t>Conventional island</t>
  </si>
  <si>
    <t>Turbina, condensatore e BOP</t>
  </si>
  <si>
    <t>C-NUC-004</t>
  </si>
  <si>
    <t>Safety systems</t>
  </si>
  <si>
    <t>Sistemi di sicurezza passivi</t>
  </si>
  <si>
    <t>Sistemi di shutdown, rimozione calore residuo e contenimento.</t>
  </si>
  <si>
    <t>Safety e resilience</t>
  </si>
  <si>
    <t>C-NUC-005</t>
  </si>
  <si>
    <t>Fuel cycle</t>
  </si>
  <si>
    <t>Combustibile, waste e decommissioning</t>
  </si>
  <si>
    <t>Produzione combustibile, gestione esaurito e rifiuti radioattivi.</t>
  </si>
  <si>
    <t>Continuita operativa e chiusura del ciclo</t>
  </si>
  <si>
    <t>C-NUC-006</t>
  </si>
  <si>
    <t>Advanced nuclear</t>
  </si>
  <si>
    <t>SMR / modular factory</t>
  </si>
  <si>
    <t>Componenti modularizzati e architetture di piccola taglia.</t>
  </si>
  <si>
    <t>Riduzione tempi e scala di deployment</t>
  </si>
  <si>
    <t>05_Descrizione | Profilo sintetico tecnologia / componente</t>
  </si>
  <si>
    <t>Area 1 del brief: descrizione sintetica della tecnologia o del componente con rimando a eventuali approfondimenti.</t>
  </si>
  <si>
    <t>Comp_ID (opz.)</t>
  </si>
  <si>
    <t>Livello analisi</t>
  </si>
  <si>
    <t>Tecnologia / elemento osservato</t>
  </si>
  <si>
    <t>Ambito applicativo</t>
  </si>
  <si>
    <t>Data rilevazione</t>
  </si>
  <si>
    <t>Analista</t>
  </si>
  <si>
    <t>DESC-FV-001</t>
  </si>
  <si>
    <t>Tecnologia elettrica rinnovabile modulare, scalabile e oggi fra le opzioni piu competitive per nuova capacità di generazione.</t>
  </si>
  <si>
    <t>Utility-scale, C&amp;I, residenziale, floating, agrivoltaico</t>
  </si>
  <si>
    <t>caso pilota ERMES</t>
  </si>
  <si>
    <t>DESC-FV-002</t>
  </si>
  <si>
    <t>Componente che converte la radiazione in corrente continua; il mercato si sposta verso moduli bifacciali e celle n-type.</t>
  </si>
  <si>
    <t>Nuovi impianti e repowering</t>
  </si>
  <si>
    <t>focus su efficienza e affidabilita</t>
  </si>
  <si>
    <t>DESC-FV-003</t>
  </si>
  <si>
    <t>Nodo elettronico che governa conversione DC/AC, sicurezza, monitoraggio e servizi di rete.</t>
  </si>
  <si>
    <t>Impianti distribuiti e utility-scale</t>
  </si>
  <si>
    <t>abilitatore di grid support e ibridazione</t>
  </si>
  <si>
    <t>DESC-FV-004</t>
  </si>
  <si>
    <t>Sistema di accumulo elettrochimico integrato al FV per aumentare autoconsumo, resilienza e valore di sistema.</t>
  </si>
  <si>
    <t>Residenziale, C&amp;I, utility-scale ibrido</t>
  </si>
  <si>
    <t>componente chiave contro curtailment e picchi</t>
  </si>
  <si>
    <t>DESC-FV-005</t>
  </si>
  <si>
    <t>Sistema meccanico di inseguimento che aumenta il fattore di capacità negli impianti a terra.</t>
  </si>
  <si>
    <t>Utility-scale a terra</t>
  </si>
  <si>
    <t>molto diffuso nei mercati maturi</t>
  </si>
  <si>
    <t>DESC-FV-006</t>
  </si>
  <si>
    <t>Architettura avanzata che mira a superare le efficienze del silicio convenzionale.</t>
  </si>
  <si>
    <t>Roadmap industriale e linee pilota</t>
  </si>
  <si>
    <t>tema da monitorare in horizon scanning</t>
  </si>
  <si>
    <t>DESC-FV-007</t>
  </si>
  <si>
    <t>Schema progettuale che integra produzione agricola e generazione FV con regole dedicate.</t>
  </si>
  <si>
    <t>Agricoltura, irrigazione, serre e colture specializzate</t>
  </si>
  <si>
    <t>forte rilevanza per Italia ed Europa</t>
  </si>
  <si>
    <t>DESC-WI-001</t>
  </si>
  <si>
    <t>Tecnologia rinnovabile matura e competitiva che converte l energia del vento in elettricita, con traiettorie distinte tra onshore, offshore fisso e floating.</t>
  </si>
  <si>
    <t>Onshore utility-scale, repowering, offshore fisso e floating</t>
  </si>
  <si>
    <t>DESC-WI-002</t>
  </si>
  <si>
    <t>Componente aerodinamico chiave che determina gran parte della resa e del capacity factor.</t>
  </si>
  <si>
    <t>Onshore e offshore</t>
  </si>
  <si>
    <t>focus su lunghezza pale e materiali</t>
  </si>
  <si>
    <t>DESC-WI-003</t>
  </si>
  <si>
    <t>Cuore elettromeccanico della turbina, con trade-off tra gearbox e direct-drive, affidabilita e costi.</t>
  </si>
  <si>
    <t>abilitatore prestazioni e disponibilita</t>
  </si>
  <si>
    <t>DESC-WI-004</t>
  </si>
  <si>
    <t>Sottosistema che abilita l offshore in acque basse o medie, con forte impatto su costi e installazione.</t>
  </si>
  <si>
    <t>Offshore fixed-bottom</t>
  </si>
  <si>
    <t>rilevante per monopile e jacket</t>
  </si>
  <si>
    <t>DESC-WI-005</t>
  </si>
  <si>
    <t>Architettura che estende l eolico offshore in acque profonde e aumenta il potenziale tecnico accessibile.</t>
  </si>
  <si>
    <t>tema chiave di horizon scanning</t>
  </si>
  <si>
    <t>DESC-WI-006</t>
  </si>
  <si>
    <t>Layer digitale che incrementa disponibilita, resa e manutenzione predittiva.</t>
  </si>
  <si>
    <t>abilita O&amp;M avanzata</t>
  </si>
  <si>
    <t>DESC-H2-001</t>
  </si>
  <si>
    <t>Vettore energetico e feedstock industriale prodotto da elettrolisi con elettricita rinnovabile; rilevante per usi hard-to-abate e flessibilita di sistema.</t>
  </si>
  <si>
    <t>Industria, chimica, fertilizzanti, steel, trasporti pesanti, storage</t>
  </si>
  <si>
    <t>DESC-H2-002</t>
  </si>
  <si>
    <t>Tecnologia consolidata per grandi impianti con costi relativamente competitivi e buona scalabilita.</t>
  </si>
  <si>
    <t>Impianti centralizzati e industriali</t>
  </si>
  <si>
    <t>forte presenza nelle pipeline di progetto</t>
  </si>
  <si>
    <t>DESC-H2-003</t>
  </si>
  <si>
    <t>Soluzione ad alta flessibilita, adatta a profili dinamici e integrazione con rinnovabili variabili.</t>
  </si>
  <si>
    <t>Industria, stazioni rifornimento, impianti flessibili</t>
  </si>
  <si>
    <t>focus su materiali nobili</t>
  </si>
  <si>
    <t>DESC-H2-004</t>
  </si>
  <si>
    <t>Tecnologia avanzata ad alta temperatura con potenziale vantaggio di efficienza in presenza di calore di processo.</t>
  </si>
  <si>
    <t>Raffinerie, chimica, acciaio, e-fuels</t>
  </si>
  <si>
    <t>frontiera con rischio tecnologico piu alto</t>
  </si>
  <si>
    <t>DESC-H2-005</t>
  </si>
  <si>
    <t>Nodo essenziale per assicurare buffer, continuita di fornitura e integrazione con usi non sincroni alla produzione.</t>
  </si>
  <si>
    <t>Industria, logistica, mobilita</t>
  </si>
  <si>
    <t>abilita continuita e valore di sistema</t>
  </si>
  <si>
    <t>DESC-H2-006</t>
  </si>
  <si>
    <t>Sistema di controllo che ottimizza fattore di utilizzo, costo dell elettricita e profilo di produzione dell H2.</t>
  </si>
  <si>
    <t>Impianti collegati a rete o dietro al contatore</t>
  </si>
  <si>
    <t>chiave per LCOH e bancabilita</t>
  </si>
  <si>
    <t>DESC-CO-001</t>
  </si>
  <si>
    <t>Applicazioni rilevanti nel mix energetico e nelle filiere industriali</t>
  </si>
  <si>
    <t>DESC-CO-002</t>
  </si>
  <si>
    <t>DESC-CO-003</t>
  </si>
  <si>
    <t>DESC-CO-004</t>
  </si>
  <si>
    <t>DESC-CO-005</t>
  </si>
  <si>
    <t>DESC-CO-006</t>
  </si>
  <si>
    <t>DESC-OI-001</t>
  </si>
  <si>
    <t>DESC-OI-002</t>
  </si>
  <si>
    <t>DESC-OI-003</t>
  </si>
  <si>
    <t>DESC-OI-004</t>
  </si>
  <si>
    <t>DESC-OI-005</t>
  </si>
  <si>
    <t>DESC-OI-006</t>
  </si>
  <si>
    <t>DESC-GA-001</t>
  </si>
  <si>
    <t>DESC-GA-002</t>
  </si>
  <si>
    <t>DESC-GA-003</t>
  </si>
  <si>
    <t>DESC-GA-004</t>
  </si>
  <si>
    <t>DESC-GA-005</t>
  </si>
  <si>
    <t>DESC-GA-006</t>
  </si>
  <si>
    <t>DESC-ST-001</t>
  </si>
  <si>
    <t>DESC-ST-002</t>
  </si>
  <si>
    <t>DESC-ST-003</t>
  </si>
  <si>
    <t>DESC-ST-004</t>
  </si>
  <si>
    <t>DESC-ST-005</t>
  </si>
  <si>
    <t>DESC-ST-006</t>
  </si>
  <si>
    <t>DESC-HY-001</t>
  </si>
  <si>
    <t>DESC-HY-002</t>
  </si>
  <si>
    <t>DESC-HY-003</t>
  </si>
  <si>
    <t>DESC-HY-004</t>
  </si>
  <si>
    <t>DESC-HY-005</t>
  </si>
  <si>
    <t>DESC-HY-006</t>
  </si>
  <si>
    <t>DESC-BM-001</t>
  </si>
  <si>
    <t>DESC-BM-002</t>
  </si>
  <si>
    <t>DESC-BM-003</t>
  </si>
  <si>
    <t>DESC-BM-004</t>
  </si>
  <si>
    <t>DESC-BM-005</t>
  </si>
  <si>
    <t>DESC-BM-006</t>
  </si>
  <si>
    <t>DESC-GEO-001</t>
  </si>
  <si>
    <t>DESC-GEO-002</t>
  </si>
  <si>
    <t>DESC-GEO-003</t>
  </si>
  <si>
    <t>DESC-GEO-004</t>
  </si>
  <si>
    <t>DESC-GEO-005</t>
  </si>
  <si>
    <t>DESC-GEO-006</t>
  </si>
  <si>
    <t>DESC-NU-001</t>
  </si>
  <si>
    <t>DESC-NU-002</t>
  </si>
  <si>
    <t>DESC-NU-003</t>
  </si>
  <si>
    <t>DESC-NU-004</t>
  </si>
  <si>
    <t>DESC-NU-005</t>
  </si>
  <si>
    <t>DESC-NU-006</t>
  </si>
  <si>
    <t>06_Avanzamento | Stato di avanzamento di componenti e sottosistemi</t>
  </si>
  <si>
    <t>Area 2 del brief: avanzamento tecnologico di componenti o sottosistemi della tecnologia osservata.</t>
  </si>
  <si>
    <t>Componente / sottosistema</t>
  </si>
  <si>
    <t>Fase di sviluppo</t>
  </si>
  <si>
    <t>Stato di avanzamento</t>
  </si>
  <si>
    <t>Evidenza / milestone</t>
  </si>
  <si>
    <t>Benchmark / peer comparison</t>
  </si>
  <si>
    <t>Geografia</t>
  </si>
  <si>
    <t>ADV-FV-001</t>
  </si>
  <si>
    <t>Mercato mainstream su silicio cristallino, con rapida transizione da PERC a TOPCon e crescita del bifacciale.</t>
  </si>
  <si>
    <t>Le roadmap industriali indicano TOPCon come tecnologia dominante nel breve periodo.</t>
  </si>
  <si>
    <t>Benchmark globale molto elevato, con forte pressione competitiva su costi/efficienza.</t>
  </si>
  <si>
    <t>S016; S017</t>
  </si>
  <si>
    <t>osservare tempi di standardizzazione e bancabilita</t>
  </si>
  <si>
    <t>ADV-FV-002</t>
  </si>
  <si>
    <t>Scale-up iniziale: prestazioni promettenti ma ancora da consolidare su stabilita e durabilita.</t>
  </si>
  <si>
    <t>La roadmap ITRPV prospetta efficienze fino a ~30,5% nel 2035.</t>
  </si>
  <si>
    <t>Livello superiore ai moduli Si convenzionali ma con rischio tecnologico ancora rilevante.</t>
  </si>
  <si>
    <t>candidato forte per horizon scanning</t>
  </si>
  <si>
    <t>ADV-FV-003</t>
  </si>
  <si>
    <t>Piattaforme mature con architetture modulari, 1500 Vdc e funzioni di grid support avanzate.</t>
  </si>
  <si>
    <t>Max efficiency ~99%, controllo potenza attiva/reactive e funzioni LV/HVRT.</t>
  </si>
  <si>
    <t>Mercato competitivo e consolidato, con innovazione incrementale continua.</t>
  </si>
  <si>
    <t>tema chiave per integrazione di rete</t>
  </si>
  <si>
    <t>ADV-FV-004</t>
  </si>
  <si>
    <t>Tecnologia standard in molti impianti utility-scale a terra.</t>
  </si>
  <si>
    <t>Nel 2023 il tracking monoassiale e presente nella maggioranza degli impianti utility-scale a terra negli USA.</t>
  </si>
  <si>
    <t>Benchmark alto nei mercati maturi con elevata radiazione.</t>
  </si>
  <si>
    <t>USA / Globale</t>
  </si>
  <si>
    <t>rilevante per resa e LCOE</t>
  </si>
  <si>
    <t>ADV-FV-005</t>
  </si>
  <si>
    <t>Crescita rapida delle configurazioni ibride FV+BESS per ottimizzare profili di immissione e resilienza.</t>
  </si>
  <si>
    <t>Aumento della quota di sistemi utility-scale ibridi con storage.</t>
  </si>
  <si>
    <t>Vantaggio crescente in mercati con congestione, curtailment o prezzi orari volatili.</t>
  </si>
  <si>
    <t>USA / UE / Globale</t>
  </si>
  <si>
    <t>abilitatore di competitivita di sistema</t>
  </si>
  <si>
    <t>ADV-FV-006</t>
  </si>
  <si>
    <t>Segmento in accelerazione con linee guida tecniche e supporto regolatorio dedicato.</t>
  </si>
  <si>
    <t>Casi pilota europei mostrano effetti positivi su uso del suolo e resilienza agricola.</t>
  </si>
  <si>
    <t>Benchmark ancora eterogeneo per layout, colture e business model.</t>
  </si>
  <si>
    <t>S026; S028</t>
  </si>
  <si>
    <t>richiede metriche integrate energia-agricoltura</t>
  </si>
  <si>
    <t>ADV-WI-001</t>
  </si>
  <si>
    <t>Mercato maturo con crescita dimensionale continua, soprattutto offshore.</t>
  </si>
  <si>
    <t>Le turbine di ultima generazione aumentano diametro rotore e area spazzata per ridurre LCOE.</t>
  </si>
  <si>
    <t>Benchmark elevato; vantaggio competitivo di chi controlla materiali, aerodinamica e logistica.</t>
  </si>
  <si>
    <t>S046; S047</t>
  </si>
  <si>
    <t>osservare materiali compositi e riciclo pale</t>
  </si>
  <si>
    <t>ADV-WI-002</t>
  </si>
  <si>
    <t>Tecnologia consolidata nei mercati offshore maturi.</t>
  </si>
  <si>
    <t>Ampia pipeline globale e standardizzazione industriale su monopile e jacket.</t>
  </si>
  <si>
    <t>Molto avanzata nei mari del Nord; vantaggi di scala importanti.</t>
  </si>
  <si>
    <t>S037; S038</t>
  </si>
  <si>
    <t>maturita alta ma pressione su supply chain</t>
  </si>
  <si>
    <t>ADV-WI-003</t>
  </si>
  <si>
    <t>Numerosi dimostratori e primi progetti commerciali, ma industrializzazione ancora iniziale.</t>
  </si>
  <si>
    <t>Hywind Tampen mostra il passaggio da demo a progetti di taglia maggiore.</t>
  </si>
  <si>
    <t>Potenziale elevato in acque profonde ma CAPEX ancora superiore al fixed-bottom.</t>
  </si>
  <si>
    <t>S044; S037</t>
  </si>
  <si>
    <t>ADV-WI-004</t>
  </si>
  <si>
    <t>Digitalizzazione e manutenzione predittiva in rapida diffusione.</t>
  </si>
  <si>
    <t>SCADA avanzati, analytics e digital twin migliorano disponibilita e resa.</t>
  </si>
  <si>
    <t>Benchmark crescente sulla qualita dei dati e degli algoritmi.</t>
  </si>
  <si>
    <t>driver importante di OPEX</t>
  </si>
  <si>
    <t>ADV-WI-005</t>
  </si>
  <si>
    <t>Tecnologia matura ma spesso collo di bottiglia di permitting e supply chain.</t>
  </si>
  <si>
    <t>Per l offshore aumentano i fabbisogni di HVDC e infrastrutture portuali.</t>
  </si>
  <si>
    <t>Forte dipendenza da pianificazione di sistema e catena dei fornitori.</t>
  </si>
  <si>
    <t>S038; S037</t>
  </si>
  <si>
    <t>tema critico per time-to-market</t>
  </si>
  <si>
    <t>ADV-H2-001</t>
  </si>
  <si>
    <t>La tecnologia piu matura tra gli elettrolizzatori per il green hydrogen.</t>
  </si>
  <si>
    <t>Ampia presenza nei progetti annunciati e nei primi impianti di scala industriale.</t>
  </si>
  <si>
    <t>Vantaggio su CAPEX, minore flessibilita rispetto al PEM.</t>
  </si>
  <si>
    <t>Globale / UE</t>
  </si>
  <si>
    <t>S055; S049</t>
  </si>
  <si>
    <t>maturita alta</t>
  </si>
  <si>
    <t>ADV-H2-002</t>
  </si>
  <si>
    <t>Crescita rapida grazie a flessibilita e integrazione con rinnovabili.</t>
  </si>
  <si>
    <t>REFHYNE e altri progetti mostrano passaggio a taglie decine-centinaia di MW.</t>
  </si>
  <si>
    <t>Benchmark elevato in dinamica operativa ma piu esposto a materiali critici.</t>
  </si>
  <si>
    <t>S050; S060</t>
  </si>
  <si>
    <t>osservare cost-down e disponibilita iridio</t>
  </si>
  <si>
    <t>ADV-H2-003</t>
  </si>
  <si>
    <t>Tecnologia avanzata con forte interesse industriale ma industrializzazione non ancora ampia.</t>
  </si>
  <si>
    <t>Le roadmap sottolineano il potenziale di efficienza se disponibile calore di processo.</t>
  </si>
  <si>
    <t>Meno maturo di alkaline e PEM; rischio piu alto su durabilita.</t>
  </si>
  <si>
    <t>tema da presidiare</t>
  </si>
  <si>
    <t>ADV-H2-004</t>
  </si>
  <si>
    <t>Soluzioni disponibili ma business case e standard ancora in evoluzione per grandi volumi.</t>
  </si>
  <si>
    <t>Importanti per gestire disaccoppiamento tra produzione e domanda.</t>
  </si>
  <si>
    <t>Maturita variabile per pressione, scala e applicazione finale.</t>
  </si>
  <si>
    <t>snodo chiave per infrastruttura</t>
  </si>
  <si>
    <t>ADV-H2-005</t>
  </si>
  <si>
    <t>Pilota / mercato</t>
  </si>
  <si>
    <t>Pipeline dedicate e vettori derivati in espansione, ma infrastrutture ancora limitate.</t>
  </si>
  <si>
    <t>La crescita dei progetti richiede reti, hub portuali e standard logistici.</t>
  </si>
  <si>
    <t>Benchmark ancora frammentato tra regioni e casi d uso.</t>
  </si>
  <si>
    <t>S049; S054</t>
  </si>
  <si>
    <t>grande dipendenza da cluster industriali</t>
  </si>
  <si>
    <t>ADV-H2-006</t>
  </si>
  <si>
    <t>Le architetture di controllo diventano centrali per ottimizzare LCOH e flessibilita.</t>
  </si>
  <si>
    <t>Progetti integrati come Puertollano e NEOM mostrano crescente sofisticazione di sistema.</t>
  </si>
  <si>
    <t>Vantaggio competitivo per chi ottimizza fattore di utilizzo e servizi di rete.</t>
  </si>
  <si>
    <t>S061; S058</t>
  </si>
  <si>
    <t>abilitatore di bancabilita</t>
  </si>
  <si>
    <t>ADV-WI-006</t>
  </si>
  <si>
    <t>Innovazione incrementale continua su altezze mozzo e logistica modulare.</t>
  </si>
  <si>
    <t>Torri piu alte e soluzioni modulari migliorano accesso a risorsa e trasportabilita onshore.</t>
  </si>
  <si>
    <t>Benchmark rilevante nei siti a vento medio-basso e nei programmi di repowering.</t>
  </si>
  <si>
    <t>S034; S047</t>
  </si>
  <si>
    <t>tema importante per competitivita onshore</t>
  </si>
  <si>
    <t>AV-CO-001</t>
  </si>
  <si>
    <t>Commerciale diffusa ma in contrazione in molti mercati OECD; frontiera concentrata su flessibilita, efficienza HELE e CCS.</t>
  </si>
  <si>
    <t>Technology watch / benchmark internazionale</t>
  </si>
  <si>
    <t>Sviluppo disomogeneo per mercati e filiere</t>
  </si>
  <si>
    <t>AV-CO-002</t>
  </si>
  <si>
    <t>Domina il parco moderno; frontier su USC/AUSC per migliorare rendimento.</t>
  </si>
  <si>
    <t>Breve-medio termine</t>
  </si>
  <si>
    <t>Caldaia PC</t>
  </si>
  <si>
    <t>AV-CO-003</t>
  </si>
  <si>
    <t>Tecnologie mature indispensabili per conformita emissiva.</t>
  </si>
  <si>
    <t>FGD</t>
  </si>
  <si>
    <t>AV-CO-004</t>
  </si>
  <si>
    <t>Retrofit possibili ma costosi; casi operativi limitati.</t>
  </si>
  <si>
    <t>Medio-lungo termine</t>
  </si>
  <si>
    <t>AV-CO-005</t>
  </si>
  <si>
    <t>Materiali avanzati e componentistica spingono la frontiera di efficienza.</t>
  </si>
  <si>
    <t>AV-CO-006</t>
  </si>
  <si>
    <t>Mercato</t>
  </si>
  <si>
    <t>Horizon scanning</t>
  </si>
  <si>
    <t>Evoluzione guidata da policy, costi e supply chain</t>
  </si>
  <si>
    <t>AV-OI-001</t>
  </si>
  <si>
    <t>Tecnologia e filiera estremamente mature; innovazione concentrata su efficienza, monitoraggio emissioni, raffinazione avanzata e riduzione intensita carbonica.</t>
  </si>
  <si>
    <t>AV-OI-002</t>
  </si>
  <si>
    <t>Innovazione su residue upgrading, desolforazione, efficienza e feedstock flessibili.</t>
  </si>
  <si>
    <t>AV-OI-003</t>
  </si>
  <si>
    <t>Digital twin e pinch analysis riducono consumi e intensita carbonica dei siti refinery.</t>
  </si>
  <si>
    <t>AV-OI-004</t>
  </si>
  <si>
    <t>Satelliti, sensoristica e LDAR spingono riduzione flaring e perdite.</t>
  </si>
  <si>
    <t>AV-OI-005</t>
  </si>
  <si>
    <t>Segmento ormai residuale in molti mercati power ma ancora rilevante per backup e isole.</t>
  </si>
  <si>
    <t>Motori</t>
  </si>
  <si>
    <t>AV-OI-006</t>
  </si>
  <si>
    <t>AV-GA-001</t>
  </si>
  <si>
    <t>Tecnologia matura e centrale per flessibilita elettrica e calore; innovazione su efficienza, methane abatement, CCS e hydrogen-ready.</t>
  </si>
  <si>
    <t>AV-GA-002</t>
  </si>
  <si>
    <t>Turbine e cicli combinati spingono efficienza verso il 60%+.</t>
  </si>
  <si>
    <t>AV-GA-003</t>
  </si>
  <si>
    <t>Rilevante per servizi di rete e picchi, con fast-start.</t>
  </si>
  <si>
    <t>AV-GA-004</t>
  </si>
  <si>
    <t>CCGT con cattura diventa opzione di decarbonizzazione dispatchable.</t>
  </si>
  <si>
    <t>CCS-ready</t>
  </si>
  <si>
    <t>AV-GA-005</t>
  </si>
  <si>
    <t>Turbine predisposte a blend H2 crescente.</t>
  </si>
  <si>
    <t>AV-GA-006</t>
  </si>
  <si>
    <t>AV-ST-001</t>
  </si>
  <si>
    <t>Tecnologia commerciale ma meno diffusa del FV; il valore distintivo e la programmabilita tramite accumulo termico e la decarbonizzazione del calore industriale.</t>
  </si>
  <si>
    <t>AV-ST-002</t>
  </si>
  <si>
    <t>Tecnologie mature per campo solare, con miglioramenti continui su precisione e costi.</t>
  </si>
  <si>
    <t>Campo collettori</t>
  </si>
  <si>
    <t>AV-ST-003</t>
  </si>
  <si>
    <t>Accumuli termici sono il driver chiave di dispatchability.</t>
  </si>
  <si>
    <t>Serbatoio</t>
  </si>
  <si>
    <t>AV-ST-004</t>
  </si>
  <si>
    <t>Receiver e HTF determinano temperatura e rendimento.</t>
  </si>
  <si>
    <t>AV-ST-005</t>
  </si>
  <si>
    <t>Ottimizzazione del power block e integrazione con process heat/cooling.</t>
  </si>
  <si>
    <t>Steam cycle</t>
  </si>
  <si>
    <t>AV-ST-006</t>
  </si>
  <si>
    <t>AV-HY-001</t>
  </si>
  <si>
    <t>Tecnologia pienamente matura e cruciale per energia rinnovabile programmabile, flessibilita e servizi di sistema; innovazione soprattutto su pumped storage, repowering e mitigazione ambientale.</t>
  </si>
  <si>
    <t>AV-HY-002</t>
  </si>
  <si>
    <t>Core technology matura con miglioramenti su efficienza e digital O&amp;M.</t>
  </si>
  <si>
    <t>AV-HY-003</t>
  </si>
  <si>
    <t>PSH resta la principale tecnologia di storage a lunga durata su larga scala.</t>
  </si>
  <si>
    <t>AV-HY-004</t>
  </si>
  <si>
    <t>Molto spazio di incremento output su parco esistente.</t>
  </si>
  <si>
    <t>AV-HY-005</t>
  </si>
  <si>
    <t>Cresce il focus su mitigazione biodiversita e sedimenti.</t>
  </si>
  <si>
    <t>AV-HY-006</t>
  </si>
  <si>
    <t>AV-BM-001</t>
  </si>
  <si>
    <t>Tecnologie mature per combustione e digestione anaerobica; frontiera su gasificazione, biomethane, bioLNG e BECCS, con sostenibilita della filiera come discriminante chiave.</t>
  </si>
  <si>
    <t>AV-BM-002</t>
  </si>
  <si>
    <t>Matura per CHP e power da biomassa solida.</t>
  </si>
  <si>
    <t>Boiler</t>
  </si>
  <si>
    <t>AV-BM-003</t>
  </si>
  <si>
    <t>Ampia maturita per reflui, FORSU e sottoprodotti agricoli.</t>
  </si>
  <si>
    <t>AV-BM-004</t>
  </si>
  <si>
    <t>Upgrading ormai maturo per immissione in rete e trasporti.</t>
  </si>
  <si>
    <t>Biometano</t>
  </si>
  <si>
    <t>AV-BM-005</t>
  </si>
  <si>
    <t>Tecnologia promettente ma ancora selettiva su economics e affidabilita.</t>
  </si>
  <si>
    <t>AV-BM-006</t>
  </si>
  <si>
    <t>AV-GEO-001</t>
  </si>
  <si>
    <t>Tecnologia matura per risorse idrotermali convenzionali, con forte opzione di crescita per EGS e closed-loop che possono globalizzare il potenziale.</t>
  </si>
  <si>
    <t>AV-GEO-002</t>
  </si>
  <si>
    <t>Il drilling resta il principale driver di costo e rischio.</t>
  </si>
  <si>
    <t>AV-GEO-003</t>
  </si>
  <si>
    <t>Power block maturo, soprattutto ORC per risorse medie.</t>
  </si>
  <si>
    <t>Flash</t>
  </si>
  <si>
    <t>AV-GEO-004</t>
  </si>
  <si>
    <t>Nuova frontiera che amplia la geografia del geotermico.</t>
  </si>
  <si>
    <t>AV-GEO-005</t>
  </si>
  <si>
    <t>Architetture chiuse per ridurre alcuni rischi di reservoir e water handling.</t>
  </si>
  <si>
    <t>AV-GEO-006</t>
  </si>
  <si>
    <t>AV-NU-001</t>
  </si>
  <si>
    <t>Tecnologia commerciale consolidata su grandi reattori Gen II/III; nuova spinta su Gen III+, modularizzazione e SMR, con economics ancora sfidanti ma forte valore di firm low-carbon power.</t>
  </si>
  <si>
    <t>AV-NU-002</t>
  </si>
  <si>
    <t>Tecnologia matura su Gen III+ con forte focus execution.</t>
  </si>
  <si>
    <t>AV-NU-003</t>
  </si>
  <si>
    <t>Elemento distintivo dei design Gen III+.</t>
  </si>
  <si>
    <t>AV-NU-004</t>
  </si>
  <si>
    <t>Fuel cycle, waste e decommissioning</t>
  </si>
  <si>
    <t>Parte essenziale del costo totale e della governance sociale.</t>
  </si>
  <si>
    <t>AV-NU-005</t>
  </si>
  <si>
    <t>Promessa di riduzione tempi/rischi tramite modularizzazione.</t>
  </si>
  <si>
    <t>SMR</t>
  </si>
  <si>
    <t>AV-NU-006</t>
  </si>
  <si>
    <t>07_TRL_TLR | Maturità tecnologica di componenti e sottosistemi</t>
  </si>
  <si>
    <t>Area 3 del brief: scala TRL/TLR per componenti o sottosistemi, con evidenze e contesto di applicazione.</t>
  </si>
  <si>
    <t>TRL/TLR (1-9)</t>
  </si>
  <si>
    <t>Contesto (lab/pilota/mercato)</t>
  </si>
  <si>
    <t>Evidenza a supporto</t>
  </si>
  <si>
    <t>Anno riferimento</t>
  </si>
  <si>
    <t>TRL-FV-001</t>
  </si>
  <si>
    <t>Tecnologia consolidata e bancabile su vasta scala in tutti i principali mercati.</t>
  </si>
  <si>
    <t>2025</t>
  </si>
  <si>
    <t>S012; S016</t>
  </si>
  <si>
    <t>mainstream c-Si</t>
  </si>
  <si>
    <t>TRL-FV-002</t>
  </si>
  <si>
    <t>Soluzione industriale consolidata con prestazioni elevate e vasta base installata.</t>
  </si>
  <si>
    <t>maturita molto alta</t>
  </si>
  <si>
    <t>TRL-FV-003</t>
  </si>
  <si>
    <t>Componente standard in molti impianti utility-scale a terra.</t>
  </si>
  <si>
    <t>2024</t>
  </si>
  <si>
    <t>adozione consolidata</t>
  </si>
  <si>
    <t>TRL-FV-004</t>
  </si>
  <si>
    <t>Soluzioni ormai commerciali ma con architetture e business model ancora in forte evoluzione.</t>
  </si>
  <si>
    <t>maturita alta ma non uniforme</t>
  </si>
  <si>
    <t>TRL-FV-005</t>
  </si>
  <si>
    <t>Sistemi operativi e finanziabili in alcuni contesti, ma non ancora standardizzati universalmente.</t>
  </si>
  <si>
    <t>dipende da regole e layout agronomico</t>
  </si>
  <si>
    <t>TRL-FV-006</t>
  </si>
  <si>
    <t>Lab / pilota</t>
  </si>
  <si>
    <t>Prestazioni elevate in laboratorio e prime linee pilota, con rischio tecnologico ancora significativo.</t>
  </si>
  <si>
    <t>TRL-WI-001</t>
  </si>
  <si>
    <t>Tecnologia consolidata su larga scala con continua evoluzione dimensionale.</t>
  </si>
  <si>
    <t>TRL-WI-002</t>
  </si>
  <si>
    <t>Soluzioni industriali mature sia geared sia direct-drive.</t>
  </si>
  <si>
    <t>benchmark elevato</t>
  </si>
  <si>
    <t>TRL-WI-003</t>
  </si>
  <si>
    <t>Standard industriale nei mercati offshore maturi.</t>
  </si>
  <si>
    <t>TRL-WI-004</t>
  </si>
  <si>
    <t>Primi progetti operativi e pipeline commerciale, ma non ancora pienamente standardizzata.</t>
  </si>
  <si>
    <t>maturita intermedia-alta</t>
  </si>
  <si>
    <t>TRL-WI-005</t>
  </si>
  <si>
    <t>Tecnologia consolidata, con ulteriore spazio di miglioramento via analytics.</t>
  </si>
  <si>
    <t>digitale mainstream</t>
  </si>
  <si>
    <t>TRL-WI-006</t>
  </si>
  <si>
    <t>Tecnologie mature, ma con complessita crescente su grande offshore e HVDC.</t>
  </si>
  <si>
    <t>maturita alta lato tecnologia</t>
  </si>
  <si>
    <t>TRL-H2-001</t>
  </si>
  <si>
    <t>Tecnologia consolidata con ampia esperienza industriale.</t>
  </si>
  <si>
    <t>maturita piu alta tra gli elettrolizzatori</t>
  </si>
  <si>
    <t>TRL-H2-002</t>
  </si>
  <si>
    <t>Tecnologia gia commerciale ma ancora in fase di rapido scale-up verso taglie maggiori.</t>
  </si>
  <si>
    <t>TRL-H2-003</t>
  </si>
  <si>
    <t>Prestazioni promettenti e primi impianti pilota, con rischio tecnologico ancora rilevante.</t>
  </si>
  <si>
    <t>da monitorare</t>
  </si>
  <si>
    <t>TRL-H2-004</t>
  </si>
  <si>
    <t>Soluzioni disponibili e scalabili, ma con standardizzazione e business case ancora in consolidamento.</t>
  </si>
  <si>
    <t>maturita elevata ma applicazione-specifica</t>
  </si>
  <si>
    <t>TRL-H2-005</t>
  </si>
  <si>
    <t>Esistono soluzioni commerciali, ma la rete dedicata e la logistica su vasta scala restano in fase iniziale.</t>
  </si>
  <si>
    <t>maturita variabile</t>
  </si>
  <si>
    <t>TRL-H2-006</t>
  </si>
  <si>
    <t>Architetture gia applicate in progetti reali, ma ottimizzazione ancora in rapida evoluzione.</t>
  </si>
  <si>
    <t>S049; S061</t>
  </si>
  <si>
    <t>abilitatore chiave</t>
  </si>
  <si>
    <t>TRL-CO-001</t>
  </si>
  <si>
    <t>Valutazione sintetica portafoglio tecnologia</t>
  </si>
  <si>
    <t>Osservatorio ERMES - benchmark indicativo</t>
  </si>
  <si>
    <t>TRL-CO-002</t>
  </si>
  <si>
    <t>Commerciale ma con nuovo mercato limitato</t>
  </si>
  <si>
    <t>400-900</t>
  </si>
  <si>
    <t>TRL-CO-003</t>
  </si>
  <si>
    <t>Maturo</t>
  </si>
  <si>
    <t>Ampiamente diffuse</t>
  </si>
  <si>
    <t>150-300</t>
  </si>
  <si>
    <t>TRL-CO-004</t>
  </si>
  <si>
    <t>Basso</t>
  </si>
  <si>
    <t>Mercato dipendente da carbon price e infrastrutture CO2</t>
  </si>
  <si>
    <t>900-1800</t>
  </si>
  <si>
    <t>TRL-CO-005</t>
  </si>
  <si>
    <t>Necessita dimostrazione su larga scala</t>
  </si>
  <si>
    <t>n.d.</t>
  </si>
  <si>
    <t>TRL-CO-006</t>
  </si>
  <si>
    <t>Benchmark integrato techno-market</t>
  </si>
  <si>
    <t>Valori indicativi</t>
  </si>
  <si>
    <t>TRL-OI-001</t>
  </si>
  <si>
    <t>TRL-OI-002</t>
  </si>
  <si>
    <t>Mercato legato a competitivita industriale e fuel specs</t>
  </si>
  <si>
    <t>1000-2500</t>
  </si>
  <si>
    <t>TRL-OI-003</t>
  </si>
  <si>
    <t>Ampiamente adottabile su siti esistenti</t>
  </si>
  <si>
    <t>50-200</t>
  </si>
  <si>
    <t>TRL-OI-004</t>
  </si>
  <si>
    <t>Spinto da regolazione methane abatement</t>
  </si>
  <si>
    <t>5-50</t>
  </si>
  <si>
    <t>TRL-OI-005</t>
  </si>
  <si>
    <t>Mercato residuale e replacement oriented</t>
  </si>
  <si>
    <t>600-1200</t>
  </si>
  <si>
    <t>TRL-OI-006</t>
  </si>
  <si>
    <t>TRL-GA-001</t>
  </si>
  <si>
    <t>TRL-GA-002</t>
  </si>
  <si>
    <t>Mercato ancora forte come flessibilita e backup rinnovabili</t>
  </si>
  <si>
    <t>700-1200</t>
  </si>
  <si>
    <t>TRL-GA-003</t>
  </si>
  <si>
    <t>Mercato di capacita e reserve</t>
  </si>
  <si>
    <t>450-850</t>
  </si>
  <si>
    <t>TRL-GA-004</t>
  </si>
  <si>
    <t>Serve carbon price e transport/storage CO2</t>
  </si>
  <si>
    <t>800-1500</t>
  </si>
  <si>
    <t>TRL-GA-005</t>
  </si>
  <si>
    <t>Segmento in espansione in Europa e Giappone</t>
  </si>
  <si>
    <t>50-250</t>
  </si>
  <si>
    <t>TRL-GA-006</t>
  </si>
  <si>
    <t>TRL-ST-001</t>
  </si>
  <si>
    <t>Medio in nicchie favorevoli</t>
  </si>
  <si>
    <t>TRL-ST-002</t>
  </si>
  <si>
    <t>Mercati migliori in aree ad alta DNI</t>
  </si>
  <si>
    <t>1200-2500</t>
  </si>
  <si>
    <t>TRL-ST-003</t>
  </si>
  <si>
    <t>Nucleo distintivo rispetto al FV</t>
  </si>
  <si>
    <t>500-1200</t>
  </si>
  <si>
    <t>TRL-ST-004</t>
  </si>
  <si>
    <t>Incrementi graduali di performance</t>
  </si>
  <si>
    <t>300-900</t>
  </si>
  <si>
    <t>TRL-ST-005</t>
  </si>
  <si>
    <t>Spazio per integrazione multi-servizio</t>
  </si>
  <si>
    <t>400-1000</t>
  </si>
  <si>
    <t>TRL-ST-006</t>
  </si>
  <si>
    <t>TRL-HY-001</t>
  </si>
  <si>
    <t>Alto ma con nuovi siti piu selettivi</t>
  </si>
  <si>
    <t>TRL-HY-002</t>
  </si>
  <si>
    <t>Mercato prevalentemente replacement/repowering</t>
  </si>
  <si>
    <t>500-1500</t>
  </si>
  <si>
    <t>TRL-HY-003</t>
  </si>
  <si>
    <t>Domanda spinta da rinnovabili variabili</t>
  </si>
  <si>
    <t>1000-3000</t>
  </si>
  <si>
    <t>TRL-HY-004</t>
  </si>
  <si>
    <t>Pipeline ampia su asset esistenti</t>
  </si>
  <si>
    <t>300-1200</t>
  </si>
  <si>
    <t>TRL-HY-005</t>
  </si>
  <si>
    <t>Più rilevante in permitting nuovi siti</t>
  </si>
  <si>
    <t>TRL-HY-006</t>
  </si>
  <si>
    <t>TRL-BM-001</t>
  </si>
  <si>
    <t>Medio-alto ma molto feedstock-dependent</t>
  </si>
  <si>
    <t>TRL-BM-002</t>
  </si>
  <si>
    <t>Mercato legato a filiere locali e calore utile</t>
  </si>
  <si>
    <t>1500-3000</t>
  </si>
  <si>
    <t>TRL-BM-003</t>
  </si>
  <si>
    <t>Spinto da biometano e waste management</t>
  </si>
  <si>
    <t>800-2000</t>
  </si>
  <si>
    <t>TRL-BM-004</t>
  </si>
  <si>
    <t>Mercato trainato da policy e rete gas</t>
  </si>
  <si>
    <t>0.5-1.5</t>
  </si>
  <si>
    <t>TRL-BM-005</t>
  </si>
  <si>
    <t>Interesse per fuels e chemicals</t>
  </si>
  <si>
    <t>2500-5000</t>
  </si>
  <si>
    <t>TRL-BM-006</t>
  </si>
  <si>
    <t>TRL-GEO-001</t>
  </si>
  <si>
    <t>Medio-alto, in crescita per next-gen geothermal</t>
  </si>
  <si>
    <t>TRL-GEO-002</t>
  </si>
  <si>
    <t>Riduzioni costo cruciali per scalare il settore</t>
  </si>
  <si>
    <t>1500-4000</t>
  </si>
  <si>
    <t>TRL-GEO-003</t>
  </si>
  <si>
    <t>Ampia esperienza commerciale</t>
  </si>
  <si>
    <t>800-1800</t>
  </si>
  <si>
    <t>TRL-GEO-004</t>
  </si>
  <si>
    <t>Spinto da learning del settore oil&amp;gas</t>
  </si>
  <si>
    <t>5000-12000</t>
  </si>
  <si>
    <t>TRL-GEO-005</t>
  </si>
  <si>
    <t>Ancora early market</t>
  </si>
  <si>
    <t>TRL-GEO-006</t>
  </si>
  <si>
    <t>TRL-NU-001</t>
  </si>
  <si>
    <t>Medio-alto, con forte dipendenza da execution e supply chain</t>
  </si>
  <si>
    <t>TRL-NU-002</t>
  </si>
  <si>
    <t>Mercato trainato da nuove build selettive e life extension</t>
  </si>
  <si>
    <t>2000-5000</t>
  </si>
  <si>
    <t>TRL-NU-003</t>
  </si>
  <si>
    <t>Standard chiave per accettabilita e licensing</t>
  </si>
  <si>
    <t>TRL-NU-004</t>
  </si>
  <si>
    <t>Necessita forte quadro istituzionale</t>
  </si>
  <si>
    <t>TRL-NU-005</t>
  </si>
  <si>
    <t>Early projects e strategie industriali in avvio</t>
  </si>
  <si>
    <t>TRL-NU-006</t>
  </si>
  <si>
    <t>08_Costi_Compet | Costi e competitività</t>
  </si>
  <si>
    <t>Area 4 del brief: CAPEX, OPEX, LCOE/LCOS, trend di costo, incentivi e driver competitivi.</t>
  </si>
  <si>
    <t>Metrica costo / competitività</t>
  </si>
  <si>
    <t>Valore</t>
  </si>
  <si>
    <t>Unità</t>
  </si>
  <si>
    <t>Valuta</t>
  </si>
  <si>
    <t>Anno</t>
  </si>
  <si>
    <t>Incentivo / driver</t>
  </si>
  <si>
    <t>COST-FV-001</t>
  </si>
  <si>
    <t>CAPEX utility-scale PV-only</t>
  </si>
  <si>
    <t>USD/Wdc</t>
  </si>
  <si>
    <t>Strutturalmente in calo nel lungo periodo</t>
  </si>
  <si>
    <t>LCOE molto competitivo; learning curve elevata</t>
  </si>
  <si>
    <t>benchmark NREL Q1 2024, impianto 100 MWdc</t>
  </si>
  <si>
    <t>COST-FV-002</t>
  </si>
  <si>
    <t>CAPEX residenziale PV-only</t>
  </si>
  <si>
    <t>In riduzione, ma meno rapidamente dell utility-scale</t>
  </si>
  <si>
    <t>Driver: scala, permitting, BOS e soft costs</t>
  </si>
  <si>
    <t>benchmark NREL Q1 2024</t>
  </si>
  <si>
    <t>COST-FV-003</t>
  </si>
  <si>
    <t>CAPEX utility-scale PV+BESS (2,4h)</t>
  </si>
  <si>
    <t>In progressiva ottimizzazione</t>
  </si>
  <si>
    <t>Driver: arbitraggio, riduzione curtailment, capacity value</t>
  </si>
  <si>
    <t>COST-FV-004</t>
  </si>
  <si>
    <t>Tariffa PPA / energia aggiudicata</t>
  </si>
  <si>
    <t>US cent/kWh</t>
  </si>
  <si>
    <t>EAU</t>
  </si>
  <si>
    <t>Record competitivo in utility-scale</t>
  </si>
  <si>
    <t>Sito e scala di progetto, ottimo resource base, filiera efficiente</t>
  </si>
  <si>
    <t>tariffa annunciata per Al Dhafra</t>
  </si>
  <si>
    <t>COST-FV-005</t>
  </si>
  <si>
    <t>Trend prezzo moduli c-Si</t>
  </si>
  <si>
    <t>percento</t>
  </si>
  <si>
    <t>n.a.</t>
  </si>
  <si>
    <t>Riduzione molto forte nel 2024</t>
  </si>
  <si>
    <t>Spinta competitiva su utility-scale, rooftop e repowering</t>
  </si>
  <si>
    <t>variazione spot price indicata in roadmap</t>
  </si>
  <si>
    <t>COST-FV-006</t>
  </si>
  <si>
    <t>LCOE agrivoltaico</t>
  </si>
  <si>
    <t>EUR/kWh</t>
  </si>
  <si>
    <t>Germania / UE</t>
  </si>
  <si>
    <t>In calo con standardizzazione e scala</t>
  </si>
  <si>
    <t>Driver: dual land use, valore agricolo, incentivi dedicati</t>
  </si>
  <si>
    <t>intervallo indicativo 0,07-0,12 EUR/kWh; valore inserito come punto medio</t>
  </si>
  <si>
    <t>COST-WI-001</t>
  </si>
  <si>
    <t>CAPEX land-based wind</t>
  </si>
  <si>
    <t>USD/W</t>
  </si>
  <si>
    <t>Competitiva ma influenzata da supply chain e tassi</t>
  </si>
  <si>
    <t>Driver: taglia turbine, altezza torre, logistica e permitting</t>
  </si>
  <si>
    <t>valore indicativo benchmark ATB 2024</t>
  </si>
  <si>
    <t>COST-WI-002</t>
  </si>
  <si>
    <t>CAPEX offshore fixed-bottom</t>
  </si>
  <si>
    <t>USA / UE</t>
  </si>
  <si>
    <t>In calo nel lungo termine ma sotto pressione nel breve</t>
  </si>
  <si>
    <t>Driver: fondazioni, cavi, porti, navi e tassi</t>
  </si>
  <si>
    <t>S035; S037</t>
  </si>
  <si>
    <t>valore indicativo benchmark offshore</t>
  </si>
  <si>
    <t>COST-WI-003</t>
  </si>
  <si>
    <t>CAPEX offshore floating</t>
  </si>
  <si>
    <t>Atteso in riduzione con scala e standardizzazione</t>
  </si>
  <si>
    <t>Driver: piattaforme, ormeggi, assemblaggio e learning curve</t>
  </si>
  <si>
    <t>S035; S044</t>
  </si>
  <si>
    <t>frontiera con forte potenziale di cost down</t>
  </si>
  <si>
    <t>COST-WI-004</t>
  </si>
  <si>
    <t>OPEX land-based wind</t>
  </si>
  <si>
    <t>USD/kW-anno</t>
  </si>
  <si>
    <t>Ottimizzabile con condition monitoring e repowering</t>
  </si>
  <si>
    <t>Driver: disponibilita, ricambi, accessibilita del sito</t>
  </si>
  <si>
    <t>S034; S036</t>
  </si>
  <si>
    <t>valore indicativo benchmark</t>
  </si>
  <si>
    <t>COST-WI-005</t>
  </si>
  <si>
    <t>Fattore incentivo / subsidy</t>
  </si>
  <si>
    <t>EUR/MWh</t>
  </si>
  <si>
    <t>Paesi Bassi</t>
  </si>
  <si>
    <t>Segnale di crescente competitivita in mercati maturi</t>
  </si>
  <si>
    <t>Driver: risorsa, taglia, rischio, pianificazione di rete</t>
  </si>
  <si>
    <t>Hollandse Kust Zuid come riferimento subsidy-free</t>
  </si>
  <si>
    <t>COST-WI-006</t>
  </si>
  <si>
    <t>Taglia turbina offshore di frontiera</t>
  </si>
  <si>
    <t>MW</t>
  </si>
  <si>
    <t>Trend di aumento taglia e riduzione BOS per MW</t>
  </si>
  <si>
    <t>Driver: LCOE, minor numero unita, maggiore resa</t>
  </si>
  <si>
    <t>metrica competitiva indiretta</t>
  </si>
  <si>
    <t>COST-H2-001</t>
  </si>
  <si>
    <t>CAPEX electrolyzer alkaline</t>
  </si>
  <si>
    <t>USD/kW</t>
  </si>
  <si>
    <t>In calo con scala e manifattura</t>
  </si>
  <si>
    <t>Driver: materiali, volumi, learning rate</t>
  </si>
  <si>
    <t>S049; S055</t>
  </si>
  <si>
    <t>valore indicativo di ordine di grandezza</t>
  </si>
  <si>
    <t>COST-H2-002</t>
  </si>
  <si>
    <t>CAPEX electrolyzer PEM</t>
  </si>
  <si>
    <t>Atteso in calo ma ancora sopra alkaline</t>
  </si>
  <si>
    <t>Driver: iridio, produzione stack, BOP e volumi</t>
  </si>
  <si>
    <t>S050; S049</t>
  </si>
  <si>
    <t>COST-H2-003</t>
  </si>
  <si>
    <t>CAPEX electrolyzer SOEC</t>
  </si>
  <si>
    <t>Riduzione attesa se la tecnologia scala</t>
  </si>
  <si>
    <t>Driver: materiali ceramici, durabilita, integrazione termica</t>
  </si>
  <si>
    <t>valore indicativo per tecnologia avanzata</t>
  </si>
  <si>
    <t>COST-H2-004</t>
  </si>
  <si>
    <t>LCOH green hydrogen</t>
  </si>
  <si>
    <t>USD/kgH2</t>
  </si>
  <si>
    <t>Molto sensibile a costo elettricita e utilization rate</t>
  </si>
  <si>
    <t>Driver: prezzo energia, CAPEX, load factor, financing</t>
  </si>
  <si>
    <t>ordine di grandezza medio attuale</t>
  </si>
  <si>
    <t>COST-H2-005</t>
  </si>
  <si>
    <t>Target di competitivita clean hydrogen</t>
  </si>
  <si>
    <t>Target di lungo termine</t>
  </si>
  <si>
    <t>Driver: Hydrogen Shot, innovazione, scala e accesso a rinnovabili low-cost</t>
  </si>
  <si>
    <t>target 1-1-1 DOE</t>
  </si>
  <si>
    <t>COST-H2-006</t>
  </si>
  <si>
    <t>Quota costo elettricita nel LCOH</t>
  </si>
  <si>
    <t>Peso molto elevato sul business case</t>
  </si>
  <si>
    <t>Driver: PPA, autoconsumo rinnovabile, flessibilita di esercizio</t>
  </si>
  <si>
    <t>indicatore sintetico</t>
  </si>
  <si>
    <t>COST-CO-001</t>
  </si>
  <si>
    <t>2500-4500</t>
  </si>
  <si>
    <t>EUR/kW</t>
  </si>
  <si>
    <t>Stabile / in lieve calo</t>
  </si>
  <si>
    <t>Ordine di grandezza new build o impianto di riferimento</t>
  </si>
  <si>
    <t>COST-CO-002</t>
  </si>
  <si>
    <t>35-70</t>
  </si>
  <si>
    <t>EUR/kW-anno</t>
  </si>
  <si>
    <t>Ordine di grandezza esercizio e manutenzione</t>
  </si>
  <si>
    <t>COST-CO-003</t>
  </si>
  <si>
    <t>90-160</t>
  </si>
  <si>
    <t>Volatile / site-specific</t>
  </si>
  <si>
    <t>Range indicativo techno-economic</t>
  </si>
  <si>
    <t>COST-CO-004</t>
  </si>
  <si>
    <t>Dipende da scala e supply chain</t>
  </si>
  <si>
    <t>miglioramenti su componenti e materiali</t>
  </si>
  <si>
    <t>COST-CO-005</t>
  </si>
  <si>
    <t>abbattimento inquinanti locali</t>
  </si>
  <si>
    <t>COST-CO-006</t>
  </si>
  <si>
    <t>capex add-on per capture train</t>
  </si>
  <si>
    <t>COST-OI-001</t>
  </si>
  <si>
    <t>1200-4000</t>
  </si>
  <si>
    <t>COST-OI-002</t>
  </si>
  <si>
    <t>variabile</t>
  </si>
  <si>
    <t>COST-OI-003</t>
  </si>
  <si>
    <t>130-220</t>
  </si>
  <si>
    <t>COST-OI-004</t>
  </si>
  <si>
    <t>EUR/tpd eq</t>
  </si>
  <si>
    <t>ordine di grandezza upgrading</t>
  </si>
  <si>
    <t>COST-OI-005</t>
  </si>
  <si>
    <t>EUR/t throughput</t>
  </si>
  <si>
    <t>progetti efficienza</t>
  </si>
  <si>
    <t>COST-OI-006</t>
  </si>
  <si>
    <t>EUR/boe capacity</t>
  </si>
  <si>
    <t>digital and monitoring</t>
  </si>
  <si>
    <t>COST-GA-001</t>
  </si>
  <si>
    <t>COST-GA-002</t>
  </si>
  <si>
    <t>10-35</t>
  </si>
  <si>
    <t>COST-GA-003</t>
  </si>
  <si>
    <t>70-120</t>
  </si>
  <si>
    <t>COST-GA-004</t>
  </si>
  <si>
    <t>new build CCGT</t>
  </si>
  <si>
    <t>COST-GA-005</t>
  </si>
  <si>
    <t>peaker CT</t>
  </si>
  <si>
    <t>COST-GA-006</t>
  </si>
  <si>
    <t>EUR/kW add-on</t>
  </si>
  <si>
    <t>capture train</t>
  </si>
  <si>
    <t>COST-ST-001</t>
  </si>
  <si>
    <t>4500-9000</t>
  </si>
  <si>
    <t>COST-ST-002</t>
  </si>
  <si>
    <t>60-120</t>
  </si>
  <si>
    <t>COST-ST-003</t>
  </si>
  <si>
    <t>110-220</t>
  </si>
  <si>
    <t>COST-ST-004</t>
  </si>
  <si>
    <t>EUR/kWth eq</t>
  </si>
  <si>
    <t>campo solare</t>
  </si>
  <si>
    <t>COST-ST-005</t>
  </si>
  <si>
    <t>EUR/kWhth</t>
  </si>
  <si>
    <t>storage termico</t>
  </si>
  <si>
    <t>COST-ST-006</t>
  </si>
  <si>
    <t>EUR/kW eq</t>
  </si>
  <si>
    <t>receiver/HTF</t>
  </si>
  <si>
    <t>COST-HY-001</t>
  </si>
  <si>
    <t>3000-8000</t>
  </si>
  <si>
    <t>COST-HY-002</t>
  </si>
  <si>
    <t>20-60</t>
  </si>
  <si>
    <t>COST-HY-003</t>
  </si>
  <si>
    <t>40-120</t>
  </si>
  <si>
    <t>COST-HY-004</t>
  </si>
  <si>
    <t>componenti elettromeccanici</t>
  </si>
  <si>
    <t>COST-HY-005</t>
  </si>
  <si>
    <t>EUR/kWh eq storage component</t>
  </si>
  <si>
    <t>site-specific</t>
  </si>
  <si>
    <t>COST-HY-006</t>
  </si>
  <si>
    <t>revamping capex</t>
  </si>
  <si>
    <t>COST-BM-001</t>
  </si>
  <si>
    <t>3000-6000</t>
  </si>
  <si>
    <t>COST-BM-002</t>
  </si>
  <si>
    <t>COST-BM-003</t>
  </si>
  <si>
    <t>90-180</t>
  </si>
  <si>
    <t>COST-BM-004</t>
  </si>
  <si>
    <t>combustione biomass power</t>
  </si>
  <si>
    <t>COST-BM-005</t>
  </si>
  <si>
    <t>biogas plants</t>
  </si>
  <si>
    <t>COST-BM-006</t>
  </si>
  <si>
    <t>EUR/Nm3 annual capacity</t>
  </si>
  <si>
    <t>indicativo</t>
  </si>
  <si>
    <t>COST-GEO-001</t>
  </si>
  <si>
    <t>3500-8500</t>
  </si>
  <si>
    <t>COST-GEO-002</t>
  </si>
  <si>
    <t>20-50</t>
  </si>
  <si>
    <t>COST-GEO-003</t>
  </si>
  <si>
    <t>45-120</t>
  </si>
  <si>
    <t>COST-GEO-004</t>
  </si>
  <si>
    <t>forte dipendenza da profondita</t>
  </si>
  <si>
    <t>COST-GEO-005</t>
  </si>
  <si>
    <t>power block</t>
  </si>
  <si>
    <t>COST-GEO-006</t>
  </si>
  <si>
    <t>early projects</t>
  </si>
  <si>
    <t>COST-NU-001</t>
  </si>
  <si>
    <t>6000-12000</t>
  </si>
  <si>
    <t>COST-NU-002</t>
  </si>
  <si>
    <t>80-160</t>
  </si>
  <si>
    <t>COST-NU-003</t>
  </si>
  <si>
    <t>COST-NU-004</t>
  </si>
  <si>
    <t>nuclear island share</t>
  </si>
  <si>
    <t>COST-NU-005</t>
  </si>
  <si>
    <t>embedded in plant capex</t>
  </si>
  <si>
    <t>COST-NU-006</t>
  </si>
  <si>
    <t>lifecycle management</t>
  </si>
  <si>
    <t>09_Settori_Impatto | Settori economici di impatto</t>
  </si>
  <si>
    <t>Area 5 del brief: settori di impatto della tecnologia (agricoltura, industria, trasporti, PA, ecc.).</t>
  </si>
  <si>
    <t>Settore economico</t>
  </si>
  <si>
    <t>Caso d'uso / applicazione</t>
  </si>
  <si>
    <t>Tipo impatto</t>
  </si>
  <si>
    <t>Intensità impatto</t>
  </si>
  <si>
    <t>Orizzonte temporale</t>
  </si>
  <si>
    <t>SET-FV-001</t>
  </si>
  <si>
    <t>Autoconsumo individuale, autoconsumo collettivo e CER</t>
  </si>
  <si>
    <t>Riduzione costo energia e decarbonizzazione diffusa</t>
  </si>
  <si>
    <t>mercato spinto da incentivi e regole autoconsumo</t>
  </si>
  <si>
    <t>SET-FV-002</t>
  </si>
  <si>
    <t>Impianti onsite, PPAs e coperture contro volatilita energia</t>
  </si>
  <si>
    <t>Competitivita industriale, hedging e riduzione Scope 2</t>
  </si>
  <si>
    <t>interesse alto nei settori energy-intensive</t>
  </si>
  <si>
    <t>SET-FV-003</t>
  </si>
  <si>
    <t>Agrivoltaico, pompe irrigue, serre e aziende agricole</t>
  </si>
  <si>
    <t>Nuove entrate, resilienza idrica e migliore uso del suolo</t>
  </si>
  <si>
    <t>Medio-alta</t>
  </si>
  <si>
    <t>segmento strategico per territorio e consenso</t>
  </si>
  <si>
    <t>SET-FV-004</t>
  </si>
  <si>
    <t>Edifici pubblici, scuole, parcheggi e illuminazione</t>
  </si>
  <si>
    <t>Riduzione spesa pubblica, educazione climatica e CO2 evitata</t>
  </si>
  <si>
    <t>rilevante per programmi di riqualificazione</t>
  </si>
  <si>
    <t>SET-FV-005</t>
  </si>
  <si>
    <t>Grandi impianti a terra, floating e sistemi ibridi con BESS</t>
  </si>
  <si>
    <t>Decarbonizzazione del mix elettrico e capacity value</t>
  </si>
  <si>
    <t>S012; S014</t>
  </si>
  <si>
    <t>forte leva su nuovi MW installati</t>
  </si>
  <si>
    <t>SET-FV-006</t>
  </si>
  <si>
    <t>Pensiline FV, hub di ricarica EV e logistica</t>
  </si>
  <si>
    <t>Integrazione energia-mobilita e riduzione costi operativi</t>
  </si>
  <si>
    <t>utile nei nodi di domanda diurna</t>
  </si>
  <si>
    <t>SET-WI-001</t>
  </si>
  <si>
    <t>Parchi eolici onshore e offshore per generazione bulk power</t>
  </si>
  <si>
    <t>Decarbonizzazione del mix elettrico e sicurezza energetica</t>
  </si>
  <si>
    <t>segmento core della tecnologia</t>
  </si>
  <si>
    <t>SET-WI-002</t>
  </si>
  <si>
    <t>Corporate PPA e approvvigionamento rinnovabile per siti energy-intensive</t>
  </si>
  <si>
    <t>Riduzione Scope 2 e hedging prezzo energia</t>
  </si>
  <si>
    <t>S033; S036</t>
  </si>
  <si>
    <t>rilevante per competitivita industriale</t>
  </si>
  <si>
    <t>SET-WI-003</t>
  </si>
  <si>
    <t>Porti e filiere marine</t>
  </si>
  <si>
    <t>Sviluppo offshore e floating con impatti su porti, cantieristica e supply chain</t>
  </si>
  <si>
    <t>Nuova occupazione, investimenti industriali e export</t>
  </si>
  <si>
    <t>S038; S039</t>
  </si>
  <si>
    <t>leva industriale rilevante</t>
  </si>
  <si>
    <t>SET-WI-004</t>
  </si>
  <si>
    <t>Agricoltura / aree rurali</t>
  </si>
  <si>
    <t>Canoni, compatibilita con usi agricoli e redditi aggiuntivi nelle aree interne</t>
  </si>
  <si>
    <t>Entrate locali e sviluppo territoriale</t>
  </si>
  <si>
    <t>impatti condizionati da accettabilita</t>
  </si>
  <si>
    <t>SET-WI-005</t>
  </si>
  <si>
    <t>Isole e sistemi isolati</t>
  </si>
  <si>
    <t>Riduzione consumo diesel e maggiore autonomia energetica</t>
  </si>
  <si>
    <t>Sicurezza energetica e riduzione costi di approvvigionamento</t>
  </si>
  <si>
    <t>Media-alta</t>
  </si>
  <si>
    <t>utile dove il costo marginale fossile e alto</t>
  </si>
  <si>
    <t>SET-WI-006</t>
  </si>
  <si>
    <t>Idrogeno / Power-to-X</t>
  </si>
  <si>
    <t>Elettricita eolica per elettrolizzatori e produzioni derivative</t>
  </si>
  <si>
    <t>Abilitazione nuovi vettori e decarbonizzazione hard-to-abate</t>
  </si>
  <si>
    <t>S038; S049</t>
  </si>
  <si>
    <t>ponte tra elettrificazione e molecole verdi</t>
  </si>
  <si>
    <t>SET-H2-001</t>
  </si>
  <si>
    <t>Siderurgia</t>
  </si>
  <si>
    <t>Riduzione diretta del minerale e processi DRI/EAF</t>
  </si>
  <si>
    <t>Decarbonizzazione hard-to-abate</t>
  </si>
  <si>
    <t>S059; S049</t>
  </si>
  <si>
    <t>caso d uso strategico</t>
  </si>
  <si>
    <t>SET-H2-002</t>
  </si>
  <si>
    <t>Raffinazione e chimica</t>
  </si>
  <si>
    <t>Sostituzione dell H2 fossile in raffinerie, ammoniaca e metanolo</t>
  </si>
  <si>
    <t>Riduzione emissioni di feedstock e processo</t>
  </si>
  <si>
    <t>S060; S061</t>
  </si>
  <si>
    <t>early market piu concreto</t>
  </si>
  <si>
    <t>SET-H2-003</t>
  </si>
  <si>
    <t>Fertilizzanti</t>
  </si>
  <si>
    <t>Produzione di ammoniaca a basse emissioni</t>
  </si>
  <si>
    <t>Decarbonizzazione di filiere essenziali</t>
  </si>
  <si>
    <t>caso d uso industriale diretto</t>
  </si>
  <si>
    <t>SET-H2-004</t>
  </si>
  <si>
    <t>Trasporti pesanti</t>
  </si>
  <si>
    <t>Camion, shipping, e-fuels per aviazione e marittimo</t>
  </si>
  <si>
    <t>Riduzione emissioni in segmenti difficili da elettrificare</t>
  </si>
  <si>
    <t>S048; S052</t>
  </si>
  <si>
    <t>dipende da infrastruttura e costo del vettore</t>
  </si>
  <si>
    <t>SET-H2-005</t>
  </si>
  <si>
    <t>Sistema energetico</t>
  </si>
  <si>
    <t>Storage stagionale e flessibilita di sistema</t>
  </si>
  <si>
    <t>Integrazione rinnovabili e resilienza</t>
  </si>
  <si>
    <t>S048; S049</t>
  </si>
  <si>
    <t>piu prospettico nel breve</t>
  </si>
  <si>
    <t>SET-H2-006</t>
  </si>
  <si>
    <t>Pubblica Amministrazione / cluster industriali</t>
  </si>
  <si>
    <t>Hydrogen valleys, hub portuali e distretti territoriali</t>
  </si>
  <si>
    <t>Sviluppo ecosistemi industriali e infrastrutturali</t>
  </si>
  <si>
    <t>S057; S054</t>
  </si>
  <si>
    <t>utile per early market formation</t>
  </si>
  <si>
    <t>SECT-CO-001</t>
  </si>
  <si>
    <t>Uso in siderurgia, cemento e vapore industriale in mercati con forte dipendenza dal carbone.</t>
  </si>
  <si>
    <t>SECT-CO-002</t>
  </si>
  <si>
    <t>Baseload e mid-merit in sistemi ancora carbon-intensive.</t>
  </si>
  <si>
    <t>SECT-CO-003</t>
  </si>
  <si>
    <t>Impatto su sicurezza energetica e politiche di phase-out/just transition.</t>
  </si>
  <si>
    <t>SECT-CO-004</t>
  </si>
  <si>
    <t>Ruolo indiretto via supply chain mineraria e logistica bulk.</t>
  </si>
  <si>
    <t>SECT-CO-005</t>
  </si>
  <si>
    <t>Uso residuale in alcuni sistemi di teleriscaldamento e calore.</t>
  </si>
  <si>
    <t>SECT-CO-006</t>
  </si>
  <si>
    <t>CCUS e conversione di siti coal verso hub energetici e CO2 infrastructure.</t>
  </si>
  <si>
    <t>SECT-OI-001</t>
  </si>
  <si>
    <t>Settore principale di impatto per carburanti liquidi in mobilita terrestre, aerea e marittima.</t>
  </si>
  <si>
    <t>SECT-OI-002</t>
  </si>
  <si>
    <t>Feedstock petrolchimico, calore di processo e supply chain industriale.</t>
  </si>
  <si>
    <t>SECT-OI-003</t>
  </si>
  <si>
    <t>Ruolo residuale per generazione di picco, isole e backup.</t>
  </si>
  <si>
    <t>SECT-OI-004</t>
  </si>
  <si>
    <t>Impatto su bilancia energetica, sicurezza approvvigionamenti e accise.</t>
  </si>
  <si>
    <t>SECT-OI-005</t>
  </si>
  <si>
    <t>Uso indiretto via carburanti, fertilizzanti e logistica.</t>
  </si>
  <si>
    <t>SECT-OI-006</t>
  </si>
  <si>
    <t>Transizione verso bioraffinerie e prodotti a minore intensita carbonica.</t>
  </si>
  <si>
    <t>SECT-GA-001</t>
  </si>
  <si>
    <t>Ruolo centrale per bilanciamento e capacita programmabile.</t>
  </si>
  <si>
    <t>SECT-GA-002</t>
  </si>
  <si>
    <t>Calore di processo, cogenerazione e feedstock chimico.</t>
  </si>
  <si>
    <t>SECT-GA-003</t>
  </si>
  <si>
    <t>Sicurezza energetica, stoccaggi e strategia import/export.</t>
  </si>
  <si>
    <t>SECT-GA-004</t>
  </si>
  <si>
    <t>Uso nel riscaldamento con progressiva pressione verso elettrificazione.</t>
  </si>
  <si>
    <t>SECT-GA-005</t>
  </si>
  <si>
    <t>Ruolo in LNG marittimo / heavy duty e transizione verso e-fuels/H2.</t>
  </si>
  <si>
    <t>SECT-GA-006</t>
  </si>
  <si>
    <t>Piattaforma di transizione verso CCS, H2-ready e low-emission gases.</t>
  </si>
  <si>
    <t>SECT-ST-001</t>
  </si>
  <si>
    <t>Solar process heat per cibo, bevande, tessile, chimica e low-medium temperature heat.</t>
  </si>
  <si>
    <t>SECT-ST-002</t>
  </si>
  <si>
    <t>CSP programmabile con storage nelle aree ad alta DNI.</t>
  </si>
  <si>
    <t>SECT-ST-003</t>
  </si>
  <si>
    <t>Solar thermal e district heating per acqua calda e reti termiche.</t>
  </si>
  <si>
    <t>SECT-ST-004</t>
  </si>
  <si>
    <t>Riduzione domanda fossile per calore urbano e ospedali/scuole in aree favorevoli.</t>
  </si>
  <si>
    <t>SECT-ST-005</t>
  </si>
  <si>
    <t>Calore per serre, essiccazione e processi agroalimentari.</t>
  </si>
  <si>
    <t>SECT-ST-006</t>
  </si>
  <si>
    <t>Integrazione con sali fusi e servizi di flessibilita/thermal storage.</t>
  </si>
  <si>
    <t>SECT-HY-001</t>
  </si>
  <si>
    <t>Backbone di generazione rinnovabile programmabile e riserva.</t>
  </si>
  <si>
    <t>SECT-HY-002</t>
  </si>
  <si>
    <t>Gestione acqua, resilienza climatica e infrastrutture multiuso.</t>
  </si>
  <si>
    <t>SECT-HY-003</t>
  </si>
  <si>
    <t>Power e servizi per siti energivori, specie in aree montane.</t>
  </si>
  <si>
    <t>SECT-HY-004</t>
  </si>
  <si>
    <t>Interazione con irrigazione e gestione invasi.</t>
  </si>
  <si>
    <t>SECT-HY-005</t>
  </si>
  <si>
    <t>Ruolo indiretto tramite decarbonizzazione della rete e reti termiche locali.</t>
  </si>
  <si>
    <t>SECT-HY-006</t>
  </si>
  <si>
    <t>Pumped storage come enabling technology per FV e eolico.</t>
  </si>
  <si>
    <t>SECT-BM-001</t>
  </si>
  <si>
    <t>CHP, vapore e sostituzione combustibili fossili in processi termici.</t>
  </si>
  <si>
    <t>SECT-BM-002</t>
  </si>
  <si>
    <t>Valorizzazione reflui, residui e digestato.</t>
  </si>
  <si>
    <t>SECT-BM-003</t>
  </si>
  <si>
    <t>Generazione programmabile e servizi di rete su scala locale.</t>
  </si>
  <si>
    <t>SECT-BM-004</t>
  </si>
  <si>
    <t>Biometano e bioLNG per hard-to-abate e flotte dedicate.</t>
  </si>
  <si>
    <t>SECT-BM-005</t>
  </si>
  <si>
    <t>Waste-to-energy organico, economia circolare e sviluppo territoriale.</t>
  </si>
  <si>
    <t>SECT-BM-006</t>
  </si>
  <si>
    <t>Teleriscaldamento e caldaie biomass in alcuni contesti.</t>
  </si>
  <si>
    <t>SECT-GEO-001</t>
  </si>
  <si>
    <t>Power 24/7 e servizi di flessibilita/firmness.</t>
  </si>
  <si>
    <t>SECT-GEO-002</t>
  </si>
  <si>
    <t>Calore di processo e integrazione con cluster energivori.</t>
  </si>
  <si>
    <t>SECT-GEO-003</t>
  </si>
  <si>
    <t>Teleriscaldamento e pompe di calore geotermiche shallow/deep.</t>
  </si>
  <si>
    <t>SECT-GEO-004</t>
  </si>
  <si>
    <t>Uso in reti termiche urbane e sviluppo territoriale.</t>
  </si>
  <si>
    <t>SECT-GEO-005</t>
  </si>
  <si>
    <t>Serre, essiccazione e usi termici locali.</t>
  </si>
  <si>
    <t>SECT-GEO-006</t>
  </si>
  <si>
    <t>Sinergie con supply chain oil&amp;gas e drilling technology.</t>
  </si>
  <si>
    <t>SECT-NU-001</t>
  </si>
  <si>
    <t>Generazione firm low-carbon e capacity adequacy.</t>
  </si>
  <si>
    <t>Breve-lungo termine</t>
  </si>
  <si>
    <t>SECT-NU-002</t>
  </si>
  <si>
    <t>Potenziale fornitura di calore, vapore, idrogeno e power per cluster energivori.</t>
  </si>
  <si>
    <t>SECT-NU-003</t>
  </si>
  <si>
    <t>Sicurezza energetica, politica industriale, waste governance e accettabilita.</t>
  </si>
  <si>
    <t>SECT-NU-004</t>
  </si>
  <si>
    <t>Ruolo indiretto nella decarbonizzazione della rete e del teleriscaldamento in alcuni casi.</t>
  </si>
  <si>
    <t>SECT-NU-005</t>
  </si>
  <si>
    <t>Ruolo indiretto via power per elettromobilita e potenziale H2/e-fuels.</t>
  </si>
  <si>
    <t>SECT-NU-006</t>
  </si>
  <si>
    <t>SMR e sistemi cogenerativi per data center, isole industriali e military/base load applications.</t>
  </si>
  <si>
    <t>10_Sostenibilita | Sostenibilità ambientale e compatibilità UE</t>
  </si>
  <si>
    <t>Area 6 del brief: LCA, emissioni GHG, risorse critiche, tassonomia UE e altri impatti ambientali/sociali.</t>
  </si>
  <si>
    <t>LCA disponibile</t>
  </si>
  <si>
    <t>Emissioni GHG lifecycle</t>
  </si>
  <si>
    <t>Unità GHG</t>
  </si>
  <si>
    <t>Uso risorse critiche</t>
  </si>
  <si>
    <t>Compatibilità Tassonomia UE</t>
  </si>
  <si>
    <t>Altri impatti ambientali / sociali</t>
  </si>
  <si>
    <t>SUS-FV-001</t>
  </si>
  <si>
    <t>Si</t>
  </si>
  <si>
    <t>gCO2e/kWh</t>
  </si>
  <si>
    <t>Silicio, argento, rame e alluminio; in alcune filiere attenzione anche a indio e altri metalli speciali</t>
  </si>
  <si>
    <t>Compatibile in via generale come attivita di generazione/installazione se rispetta i Technical Screening Criteria e il principio DNSH</t>
  </si>
  <si>
    <t>Emissioni lifecycle molto inferiori alle fonti fossili; attenzione a uso suolo, end-of-life, riciclo e catena di fornitura</t>
  </si>
  <si>
    <t>S015; S021; S022</t>
  </si>
  <si>
    <t>range di riferimento NREL 10-36 gCO2e/kWh; valore 23 inserito come punto medio per il pilot</t>
  </si>
  <si>
    <t>SUS-FV-002</t>
  </si>
  <si>
    <t>Hotspot materiali/manifattura: silicio, vetro, alluminio, argento</t>
  </si>
  <si>
    <t>Compatibile se la catena di fornitura e i processi rispettano criteri ambientali e sociali applicabili</t>
  </si>
  <si>
    <t>La circolarita e il riciclo riducono il rischio materiali e l impronta lungo il ciclo di vita</t>
  </si>
  <si>
    <t>S021; S015</t>
  </si>
  <si>
    <t>focus sul modulo come componente dominante del footprint</t>
  </si>
  <si>
    <t>SUS-FV-003</t>
  </si>
  <si>
    <t>Parziale / in sviluppo</t>
  </si>
  <si>
    <t>Strutture, cavi e componenti aggiuntivi, ma con potenziali benefici su uso del suolo e acqua</t>
  </si>
  <si>
    <t>Compatibile se il layout preserva funzione agricola e requisiti DNSH</t>
  </si>
  <si>
    <t>I progetti ben disegnati possono ridurre conflitti sull uso del suolo e migliorare resilienza delle colture</t>
  </si>
  <si>
    <t>S026; S022</t>
  </si>
  <si>
    <t>nei casi migliori emerge co-beneficio energia-agricoltura</t>
  </si>
  <si>
    <t>SUS-WI-001</t>
  </si>
  <si>
    <t>Acciaio, rame, terre rare in alcune macchine, materiali compositi per pale</t>
  </si>
  <si>
    <t>Compatibile in via generale come attivita di generazione se rispetta TSC e DNSH</t>
  </si>
  <si>
    <t>Emissioni lifecycle molto basse; attenzione a uso suolo, biodiversita, rumore e fine vita delle pale</t>
  </si>
  <si>
    <t>S033; S047; S022</t>
  </si>
  <si>
    <t>valore indicativo di ordine di grandezza per il pilot</t>
  </si>
  <si>
    <t>SUS-WI-002</t>
  </si>
  <si>
    <t>Materiali compositi, resine e fibre per pale; sfida sul riciclo</t>
  </si>
  <si>
    <t>Compatibile se gestito correttamente il fine vita</t>
  </si>
  <si>
    <t>Tema crescente su blade circularity e soluzioni di riciclo/riuso</t>
  </si>
  <si>
    <t>focus su pale e end-of-life</t>
  </si>
  <si>
    <t>SUS-WI-003</t>
  </si>
  <si>
    <t>Acciaio, cavi, ancoraggi e componenti offshore aggiuntivi</t>
  </si>
  <si>
    <t>Compatibile se rispettati criteri ambientali marini e DNSH</t>
  </si>
  <si>
    <t>Per floating attenzione a impatti marini, porti e catena logistica; alto potenziale di accesso a risorsa profonda</t>
  </si>
  <si>
    <t>ordine di grandezza indicativo</t>
  </si>
  <si>
    <t>SUS-H2-001</t>
  </si>
  <si>
    <t>kgCO2e/kgH2</t>
  </si>
  <si>
    <t>Acqua deionizzata, elettricita rinnovabile, acciaio, nickel, iridio/platino a seconda della tecnologia</t>
  </si>
  <si>
    <t>Compatibile se soddisfa i criteri UE su GHG, addizionalita e DNSH</t>
  </si>
  <si>
    <t>Le emissioni dipendono in modo decisivo dal mix elettrico; attenzione a uso acqua, leakage e materiali critici</t>
  </si>
  <si>
    <t>S052; S053; S055</t>
  </si>
  <si>
    <t>valore indicativo per produzione da rinnovabili</t>
  </si>
  <si>
    <t>SUS-H2-002</t>
  </si>
  <si>
    <t>Hotspot materiali: iridio, platino, titanio</t>
  </si>
  <si>
    <t>Compatibile se la filiera rispetta i criteri ambientali e sociali applicabili</t>
  </si>
  <si>
    <t>La criticita dei materiali nobili rende rilevanti riciclo, sostituzione e riduzione intensita materiale</t>
  </si>
  <si>
    <t>S050; S055</t>
  </si>
  <si>
    <t>focus specifico su PEM</t>
  </si>
  <si>
    <t>SUS-H2-003</t>
  </si>
  <si>
    <t>Impatti aggiuntivi legati a compressione, liquefazione o conversione in carrier</t>
  </si>
  <si>
    <t>Compatibile se l intera catena mantiene le soglie GHG richieste</t>
  </si>
  <si>
    <t>Trasporto e carrier possono aumentare consumi energetici e impronta complessiva</t>
  </si>
  <si>
    <t>S049; S052</t>
  </si>
  <si>
    <t>il footprint finale dipende molto dalla logistica</t>
  </si>
  <si>
    <t>SUS-CO-001</t>
  </si>
  <si>
    <t>Si, ampia letteratura</t>
  </si>
  <si>
    <t>Carbone, acqua, reagenti di abbattimento e solventi CCS</t>
  </si>
  <si>
    <t>Non allineata salvo casi eccezionali di retrofit/transition strettamente condizionati</t>
  </si>
  <si>
    <t>Impronta climatica e locale elevata; attenzione a particolato, SOx/NOx, ceneri e uso acqua</t>
  </si>
  <si>
    <t>SUS-CO-002</t>
  </si>
  <si>
    <t>Parziale / mirata</t>
  </si>
  <si>
    <t>Materiali ad alta temperatura e reagenti di controllo emissioni</t>
  </si>
  <si>
    <t>Non allineata per nuovi asset convenzionali</t>
  </si>
  <si>
    <t>Tecnologie HELE riducono intensita ma non risolvono il tema emissivo</t>
  </si>
  <si>
    <t>SUS-CO-003</t>
  </si>
  <si>
    <t>Solventi, energia ausiliaria e infrastruttura CO2</t>
  </si>
  <si>
    <t>Valutazione molto condizionata e dipendente da stoccaggio permanente</t>
  </si>
  <si>
    <t>CCS abbatte le emissioni ma penalizza costi, efficienza e complessita impiantistica</t>
  </si>
  <si>
    <t>SUS-OI-001</t>
  </si>
  <si>
    <t>Greggio, catalizzatori, idrogeno di processo e acqua</t>
  </si>
  <si>
    <t>Impronta climatica elevata, rischi su qualita aria, perdite e sversamenti</t>
  </si>
  <si>
    <t>SUS-OI-002</t>
  </si>
  <si>
    <t>Efficienza energetica, elettrificazione e recuperi termici</t>
  </si>
  <si>
    <t>Non allineata per il core business ma utile per ridurre intensita del sito</t>
  </si>
  <si>
    <t>Miglioramenti operativi riducono intensita ma non cambiano la natura fossile</t>
  </si>
  <si>
    <t>SUS-OI-003</t>
  </si>
  <si>
    <t>Sensoristica e sistemi di monitoraggio su flare e methane</t>
  </si>
  <si>
    <t>Riduzione flaring e perdite aiuta soprattutto su emissioni fuggitive e reputazione</t>
  </si>
  <si>
    <t>SUS-GA-001</t>
  </si>
  <si>
    <t>Gas naturale, infrastrutture pipeline/LNG, ammine CCS</t>
  </si>
  <si>
    <t>Parzialmente allineata solo come attivita transitoria a precise condizioni</t>
  </si>
  <si>
    <t>Migliore del carbone ma esposta a methane leakage e lock-in</t>
  </si>
  <si>
    <t>SUS-GA-002</t>
  </si>
  <si>
    <t>Maggiore efficienza turbina e recupero calore</t>
  </si>
  <si>
    <t>Allineamento non automatico</t>
  </si>
  <si>
    <t>CCGT moderni riducono intensita ma restano fossili</t>
  </si>
  <si>
    <t>SUS-GA-003</t>
  </si>
  <si>
    <t>Ammine, energia ausiliaria, infrastruttura CO2</t>
  </si>
  <si>
    <t>Condizionata a capture rate e stoccaggio permanente</t>
  </si>
  <si>
    <t>Gas+CCS puo abbattere fortemente le emissioni ma con costi e complessita</t>
  </si>
  <si>
    <t>SUS-ST-001</t>
  </si>
  <si>
    <t>Acciaio, vetro, sali fusi, fluidi termovettori</t>
  </si>
  <si>
    <t>Allineata se rispetta DNSH e vincoli sito-specifici</t>
  </si>
  <si>
    <t>Impronta climatica bassa; attenzione a uso suolo, acqua e bird strike in torri CSP</t>
  </si>
  <si>
    <t>SUS-ST-002</t>
  </si>
  <si>
    <t>Collettori, piping e serbatoi</t>
  </si>
  <si>
    <t>Il calore solare sostituisce combustibili fossili a bassa-media temperatura</t>
  </si>
  <si>
    <t>SUS-ST-003</t>
  </si>
  <si>
    <t>HTF, sali e componenti ad alta temperatura</t>
  </si>
  <si>
    <t>Allineata se gestiti correttamente rifiuti e sostanze</t>
  </si>
  <si>
    <t>Necessaria gestione del fine vita di sali, oli termici e materiali speciali</t>
  </si>
  <si>
    <t>SUS-HY-001</t>
  </si>
  <si>
    <t>Calcestruzzo, acciaio e opere civili</t>
  </si>
  <si>
    <t>Allineata se rispetta DNSH e valutazioni ecosistemiche</t>
  </si>
  <si>
    <t>Impronta climatica bassa ma impatti locali su ecosistemi, sedimenti e uso acqua</t>
  </si>
  <si>
    <t>SUS-HY-002</t>
  </si>
  <si>
    <t>Parziale / dipende dal sito</t>
  </si>
  <si>
    <t>Grandes opere e uso del suolo</t>
  </si>
  <si>
    <t>Allineata con forti condizioni sito-specifiche</t>
  </si>
  <si>
    <t>Impatti su biodiversita, fish passage e comunità devono essere mitigati</t>
  </si>
  <si>
    <t>SUS-HY-003</t>
  </si>
  <si>
    <t>Refurbishment e repowering usano molta meno materia rispetto a greenfield</t>
  </si>
  <si>
    <t>Il revamping del parco esistente e spesso la via piu sostenibile</t>
  </si>
  <si>
    <t>SUS-BM-001</t>
  </si>
  <si>
    <t>Si, ma molto feedstock-dependent</t>
  </si>
  <si>
    <t>Residui agricoli/forestali, nutrienti, additivi e logistica</t>
  </si>
  <si>
    <t>Allineabile solo con criteri di sostenibilita stringenti</t>
  </si>
  <si>
    <t>Il profilo emissivo varia molto con feedstock, LUC e logistica</t>
  </si>
  <si>
    <t>SUS-BM-002</t>
  </si>
  <si>
    <t>Reflui e FORSU con upgrading a biometano</t>
  </si>
  <si>
    <t>Allineabile se rispettati criteri RED e perdite CH4 contenute</t>
  </si>
  <si>
    <t>Forte beneficio quando riduce emissioni da reflui/rifiuti organici</t>
  </si>
  <si>
    <t>SUS-BM-003</t>
  </si>
  <si>
    <t>Filiera biomassa, solventi e storage CO2 in caso di BECCS</t>
  </si>
  <si>
    <t>Potenzialmente molto favorevole ma dipende da accounting e storage</t>
  </si>
  <si>
    <t>BECCS puo generare rimozioni ma richiede governance rigorosa</t>
  </si>
  <si>
    <t>SUS-GEO-001</t>
  </si>
  <si>
    <t>Acciaio/cemento per pozzi, pompe e ORC</t>
  </si>
  <si>
    <t>Allineata se rispetta soglie emissive e DNSH</t>
  </si>
  <si>
    <t>Impronta bassa e generazione continua; attenzione a brine e sismicita indotta</t>
  </si>
  <si>
    <t>SUS-GEO-002</t>
  </si>
  <si>
    <t>Uso diretto del calore con infrastruttura di rete</t>
  </si>
  <si>
    <t>Ottima opzione per decarbonizzare calore locale</t>
  </si>
  <si>
    <t>SUS-GEO-003</t>
  </si>
  <si>
    <t>Pozzi profondi, stimolazione e materiali</t>
  </si>
  <si>
    <t>Allineata in via potenziale ma da verificare caso per caso</t>
  </si>
  <si>
    <t>Next-gen geothermal apre nuovo potenziale ma richiede governance rigorosa</t>
  </si>
  <si>
    <t>SUS-NU-001</t>
  </si>
  <si>
    <t>Uranio, acciai speciali, cemento e fuel cycle</t>
  </si>
  <si>
    <t>Condizionatamente allineata in UE sotto criteri specifici</t>
  </si>
  <si>
    <t>Impronta climatica molto bassa ma temi chiave restano waste, safety e decommissioning</t>
  </si>
  <si>
    <t>SUS-NU-002</t>
  </si>
  <si>
    <t>Parziale / specifica</t>
  </si>
  <si>
    <t>Componenti safety-grade e waste management</t>
  </si>
  <si>
    <t>LCA favorevole ma forte dipendenza da governance e standard di sicurezza</t>
  </si>
  <si>
    <t>SUS-NU-003</t>
  </si>
  <si>
    <t>Modular manufacturing, acciai e supply chain qualificata</t>
  </si>
  <si>
    <t>Potenzialmente allineabile sotto i criteri UE</t>
  </si>
  <si>
    <t>Gli SMR mirano a ridurre rischio di costruzione ma sono ancora early market</t>
  </si>
  <si>
    <t>11_Best_Practice | Casi e pratiche di riferimento</t>
  </si>
  <si>
    <t>Area 7 del brief: best practice mondiali che rappresentano stati di avanzamento significativi.</t>
  </si>
  <si>
    <t>Paese / Regione</t>
  </si>
  <si>
    <t>Progetto / impianto / caso</t>
  </si>
  <si>
    <t>Organizzazione capofila</t>
  </si>
  <si>
    <t>Descrizione</t>
  </si>
  <si>
    <t>Perché è best practice</t>
  </si>
  <si>
    <t>Risultati / KPI chiave</t>
  </si>
  <si>
    <t>BP-FV-001</t>
  </si>
  <si>
    <t>Al Dhafra Solar PV</t>
  </si>
  <si>
    <t>EWEC / EDF Renewables / Jinko Power</t>
  </si>
  <si>
    <t>Mega-impianto utility-scale da circa 2 GW con moduli bifacciali e inseguimento.</t>
  </si>
  <si>
    <t>Scala, bancabilita e tariffa estremamente competitiva in area MENA.</t>
  </si>
  <si>
    <t>Tariffa record di 1,32 US cent/kWh; produzione sufficiente per ~160.000 abitazioni.</t>
  </si>
  <si>
    <t>2023</t>
  </si>
  <si>
    <t>riferimento utility-scale globale</t>
  </si>
  <si>
    <t>BP-FV-002</t>
  </si>
  <si>
    <t>Impianto utility-scale da 1,2 GW in esercizio commerciale dal 30/04/2019.</t>
  </si>
  <si>
    <t>Mostra maturita industriale e capacita di esecuzione su scala GW.</t>
  </si>
  <si>
    <t>Oltre 3,3 milioni di pannelli; uno dei primi mega-impianti PV del Golfo.</t>
  </si>
  <si>
    <t>2019</t>
  </si>
  <si>
    <t>caso benchmark per fase di ramp-up del settore</t>
  </si>
  <si>
    <t>BP-FV-003</t>
  </si>
  <si>
    <t>Indonesia</t>
  </si>
  <si>
    <t>Impianto floating PV realizzato su bacino artificiale.</t>
  </si>
  <si>
    <t>Dimostra integrazione FV su specchi d acqua e scalabilita del floating PV.</t>
  </si>
  <si>
    <t>145 MWac / 192 MWp; maggiore del Sud-Est asiatico al momento dell avvio.</t>
  </si>
  <si>
    <t>riferimento per mercati con vincoli di suolo</t>
  </si>
  <si>
    <t>BP-FV-004</t>
  </si>
  <si>
    <t>Germania</t>
  </si>
  <si>
    <t>Heggelbach APV-RESOLA</t>
  </si>
  <si>
    <t>Fraunhofer ISE e partner di progetto</t>
  </si>
  <si>
    <t>Caso pilota agrivoltaico con coltivazioni e produzione elettrica sullo stesso terreno.</t>
  </si>
  <si>
    <t>Mostra il valore del dual land use e potenziali benefici su resilienza delle colture.</t>
  </si>
  <si>
    <t>Linee guida Fraunhofer indicano LCOE 7-12 eurocent/kWh e benefici su uso acqua/resa in condizioni di stress idrico.</t>
  </si>
  <si>
    <t>rilevante per replicabilita in Italia</t>
  </si>
  <si>
    <t>BP-WI-001</t>
  </si>
  <si>
    <t>Regno Unito</t>
  </si>
  <si>
    <t>Dogger Bank</t>
  </si>
  <si>
    <t>Progetto offshore in tre fasi destinato a diventare il piu grande parco eolico offshore al mondo.</t>
  </si>
  <si>
    <t>Scala multi-GW, supply chain complessa e utilizzo di turbine di grande taglia.</t>
  </si>
  <si>
    <t>Riferimento globale per taglia, industrializzazione e integrazione offshore.</t>
  </si>
  <si>
    <t>best practice offshore di frontiera</t>
  </si>
  <si>
    <t>BP-WI-002</t>
  </si>
  <si>
    <t>Hornsea 2</t>
  </si>
  <si>
    <t>Parco offshore pienamente operativo dal 2022, benchmark di esercizio commerciale su grande scala.</t>
  </si>
  <si>
    <t>Mostra maturita industriale e capacita di execution offshore.</t>
  </si>
  <si>
    <t>1,3 GW e oltre 1,4 milioni di case equivalenti alimentate.</t>
  </si>
  <si>
    <t>2022</t>
  </si>
  <si>
    <t>benchmark di piena operativita</t>
  </si>
  <si>
    <t>BP-WI-003</t>
  </si>
  <si>
    <t>Norvegia</t>
  </si>
  <si>
    <t>Hywind Tampen</t>
  </si>
  <si>
    <t>Primo parco eolico floating costruito per alimentare installazioni offshore.</t>
  </si>
  <si>
    <t>Dimostra la transizione del floating da dimostrazione a progetto operativo complesso.</t>
  </si>
  <si>
    <t>Riferimento mondiale floating e uso in acque profonde.</t>
  </si>
  <si>
    <t>caso icona per floating offshore</t>
  </si>
  <si>
    <t>BP-WI-004</t>
  </si>
  <si>
    <t>Hollandse Kust Zuid</t>
  </si>
  <si>
    <t>Vattenfall / BASF / Allianz</t>
  </si>
  <si>
    <t>Grande parco offshore sviluppato senza sussidi diretti.</t>
  </si>
  <si>
    <t>Best practice di competitivita e bancabilita in mercato maturo.</t>
  </si>
  <si>
    <t>Primo grande offshore subsidy-free; 139 turbine da 11 MW.</t>
  </si>
  <si>
    <t>riferimento per maturita del modello di business</t>
  </si>
  <si>
    <t>BP-H2-001</t>
  </si>
  <si>
    <t>Arabia Saudita</t>
  </si>
  <si>
    <t>NEOM Green Hydrogen Project</t>
  </si>
  <si>
    <t>NGHC / Air Products / ACWA Power / NEOM</t>
  </si>
  <si>
    <t>Mega-progetto integrato con circa 4 GW di rinnovabili dedicati e produzione di ammoniaca verde.</t>
  </si>
  <si>
    <t>Rappresenta la frontiera della scala industriale e dell export di molecole verdi.</t>
  </si>
  <si>
    <t>Target fino a 1,2 Mt/anno di green ammonia.</t>
  </si>
  <si>
    <t>2026</t>
  </si>
  <si>
    <t>best practice di scala globale</t>
  </si>
  <si>
    <t>BP-H2-002</t>
  </si>
  <si>
    <t>Svezia</t>
  </si>
  <si>
    <t>SSAB / LKAB / Vattenfall</t>
  </si>
  <si>
    <t>Uso di idrogeno per siderurgia fossil-free.</t>
  </si>
  <si>
    <t>Dimostra il ruolo del vettore nei settori hard-to-abate.</t>
  </si>
  <si>
    <t>Potenziale riduzione significativa delle emissioni dell industria siderurgica svedese.</t>
  </si>
  <si>
    <t>riferimento industriale strategico</t>
  </si>
  <si>
    <t>BP-H2-003</t>
  </si>
  <si>
    <t>Shell / ITM Power e partner</t>
  </si>
  <si>
    <t>PEM electrolyser in raffineria, con evoluzione da 10 MW a 100 MW.</t>
  </si>
  <si>
    <t>Best practice di integrazione industriale e scale-up progressivo.</t>
  </si>
  <si>
    <t>Passaggio da dimostrazione a scala industriale.</t>
  </si>
  <si>
    <t>caso molto rilevante in UE</t>
  </si>
  <si>
    <t>BP-H2-004</t>
  </si>
  <si>
    <t>Spagna</t>
  </si>
  <si>
    <t>Puertollano green hydrogen plant</t>
  </si>
  <si>
    <t>Iberdrola / Fertiberia</t>
  </si>
  <si>
    <t>Impianto integrato PV+battery+electrolyzer per uso industriale.</t>
  </si>
  <si>
    <t>Mostra integrazione tra rinnovabili, accumulo ed elettrolisi in un caso reale.</t>
  </si>
  <si>
    <t>100 MW PV, 20 MW elettrolizzatore, 5 MW/20 MWh batteria.</t>
  </si>
  <si>
    <t>BP-CO-001</t>
  </si>
  <si>
    <t>Giappone</t>
  </si>
  <si>
    <t>Isogo New Units</t>
  </si>
  <si>
    <t>Impianto ultrasupercritico con standard ambientali molto elevati per un asset coal.</t>
  </si>
  <si>
    <t>Benchmark di efficienza e controllo emissioni locali.</t>
  </si>
  <si>
    <t>Efficienza netta ~45% HHV, basse emissioni locali.</t>
  </si>
  <si>
    <t>BP-CO-002</t>
  </si>
  <si>
    <t>Retrofit di cattura CO2 su impianto a carbone.</t>
  </si>
  <si>
    <t>Caso di riferimento per fattibilita CCS retrofit.</t>
  </si>
  <si>
    <t>Capture train su scala utility, lesson learned su affidabilita e economics.</t>
  </si>
  <si>
    <t>BP-CO-003</t>
  </si>
  <si>
    <t>Canada</t>
  </si>
  <si>
    <t>Primo grande caso di CCS operativo su unita coal.</t>
  </si>
  <si>
    <t>Mostra integrazione impianto + trasporto/uso/stoccaggio CO2.</t>
  </si>
  <si>
    <t>Esperienza pluriennale di esercizio commerciale con CCS.</t>
  </si>
  <si>
    <t>BP-CO-004</t>
  </si>
  <si>
    <t>Yuhuan ultrasupercritical plant</t>
  </si>
  <si>
    <t>Grande impianto ultrasupercritico di alta efficienza.</t>
  </si>
  <si>
    <t>Riferimento per scala e rendimento nel parco moderno.</t>
  </si>
  <si>
    <t>Unit size da 1 GW e rendimento superiore ai subcritical legacy.</t>
  </si>
  <si>
    <t>BP-OI-001</t>
  </si>
  <si>
    <t>Corea del Sud</t>
  </si>
  <si>
    <t>Shaheen Project</t>
  </si>
  <si>
    <t>Grande progetto di upgrading integrato per aumentare efficienza e valore prodotti.</t>
  </si>
  <si>
    <t>Riferimento per raffinazione avanzata e residue upgrading.</t>
  </si>
  <si>
    <t>Maggiore conversione di residui e resa su prodotti ad alto valore.</t>
  </si>
  <si>
    <t>BP-OI-002</t>
  </si>
  <si>
    <t>Finlandia</t>
  </si>
  <si>
    <t>Porvoo transformation</t>
  </si>
  <si>
    <t>Trasformazione del sito verso prodotti a minore intensita carbonica e maggiore flessibilita feedstock.</t>
  </si>
  <si>
    <t>Esempio di riconversione industriale della filiera oil.</t>
  </si>
  <si>
    <t>Roadmap di trasformazione e integrazione con nuovi prodotti.</t>
  </si>
  <si>
    <t>BP-OI-003</t>
  </si>
  <si>
    <t>ADNOC decarbonization program</t>
  </si>
  <si>
    <t>Programmi su efficienza, riduzione flaring e metano.</t>
  </si>
  <si>
    <t>Benchmark di miglioramento operativo nella filiera upstream/downstream.</t>
  </si>
  <si>
    <t>Riduzione intensita emissiva e digitalizzazione asset.</t>
  </si>
  <si>
    <t>BP-OI-004</t>
  </si>
  <si>
    <t>India</t>
  </si>
  <si>
    <t>Hub raffinazione integrato di grandissima scala.</t>
  </si>
  <si>
    <t>Riferimento per integrazione industriale, logistica e ottimizzazione.</t>
  </si>
  <si>
    <t>Elevata complessita e flessibilita di slate produttivo.</t>
  </si>
  <si>
    <t>BP-GA-001</t>
  </si>
  <si>
    <t>Keadby 2</t>
  </si>
  <si>
    <t>CCGT di nuova generazione ad alta efficienza e flessibilita.</t>
  </si>
  <si>
    <t>Benchmark europeo per efficienza e fast response.</t>
  </si>
  <si>
    <t>Capacita &gt;800 MW e avvio flessibile.</t>
  </si>
  <si>
    <t>BP-GA-002</t>
  </si>
  <si>
    <t>NET Power La Porte</t>
  </si>
  <si>
    <t>Ciclo innovativo a gas con cattura CO2 integrata.</t>
  </si>
  <si>
    <t>Mostra una possibile frontiera low-carbon dispatchable.</t>
  </si>
  <si>
    <t>Architettura Allam-Fetvedt con CO2 ad alta purezza.</t>
  </si>
  <si>
    <t>BP-GA-003</t>
  </si>
  <si>
    <t>Nuova centrale predisposta a crescente uso di idrogeno.</t>
  </si>
  <si>
    <t>Best practice transition-ready della generazione a gas.</t>
  </si>
  <si>
    <t>Roadmap verso combustione con blend H2 elevati.</t>
  </si>
  <si>
    <t>BP-GA-004</t>
  </si>
  <si>
    <t>Belgio</t>
  </si>
  <si>
    <t>T-Power Tessenderlo</t>
  </si>
  <si>
    <t>ENGIE / T-Power</t>
  </si>
  <si>
    <t>CCGT efficiente in mercato europeo.</t>
  </si>
  <si>
    <t>Riferimento per esercizio merchant e flessibile.</t>
  </si>
  <si>
    <t>Alta efficienza e integrazione nel mercato elettrico.</t>
  </si>
  <si>
    <t>BP-ST-001</t>
  </si>
  <si>
    <t>Grande progetto CSP+PV con storage termico su scala utility.</t>
  </si>
  <si>
    <t>Dimostra dispatchability e scala in area MENA.</t>
  </si>
  <si>
    <t>Tower + parabolic trough con accumulo termico di lunga durata.</t>
  </si>
  <si>
    <t>BP-ST-002</t>
  </si>
  <si>
    <t>Cile</t>
  </si>
  <si>
    <t>Impianto tower CSP con ~17,5 ore di storage.</t>
  </si>
  <si>
    <t>Best practice per generazione serale/notturna in Sud America.</t>
  </si>
  <si>
    <t>Storage di lunga durata e forte integrazione nel sistema cileno.</t>
  </si>
  <si>
    <t>BP-ST-003</t>
  </si>
  <si>
    <t>Marocco</t>
  </si>
  <si>
    <t>Progetto tower CSP di riferimento in Africa del Nord.</t>
  </si>
  <si>
    <t>Mostra ruolo di CSP in strategia nazionale FER.</t>
  </si>
  <si>
    <t>Capacita significativa con accumulo termico integrato.</t>
  </si>
  <si>
    <t>BP-ST-004</t>
  </si>
  <si>
    <t>Danimarca</t>
  </si>
  <si>
    <t>Silkeborg solar district heating</t>
  </si>
  <si>
    <t>Silkeborg Forsyning</t>
  </si>
  <si>
    <t>Grande campo solare per rete di teleriscaldamento.</t>
  </si>
  <si>
    <t>Best practice del solare termico per calore urbano.</t>
  </si>
  <si>
    <t>Riduzione uso gas e integrazione con reti termiche.</t>
  </si>
  <si>
    <t>BP-HY-001</t>
  </si>
  <si>
    <t>Three Gorges</t>
  </si>
  <si>
    <t>Mega progetto idroelettrico multiuso e di scala globale.</t>
  </si>
  <si>
    <t>Benchmark di scala, regolazione e produzione.</t>
  </si>
  <si>
    <t>Capacita &gt;20 GW e forte ruolo sistemico.</t>
  </si>
  <si>
    <t>BP-HY-002</t>
  </si>
  <si>
    <t>Bath County Pumped Storage</t>
  </si>
  <si>
    <t>Grande impianto di pompaggio per bilanciamento di rete.</t>
  </si>
  <si>
    <t>Best practice di storage idroelettrico.</t>
  </si>
  <si>
    <t>Elevata potenza e rapidita di modulazione.</t>
  </si>
  <si>
    <t>BP-HY-003</t>
  </si>
  <si>
    <t>Brasile / Paraguay</t>
  </si>
  <si>
    <t>Itaipu</t>
  </si>
  <si>
    <t>Grande idroelettrico binazionale di alta affidabilita.</t>
  </si>
  <si>
    <t>Riferimento per governance, O&amp;M e scala.</t>
  </si>
  <si>
    <t>Produzione tra le piu elevate al mondo.</t>
  </si>
  <si>
    <t>BP-HY-004</t>
  </si>
  <si>
    <t>Svizzera</t>
  </si>
  <si>
    <t>Pumped storage alpino di nuova generazione.</t>
  </si>
  <si>
    <t>Best practice per flessibilita a supporto di VRE europee.</t>
  </si>
  <si>
    <t>Storage e dispatch rapido in sistema interconnesso.</t>
  </si>
  <si>
    <t>BP-BM-001</t>
  </si>
  <si>
    <t>Vartan bioenergy CHP</t>
  </si>
  <si>
    <t>Grande uso di biomassa per elettricita e calore urbano.</t>
  </si>
  <si>
    <t>Best practice per integrazione con district heating.</t>
  </si>
  <si>
    <t>Alta efficienza complessiva in CHP.</t>
  </si>
  <si>
    <t>BP-BM-002</t>
  </si>
  <si>
    <t>Sviluppo di bioenergia con cattura della CO2.</t>
  </si>
  <si>
    <t>Riferimento mondiale per BECCS su scala utility.</t>
  </si>
  <si>
    <t>Percorso verso emissioni negative industriali.</t>
  </si>
  <si>
    <t>BP-BM-003</t>
  </si>
  <si>
    <t>VERBIO biomethane / bioLNG</t>
  </si>
  <si>
    <t>Integrazione avanzata tra feedstock agricoli, biometano e carburanti.</t>
  </si>
  <si>
    <t>Best practice per gas rinnovabili e uso trasporti.</t>
  </si>
  <si>
    <t>Produzione integrata di biomethane e bioLNG.</t>
  </si>
  <si>
    <t>BP-BM-004</t>
  </si>
  <si>
    <t>Avedore power station</t>
  </si>
  <si>
    <t>Conversione e uso esteso di biomassa in CHP.</t>
  </si>
  <si>
    <t>Mostra trasformazione di asset legacy verso bioenergy.</t>
  </si>
  <si>
    <t>Supporto a rete termica e power.</t>
  </si>
  <si>
    <t>BP-GEO-001</t>
  </si>
  <si>
    <t>Piu grande complesso geotermico operativo al mondo.</t>
  </si>
  <si>
    <t>Best practice geotermia convenzionale su scala utility.</t>
  </si>
  <si>
    <t>Capacita installata di riferimento e lunga esperienza operativa.</t>
  </si>
  <si>
    <t>BP-GEO-002</t>
  </si>
  <si>
    <t>Islanda</t>
  </si>
  <si>
    <t>Hellisheidi</t>
  </si>
  <si>
    <t>Impianto integrato power+heat con progetti di mineralizzazione CO2.</t>
  </si>
  <si>
    <t>Best practice per integrazione energetica e sostenibilita.</t>
  </si>
  <si>
    <t>Elettricita, calore e progetti CarbFix.</t>
  </si>
  <si>
    <t>BP-GEO-003</t>
  </si>
  <si>
    <t>Cape Station / Fervo</t>
  </si>
  <si>
    <t>Progetto next-gen basato su drilling orizzontale e completamenti avanzati.</t>
  </si>
  <si>
    <t>Best practice per EGS / geothermal 2.0.</t>
  </si>
  <si>
    <t>Riduzione del rischio e scalabilita tramite tecniche oilfield.</t>
  </si>
  <si>
    <t>BP-GEO-004</t>
  </si>
  <si>
    <t>Canada / Germania</t>
  </si>
  <si>
    <t>Sistemi closed-loop per geotermia di nuova generazione.</t>
  </si>
  <si>
    <t>Best practice di frontiera con approccio chiuso.</t>
  </si>
  <si>
    <t>Architettura potenzialmente replicabile in piu aree.</t>
  </si>
  <si>
    <t>BP-NU-001</t>
  </si>
  <si>
    <t>Barakah</t>
  </si>
  <si>
    <t>Nuovo programma nucleare nazionale completato su piu unita.</t>
  </si>
  <si>
    <t>Best practice di programme execution e nuovo build.</t>
  </si>
  <si>
    <t>Quattro unita APR1400 in esercizio/commissioning.</t>
  </si>
  <si>
    <t>BP-NU-002</t>
  </si>
  <si>
    <t>EPR europeo entrato in esercizio commerciale.</t>
  </si>
  <si>
    <t>Caso chiave per Gen III+ in Europa.</t>
  </si>
  <si>
    <t>Unita da oltre 1,6 GW, riferimento per lessons learned.</t>
  </si>
  <si>
    <t>BP-NU-003</t>
  </si>
  <si>
    <t>Vogtle 3 and 4</t>
  </si>
  <si>
    <t>Primi nuovi AP1000 operativi negli USA.</t>
  </si>
  <si>
    <t>Best practice/lesson learned per new build occidentale.</t>
  </si>
  <si>
    <t>Due nuove unita entrate in esercizio nel 2023-2024.</t>
  </si>
  <si>
    <t>BP-NU-004</t>
  </si>
  <si>
    <t>Uno dei principali progetti SMR dimostrativi al mondo.</t>
  </si>
  <si>
    <t>Riferimento per frontiera modulare.</t>
  </si>
  <si>
    <t>SMR avanzato orientato a deployment commerciale.</t>
  </si>
  <si>
    <t>12_Policy_Regolazione | Policy e regolazione</t>
  </si>
  <si>
    <t>Area 8 del brief: policy, regolamentazione, incentivi e standard rilevanti per la tecnologia.</t>
  </si>
  <si>
    <t>Giurisdizione</t>
  </si>
  <si>
    <t>Tipo policy / regolazione</t>
  </si>
  <si>
    <t>Titolo atto / misura</t>
  </si>
  <si>
    <t>Stato</t>
  </si>
  <si>
    <t>Data entrata in vigore</t>
  </si>
  <si>
    <t>Impatto sulla tecnologia</t>
  </si>
  <si>
    <t>POL-FV-001</t>
  </si>
  <si>
    <t>Direttiva</t>
  </si>
  <si>
    <t>Direttiva (UE) 2023/2413 - RED III</t>
  </si>
  <si>
    <t>In vigore; recepimento nazionale in corso</t>
  </si>
  <si>
    <t>2023-11-20</t>
  </si>
  <si>
    <t>Aumenta target rinnovabili al 42,5% con obiettivo 45% e accelera permitting; favorisce anche forme innovative come l agrisolar.</t>
  </si>
  <si>
    <t>cornice UE per crescita FV</t>
  </si>
  <si>
    <t>POL-FV-002</t>
  </si>
  <si>
    <t>Regolamento</t>
  </si>
  <si>
    <t>Regolamento (UE) 2024/1735 - Net-Zero Industry Act</t>
  </si>
  <si>
    <t>In vigore; atti attuativi e implementazione 2025</t>
  </si>
  <si>
    <t>2024-06-29</t>
  </si>
  <si>
    <t>Supporta manifattura UE di PV e componenti, introduce misure su permitting, resilience e criteri non-price in procurement/aste.</t>
  </si>
  <si>
    <t>rilevante per rafforzare filiera europea</t>
  </si>
  <si>
    <t>POL-FV-003</t>
  </si>
  <si>
    <t>Decreto / Incentivo</t>
  </si>
  <si>
    <t>Decreto CACER n. 414/2023 + Regole operative GSE</t>
  </si>
  <si>
    <t>Attivo; tariffa fino a 5 GW o 31/12/2027; finestra PNRR chiusa il 30/11/2025</t>
  </si>
  <si>
    <t>2024-01-24</t>
  </si>
  <si>
    <t>Spinge rooftop PV, CER e autoconsumo collettivo con tariffa incentivante e contributi in conto capitale PNRR.</t>
  </si>
  <si>
    <t>mercato distribuito e comunita energetiche</t>
  </si>
  <si>
    <t>POL-FV-004</t>
  </si>
  <si>
    <t>Decreto / PNRR</t>
  </si>
  <si>
    <t>Sviluppo agro-voltaico (DM 436/2023; regole 2024; aggiornamenti 2025)</t>
  </si>
  <si>
    <t>Attivo e aggiornato nel 2025</t>
  </si>
  <si>
    <t>2024-02-14</t>
  </si>
  <si>
    <t>Sostiene sistemi agrivoltaici innovativi e sperimentali, orientando layout, monitoraggio e requisiti di accesso.</t>
  </si>
  <si>
    <t>rilevante per dual land use</t>
  </si>
  <si>
    <t>POL-FV-005</t>
  </si>
  <si>
    <t>EU Taxonomy - attivita di generazione/installazione FV</t>
  </si>
  <si>
    <t>Applicabile</t>
  </si>
  <si>
    <t>2024-01-01</t>
  </si>
  <si>
    <t>Facilita qualificazione della tecnologia come investimento sostenibile se rispettati TSC e DNSH.</t>
  </si>
  <si>
    <t>rilevante per finanza sostenibile e reporting ESG</t>
  </si>
  <si>
    <t>POL-WI-001</t>
  </si>
  <si>
    <t>Accelera deployment rinnovabili e permitting, con beneficio diretto per onshore e offshore wind.</t>
  </si>
  <si>
    <t>cornice UE per crescita eolico</t>
  </si>
  <si>
    <t>POL-WI-002</t>
  </si>
  <si>
    <t>Regolamento / piano</t>
  </si>
  <si>
    <t>European Wind Power Action Plan</t>
  </si>
  <si>
    <t>Attivo</t>
  </si>
  <si>
    <t>2023-10-24</t>
  </si>
  <si>
    <t>Interviene su aste, finanziabilita, permitting, competenze e supply chain della manifattura eolica europea.</t>
  </si>
  <si>
    <t>POL-WI-003</t>
  </si>
  <si>
    <t>Strategia UE sulle rinnovabili offshore</t>
  </si>
  <si>
    <t>Attiva</t>
  </si>
  <si>
    <t>2020-11-19</t>
  </si>
  <si>
    <t>Supporta la crescita dell offshore wind e la cooperazione infrastrutturale tra Stati Membri.</t>
  </si>
  <si>
    <t>cornice di lungo termine per offshore e floating</t>
  </si>
  <si>
    <t>POL-WI-004</t>
  </si>
  <si>
    <t>Programma / roadmap</t>
  </si>
  <si>
    <t>2025-01-01</t>
  </si>
  <si>
    <t>Orienta iter, sviluppo e posizionamento nazionale su offshore e floating.</t>
  </si>
  <si>
    <t>rilevante per pipeline italiana</t>
  </si>
  <si>
    <t>POL-WI-005</t>
  </si>
  <si>
    <t>FER X transitorio e graduatorie GSE</t>
  </si>
  <si>
    <t>Supporta nuova capacita eolica tramite aste e procedure competitive.</t>
  </si>
  <si>
    <t>rilevante per nuovi impianti e repowering</t>
  </si>
  <si>
    <t>POL-H2-001</t>
  </si>
  <si>
    <t>Regola / atto delegato</t>
  </si>
  <si>
    <t>Renewable hydrogen rules e delegated acts RFNBO</t>
  </si>
  <si>
    <t>2023-06-20</t>
  </si>
  <si>
    <t>Definisce criteri su addizionalita, correlazione temporale e soglie GHG per l accesso al mercato UE.</t>
  </si>
  <si>
    <t>S052; S053</t>
  </si>
  <si>
    <t>atto chiave per bankability</t>
  </si>
  <si>
    <t>POL-H2-002</t>
  </si>
  <si>
    <t>Incentivo / asta</t>
  </si>
  <si>
    <t>European Hydrogen Bank</t>
  </si>
  <si>
    <t>Supporta la creazione del mercato tramite aste e premi alla produzione.</t>
  </si>
  <si>
    <t>strumento centrale di market creation</t>
  </si>
  <si>
    <t>POL-H2-003</t>
  </si>
  <si>
    <t>Net-Zero Industry Act</t>
  </si>
  <si>
    <t>Sostiene manifattura europea di elettrolizzatori e altre clean tech, oltre a permitting e resilienza.</t>
  </si>
  <si>
    <t>rilevante per filiera europea</t>
  </si>
  <si>
    <t>POL-H2-004</t>
  </si>
  <si>
    <t>Strategia Nazionale Idrogeno</t>
  </si>
  <si>
    <t>Pubblicata</t>
  </si>
  <si>
    <t>2024-11-26</t>
  </si>
  <si>
    <t>Definisce traiettorie di sviluppo nazionali per idrogeno rinnovabile e low-carbon al 2030-2050.</t>
  </si>
  <si>
    <t>riferimento quadro italiano</t>
  </si>
  <si>
    <t>POL-H2-005</t>
  </si>
  <si>
    <t>Programma / PNRR</t>
  </si>
  <si>
    <t>Hydrogen Valleys</t>
  </si>
  <si>
    <t>Sostiene cluster territoriali e primi ecosistemi di produzione/uso in aree industriali dismesse.</t>
  </si>
  <si>
    <t>rilevante per early market</t>
  </si>
  <si>
    <t>POL-CO-001</t>
  </si>
  <si>
    <t>Regolazione / ETS</t>
  </si>
  <si>
    <t>EU ETS e phase-out nazionali</t>
  </si>
  <si>
    <t>2005-01-01</t>
  </si>
  <si>
    <t>Alza il costo della CO2 e accelera uscita del carbone in molti mercati europei.</t>
  </si>
  <si>
    <t>POL-CO-002</t>
  </si>
  <si>
    <t>EU Taxonomy</t>
  </si>
  <si>
    <t>2020-07-12</t>
  </si>
  <si>
    <t>Nuovi asset coal non sono qualificati come sostenibili.</t>
  </si>
  <si>
    <t>POL-CO-003</t>
  </si>
  <si>
    <t>Coal 2025 / policy outlook</t>
  </si>
  <si>
    <t>2025-12-17</t>
  </si>
  <si>
    <t>Le policy climatiche comprimono il ruolo di medio termine in molte economie avanzate.</t>
  </si>
  <si>
    <t>POL-CO-004</t>
  </si>
  <si>
    <t>Piano energia e clima / phase-out coal</t>
  </si>
  <si>
    <t>In evoluzione</t>
  </si>
  <si>
    <t>2019-01-01</t>
  </si>
  <si>
    <t>Riduzione ruolo del carbone nella generazione nazionale.</t>
  </si>
  <si>
    <t>POL-CO-005</t>
  </si>
  <si>
    <t>Incentivo / CCS</t>
  </si>
  <si>
    <t>Schemi CCfD/45Q e supporti CCUS</t>
  </si>
  <si>
    <t>In sviluppo</t>
  </si>
  <si>
    <t>Solo in presenza di forte supporto il coal+CCS torna bancabile.</t>
  </si>
  <si>
    <t>POL-OI-001</t>
  </si>
  <si>
    <t>Fuel quality, ETS e standard ambientali</t>
  </si>
  <si>
    <t>2020-01-01</t>
  </si>
  <si>
    <t>Aumentano pressione su intensita carbonica e qualita prodotti.</t>
  </si>
  <si>
    <t>POL-OI-002</t>
  </si>
  <si>
    <t>Oil 2025 / outlook</t>
  </si>
  <si>
    <t>2025-06-01</t>
  </si>
  <si>
    <t>La crescita della domanda rallenta in diversi segmenti e aree geografiche.</t>
  </si>
  <si>
    <t>POL-OI-003</t>
  </si>
  <si>
    <t>Nuove attivita oil non qualificate come sostenibili.</t>
  </si>
  <si>
    <t>POL-OI-004</t>
  </si>
  <si>
    <t>Methane / flaring</t>
  </si>
  <si>
    <t>Iniziative methane abatement</t>
  </si>
  <si>
    <t>Spingono sensoristica, LDAR e riduzione flaring nelle operations.</t>
  </si>
  <si>
    <t>POL-OI-005</t>
  </si>
  <si>
    <t>Transizione industriale</t>
  </si>
  <si>
    <t>Supporto a riconversione raffinerie e low-carbon fuels</t>
  </si>
  <si>
    <t>Premia efficienza, elettrificazione e prodotti alternativi.</t>
  </si>
  <si>
    <t>POL-GA-001</t>
  </si>
  <si>
    <t>Direttiva / mercato</t>
  </si>
  <si>
    <t>RED III ed elettrificazione</t>
  </si>
  <si>
    <t>La crescita delle FER riduce il ruolo del gas nei load factor ma ne valorizza la flessibilita.</t>
  </si>
  <si>
    <t>POL-GA-002</t>
  </si>
  <si>
    <t>Complementary Climate Delegated Act</t>
  </si>
  <si>
    <t>2022-07-15</t>
  </si>
  <si>
    <t>Classifica solo alcune attivita gas come transitorie e a condizioni rigorose.</t>
  </si>
  <si>
    <t>POL-GA-003</t>
  </si>
  <si>
    <t>Methane</t>
  </si>
  <si>
    <t>Regolazione methane abatement</t>
  </si>
  <si>
    <t>In vigore / attuazione</t>
  </si>
  <si>
    <t>Spinge monitoraggio perdite e tracciabilita della filiera gas.</t>
  </si>
  <si>
    <t>POL-GA-004</t>
  </si>
  <si>
    <t>Infrastrutture</t>
  </si>
  <si>
    <t>Stoccaggi, terminali e sicurezza supply</t>
  </si>
  <si>
    <t>2022-01-01</t>
  </si>
  <si>
    <t>Aumenta valore strategico di terminali e storage.</t>
  </si>
  <si>
    <t>POL-GA-005</t>
  </si>
  <si>
    <t>Gas 2025</t>
  </si>
  <si>
    <t>2025-10-01</t>
  </si>
  <si>
    <t>Il mercato al 2030 sara ridefinito da LNG, low-emission gases e domanda power/industry.</t>
  </si>
  <si>
    <t>POL-ST-001</t>
  </si>
  <si>
    <t>RED III</t>
  </si>
  <si>
    <t>Supporta FER elettriche e termiche, incluso il calore rinnovabile.</t>
  </si>
  <si>
    <t>POL-ST-002</t>
  </si>
  <si>
    <t>Support schemes for renewables</t>
  </si>
  <si>
    <t>Aste e supporti possono valorizzare tecnologie programmabili e termiche.</t>
  </si>
  <si>
    <t>POL-ST-003</t>
  </si>
  <si>
    <t>Può sostenere filiere cleantech e manufacturing correlato.</t>
  </si>
  <si>
    <t>POL-ST-004</t>
  </si>
  <si>
    <t>FER e calore rinnovabile / strumenti dedicati</t>
  </si>
  <si>
    <t>Supporta applicazioni innovative e decarbonizzazione del calore.</t>
  </si>
  <si>
    <t>POL-ST-005</t>
  </si>
  <si>
    <t>R&amp;D</t>
  </si>
  <si>
    <t>Programmi SolarPACES e demonstration</t>
  </si>
  <si>
    <t>Indispensabili per ridurre costi e ampliare mercati CSP/process heat.</t>
  </si>
  <si>
    <t>POL-HY-001</t>
  </si>
  <si>
    <t>Conferma ruolo delle FER ma richiede forte attenzione a permitting e ambiente.</t>
  </si>
  <si>
    <t>POL-HY-002</t>
  </si>
  <si>
    <t>L idroelettrico e allineabile solo con rigorosi criteri DNSH.</t>
  </si>
  <si>
    <t>POL-HY-003</t>
  </si>
  <si>
    <t>Refurbishment e nuovi impianti possono beneficiare di schemi mirati.</t>
  </si>
  <si>
    <t>POL-HY-004</t>
  </si>
  <si>
    <t>Concessioni</t>
  </si>
  <si>
    <t>Quadro concessorio e rinnovi</t>
  </si>
  <si>
    <t>Rilevante per revamping e investimenti sul parco esistente.</t>
  </si>
  <si>
    <t>POL-HY-005</t>
  </si>
  <si>
    <t>Hydropower outlook</t>
  </si>
  <si>
    <t>Spinge attenzione su manutenzione asset esistenti, pumped storage e resilienza climatica.</t>
  </si>
  <si>
    <t>POL-BM-001</t>
  </si>
  <si>
    <t>RED III e criteri sostenibilita biomass</t>
  </si>
  <si>
    <t>Stringe requisiti su feedstock, efficienza e GHG savings.</t>
  </si>
  <si>
    <t>POL-BM-002</t>
  </si>
  <si>
    <t>Supporto</t>
  </si>
  <si>
    <t>Schemi nazionali per power, heat e gas rinnovabili.</t>
  </si>
  <si>
    <t>POL-BM-003</t>
  </si>
  <si>
    <t>GSE Biometano / PNRR</t>
  </si>
  <si>
    <t>Traino forte su digestione anaerobica, upgrading e grid injection.</t>
  </si>
  <si>
    <t>POL-BM-004</t>
  </si>
  <si>
    <t>Allineamento condizionato a criteri stringenti su filiera e DNSH.</t>
  </si>
  <si>
    <t>POL-BM-005</t>
  </si>
  <si>
    <t>Scenario</t>
  </si>
  <si>
    <t>IEA Bioenergy</t>
  </si>
  <si>
    <t>La crescita e sostenuta solo da filiere sostenibili e politiche robuste.</t>
  </si>
  <si>
    <t>POL-GEO-001</t>
  </si>
  <si>
    <t>Supporta calore rinnovabile e FER programmabili.</t>
  </si>
  <si>
    <t>POL-GEO-002</t>
  </si>
  <si>
    <t>FER2 e strumenti geotermia innovativa</t>
  </si>
  <si>
    <t>Può sostenere geotermia innovativa e a basse emissioni.</t>
  </si>
  <si>
    <t>POL-GEO-003</t>
  </si>
  <si>
    <t>Allineamento possibile ma legato a performance ambientali.</t>
  </si>
  <si>
    <t>POL-GEO-004</t>
  </si>
  <si>
    <t>Policy report</t>
  </si>
  <si>
    <t>IEA Future of Geothermal policy recommendations</t>
  </si>
  <si>
    <t>2024-12-13</t>
  </si>
  <si>
    <t>Indica standard, risk mitigation e public support come leve chiave.</t>
  </si>
  <si>
    <t>POL-GEO-005</t>
  </si>
  <si>
    <t>Locale</t>
  </si>
  <si>
    <t>Permitting</t>
  </si>
  <si>
    <t>Concessioni minerarie e autorizzazioni</t>
  </si>
  <si>
    <t>Gestione del rischio geologico e del permitting e decisiva.</t>
  </si>
  <si>
    <t>POL-NU-001</t>
  </si>
  <si>
    <t>Consente l inclusione di specifiche attivita nucleari sotto condizioni stringenti.</t>
  </si>
  <si>
    <t>POL-NU-002</t>
  </si>
  <si>
    <t>2024-02-01</t>
  </si>
  <si>
    <t>Accelera sviluppo e industrializzazione SMR in Europa.</t>
  </si>
  <si>
    <t>POL-NU-003</t>
  </si>
  <si>
    <t>SMR Strategy for Europe</t>
  </si>
  <si>
    <t>2026-03-10</t>
  </si>
  <si>
    <t>Delinea percorso UE per sviluppo e deployment SMR.</t>
  </si>
  <si>
    <t>POL-NU-004</t>
  </si>
  <si>
    <t>Standard</t>
  </si>
  <si>
    <t>IAEA Safety Standards</t>
  </si>
  <si>
    <t>Riferimento globale per safety, licensing e operation.</t>
  </si>
  <si>
    <t>POL-NU-005</t>
  </si>
  <si>
    <t>Percorso su nuovo nucleare sostenibile / PNNS</t>
  </si>
  <si>
    <t>Riapre spazio di analisi strategica e industriale nazionale.</t>
  </si>
  <si>
    <t>13_Barriere_Opp | Barriere e opportunità</t>
  </si>
  <si>
    <t>Area 9 del brief: barriere tecnologiche, economiche, regolatorie e opportunità di sviluppo.</t>
  </si>
  <si>
    <t>Categoria</t>
  </si>
  <si>
    <t>Barriera o opportunità</t>
  </si>
  <si>
    <t>Severità / Priorità</t>
  </si>
  <si>
    <t>Azioni di mitigazione o leva</t>
  </si>
  <si>
    <t>BAR-FV-001</t>
  </si>
  <si>
    <t>Permitting, uso del suolo e accettabilita locale</t>
  </si>
  <si>
    <t>I tempi autorizzativi e i conflitti territoriali possono rallentare utility-scale, floating e agrivoltaico.</t>
  </si>
  <si>
    <t>Individuare aree idonee, semplificare permitting, curare engagement locale e progettazione paesaggistica.</t>
  </si>
  <si>
    <t>S018; S028</t>
  </si>
  <si>
    <t>barriera chiave nei mercati europei</t>
  </si>
  <si>
    <t>BAR-FV-002</t>
  </si>
  <si>
    <t>Dipendenza da supply chain estere e materie prime critiche</t>
  </si>
  <si>
    <t>La filiera europea resta esposta a concentrazione geografica e disponibilita di argento, silicio, rame e altri materiali.</t>
  </si>
  <si>
    <t>Riciclo, circolarita, reshoring/nearshoring e strumenti NZIA per rafforzare resilienza industriale.</t>
  </si>
  <si>
    <t>S021; S019</t>
  </si>
  <si>
    <t>barriera industriale-strategica</t>
  </si>
  <si>
    <t>BAR-FV-003</t>
  </si>
  <si>
    <t>Congestione di rete, interconnessioni e curtailment</t>
  </si>
  <si>
    <t>La rapida crescita del FV aumenta il bisogno di rete, storage e flessibilita.</t>
  </si>
  <si>
    <t>Integrare PV+BESS, demand response, rinforzi di rete e pianificazione territoriale.</t>
  </si>
  <si>
    <t>S013; S014</t>
  </si>
  <si>
    <t>barriera di sistema</t>
  </si>
  <si>
    <t>BAR-FV-004</t>
  </si>
  <si>
    <t>Riduzione dei prezzi di moduli e BOS</t>
  </si>
  <si>
    <t>La discesa dei costi amplia la competitivita del FV in molti segmenti.</t>
  </si>
  <si>
    <t>Alta priorita</t>
  </si>
  <si>
    <t>Accelerare repowering, aste, PPA e diffusione distribuita dove la rete lo consente.</t>
  </si>
  <si>
    <t>S017; S012</t>
  </si>
  <si>
    <t>opportunita di mercato molto forte</t>
  </si>
  <si>
    <t>BAR-FV-005</t>
  </si>
  <si>
    <t>Tandem perovskite-silicio come salto prestazionale</t>
  </si>
  <si>
    <t>Potenziale &gt;30% di efficienza ma ancora da validare pienamente su affidabilita e bancabilita.</t>
  </si>
  <si>
    <t>Finanziare piloti, test di durabilita e monitoraggio ravvicinato in horizon scanning.</t>
  </si>
  <si>
    <t>opportunita ad alto potenziale</t>
  </si>
  <si>
    <t>BAR-FV-006</t>
  </si>
  <si>
    <t>Agrivoltaico per ridurre conflitto sull uso del suolo</t>
  </si>
  <si>
    <t>Se ben progettato, l agrivoltaico puo creare consenso e valore addizionale per le aziende agricole.</t>
  </si>
  <si>
    <t>Standard progettuali, metriche energia-agricoltura e strumenti di supporto dedicati.</t>
  </si>
  <si>
    <t>opportunita rilevante per l Italia</t>
  </si>
  <si>
    <t>BAR-WI-001</t>
  </si>
  <si>
    <t>Permitting e accettabilita locale</t>
  </si>
  <si>
    <t>Iter autorizzativi lunghi e opposizioni territoriali restano tra i principali freni, specialmente onshore e offshore nearshore.</t>
  </si>
  <si>
    <t>Semplificare permitting, aree idonee, engagement locale e qualita progettuale.</t>
  </si>
  <si>
    <t>S039; S040</t>
  </si>
  <si>
    <t>barriera chiave</t>
  </si>
  <si>
    <t>BAR-WI-002</t>
  </si>
  <si>
    <t>Connessione di rete e colli di bottiglia di sistema</t>
  </si>
  <si>
    <t>La velocita di sviluppo della rete e delle sottostazioni puo rallentare entrata in esercizio e repowering.</t>
  </si>
  <si>
    <t>Pianificazione anticipata, investimenti rete e coordinamento porti/cavi/offtake.</t>
  </si>
  <si>
    <t>BAR-WI-003</t>
  </si>
  <si>
    <t>Materiali, logistica e componenti oversize</t>
  </si>
  <si>
    <t>Pale lunghe, torri alte e navi specializzate aumentano complessita e rischio costi.</t>
  </si>
  <si>
    <t>Rafforzare filiere, porti, standard modulari e produzione regionale.</t>
  </si>
  <si>
    <t>S039; S037</t>
  </si>
  <si>
    <t>barriera industriale</t>
  </si>
  <si>
    <t>BAR-WI-004</t>
  </si>
  <si>
    <t>Floating offshore come nuova frontiera</t>
  </si>
  <si>
    <t>L accesso a risorse profonde amplia drasticamente il potenziale tecnico disponibile.</t>
  </si>
  <si>
    <t>Sostenere dimostratori, aste dedicate e industrializzazione delle piattaforme.</t>
  </si>
  <si>
    <t>S044; S038</t>
  </si>
  <si>
    <t>opportunita strategica</t>
  </si>
  <si>
    <t>BAR-WI-005</t>
  </si>
  <si>
    <t>Repowering onshore</t>
  </si>
  <si>
    <t>Il repowering consente di aumentare produzione e ridurre LCOE su siti esistenti.</t>
  </si>
  <si>
    <t>Allineare permitting, incentivi e pianificazione di rete.</t>
  </si>
  <si>
    <t>S036; S041</t>
  </si>
  <si>
    <t>opportunita concreta nel breve</t>
  </si>
  <si>
    <t>BAR-WI-006</t>
  </si>
  <si>
    <t>Digital O&amp;M e aumento disponibilita</t>
  </si>
  <si>
    <t>Analytics e condition monitoring migliorano resa e contenimento OPEX.</t>
  </si>
  <si>
    <t>Sviluppare competenze dati, interoperabilita e manutenzione predittiva.</t>
  </si>
  <si>
    <t>opportunita gestionale rilevante</t>
  </si>
  <si>
    <t>BAR-H2-001</t>
  </si>
  <si>
    <t>Costo ancora elevato del green hydrogen</t>
  </si>
  <si>
    <t>Il business case resta fragile senza elettricita rinnovabile competitiva, load factor adeguato e sostegni pubblici.</t>
  </si>
  <si>
    <t>PPA low-cost, scala, migliori utilization rates e aste dedicate.</t>
  </si>
  <si>
    <t>S049; S051; S054</t>
  </si>
  <si>
    <t>BAR-H2-002</t>
  </si>
  <si>
    <t>Infrastrutture di trasporto e off-take insufficienti</t>
  </si>
  <si>
    <t>Reti, stoccaggi e domanda certa sono ancora limitati in molti mercati.</t>
  </si>
  <si>
    <t>Sviluppare cluster, hydrogen valleys, contratti di offtake e infrastrutture condivise.</t>
  </si>
  <si>
    <t>S049; S057</t>
  </si>
  <si>
    <t>BAR-H2-003</t>
  </si>
  <si>
    <t>Complessita regolatoria e certificazione RFNBO</t>
  </si>
  <si>
    <t>Le regole su addizionalita e correlazione temporale possono rallentare investimenti e strutturazione finanziaria.</t>
  </si>
  <si>
    <t>Chiarezza regolatoria, standard di certificazione e supporto transitorio.</t>
  </si>
  <si>
    <t>barriera UE rilevante</t>
  </si>
  <si>
    <t>BAR-H2-004</t>
  </si>
  <si>
    <t>Dipendenza da materiali critici</t>
  </si>
  <si>
    <t>Per alcune tecnologie, soprattutto PEM, iridio e altri materiali possono essere colli di bottiglia.</t>
  </si>
  <si>
    <t>Ridurre intensita materiale, sviluppare riciclo e alternative tecnologiche.</t>
  </si>
  <si>
    <t>BAR-H2-005</t>
  </si>
  <si>
    <t>Opportunita</t>
  </si>
  <si>
    <t>Early market nei cluster industriali</t>
  </si>
  <si>
    <t>Raffinerie, ammoniaca, acciaio e hydrogen valleys sono i primi segmenti dove si concentra la domanda credibile.</t>
  </si>
  <si>
    <t>Concentrare sforzi su hub industriali e casi d uso ad alta disponibilita a pagare.</t>
  </si>
  <si>
    <t>S049; S057; S060; S061</t>
  </si>
  <si>
    <t>opportunita di go-to-market</t>
  </si>
  <si>
    <t>BAR-H2-006</t>
  </si>
  <si>
    <t>SOEC e integrazione termica</t>
  </si>
  <si>
    <t>L alta temperatura puo offrire efficienze superiori in specifici contesti industriali.</t>
  </si>
  <si>
    <t>Finanziare piloti, validare durabilita e integrare con process heat.</t>
  </si>
  <si>
    <t>BAR-CO-001</t>
  </si>
  <si>
    <t>Prezzo CO2 e phase-out</t>
  </si>
  <si>
    <t>L esposizione a carbon pricing e normative ambientali riduce la bancabilita dei nuovi impianti.</t>
  </si>
  <si>
    <t>Limitare a gestione transizione, repowering o CCS in cluster industriali.</t>
  </si>
  <si>
    <t>BAR-CO-002</t>
  </si>
  <si>
    <t>CAPEX e stranded assets</t>
  </si>
  <si>
    <t>Nuovi coal convenzionali hanno alto rischio di asset stranded.</t>
  </si>
  <si>
    <t>Valutare solo retrofit selettivi o chiusura pianificata.</t>
  </si>
  <si>
    <t>BAR-CO-003</t>
  </si>
  <si>
    <t>Uso acqua e siti</t>
  </si>
  <si>
    <t>Molti impianti richiedono acqua, connessioni e logistica dedicate.</t>
  </si>
  <si>
    <t>Ottimizzare siti esistenti e reindustrializzazione aree brownfield.</t>
  </si>
  <si>
    <t>BAR-CO-004</t>
  </si>
  <si>
    <t>CCS retrofit complesso</t>
  </si>
  <si>
    <t>Penalty energetico e complessita impiantistica frenano retrofit.</t>
  </si>
  <si>
    <t>Cluster CO2, incentivi e hub di trasporto/stoccaggio.</t>
  </si>
  <si>
    <t>BAR-CO-005</t>
  </si>
  <si>
    <t>Accettabilita locale</t>
  </si>
  <si>
    <t>Impatto su qualita aria, miniere e territori.</t>
  </si>
  <si>
    <t>Just transition, remediation e riconversione industriale.</t>
  </si>
  <si>
    <t>BAR-CO-006</t>
  </si>
  <si>
    <t>Flessibilizzazione / repurposing siti</t>
  </si>
  <si>
    <t>I siti coal possono ospitare storage, reti, CCS o nuove tecnologie.</t>
  </si>
  <si>
    <t>Strategie di riconversione e riuso asset.</t>
  </si>
  <si>
    <t>BAR-OI-001</t>
  </si>
  <si>
    <t>Carbon policy e standard fuel</t>
  </si>
  <si>
    <t>Standard piu severi comprimono margini e asset oil-fired legacy.</t>
  </si>
  <si>
    <t>Accelerare efficienza e diversificazione prodotti.</t>
  </si>
  <si>
    <t>BAR-OI-002</t>
  </si>
  <si>
    <t>Volatilita prezzi greggio</t>
  </si>
  <si>
    <t>Elevata volatilita impatta competitivita e pianificazione.</t>
  </si>
  <si>
    <t>Hedging, flessibilita slate e integrazione industriale.</t>
  </si>
  <si>
    <t>BAR-OI-003</t>
  </si>
  <si>
    <t>Dipendenza da logistica dedicata</t>
  </si>
  <si>
    <t>Terminali, shipping e storage restano centrali ma costosi.</t>
  </si>
  <si>
    <t>Ottimizzazione rete e digital supply chain.</t>
  </si>
  <si>
    <t>BAR-OI-004</t>
  </si>
  <si>
    <t>Ambientale</t>
  </si>
  <si>
    <t>Sversamenti, flare, methane</t>
  </si>
  <si>
    <t>Rischi ambientali e reputazionali rilevanti.</t>
  </si>
  <si>
    <t>LDAR, flare minimization, water management.</t>
  </si>
  <si>
    <t>BAR-OI-005</t>
  </si>
  <si>
    <t>Electrification gap</t>
  </si>
  <si>
    <t>Difficile elettrificare completamente alcune utenze di raffineria nel breve.</t>
  </si>
  <si>
    <t>Heat integration, elettrificazione selettiva, H2 a basse emissioni.</t>
  </si>
  <si>
    <t>BAR-OI-006</t>
  </si>
  <si>
    <t>Riconversione industriale</t>
  </si>
  <si>
    <t>Siti oil possono evolvere in bioraffinerie o hub energetici.</t>
  </si>
  <si>
    <t>Piani di trasformazione e CAPEX selettivo.</t>
  </si>
  <si>
    <t>BAR-GA-001</t>
  </si>
  <si>
    <t>Lock-in carbonico</t>
  </si>
  <si>
    <t>Il rischio di lock-in limita orizzonte di nuovi asset a lunga vita.</t>
  </si>
  <si>
    <t>Favorire impianti flessibili, CCS-ready e hydrogen-ready.</t>
  </si>
  <si>
    <t>BAR-GA-002</t>
  </si>
  <si>
    <t>Volatilita commodity</t>
  </si>
  <si>
    <t>Prezzo del gas e volatilita geopolitica impattano forte il costo variabile.</t>
  </si>
  <si>
    <t>Hedging, diversificazione supply, PPA/market design.</t>
  </si>
  <si>
    <t>BAR-GA-003</t>
  </si>
  <si>
    <t>CO2 e H2 infrastructure gap</t>
  </si>
  <si>
    <t>Gas+CCS e H2-ready richiedono nuove reti e storage dedicati.</t>
  </si>
  <si>
    <t>Cluster industriali e pianificazione integrata.</t>
  </si>
  <si>
    <t>BAR-GA-004</t>
  </si>
  <si>
    <t>Methane leakage</t>
  </si>
  <si>
    <t>Emissioni fuggitive riducono il vantaggio climatico rispetto al carbone.</t>
  </si>
  <si>
    <t>LDAR, satelliti, standards supply chain.</t>
  </si>
  <si>
    <t>BAR-GA-005</t>
  </si>
  <si>
    <t>CCS su CCGT ancora early market</t>
  </si>
  <si>
    <t>Bankability limitata in assenza di supporti pubblici.</t>
  </si>
  <si>
    <t>CCfD, tax credit e hub CO2.</t>
  </si>
  <si>
    <t>BAR-GA-006</t>
  </si>
  <si>
    <t>Ruolo di flessibilita</t>
  </si>
  <si>
    <t>Gas efficiente puo supportare la penetrazione di FV, eolico e storage nel transitorio.</t>
  </si>
  <si>
    <t>Ottimizzare dispatch, ancillary services e decarbonization pathways.</t>
  </si>
  <si>
    <t>BAR-ST-001</t>
  </si>
  <si>
    <t>CAPEX elevato</t>
  </si>
  <si>
    <t>Il costo iniziale resta molto superiore al FV, specie fuori dai siti ottimali.</t>
  </si>
  <si>
    <t>Target su aree ad alta DNI e valorizzazione dello storage termico.</t>
  </si>
  <si>
    <t>BAR-ST-002</t>
  </si>
  <si>
    <t>Competizione con FV+BESS</t>
  </si>
  <si>
    <t>FV e batterie comprimono il caso d uso CSP in molti mercati.</t>
  </si>
  <si>
    <t>Posizionare CSP su nicchie di lunga durata e calore.</t>
  </si>
  <si>
    <t>BAR-ST-003</t>
  </si>
  <si>
    <t>Richiede risorsa DNI e talvolta acqua</t>
  </si>
  <si>
    <t>La geografia dei siti e piu selettiva del FV.</t>
  </si>
  <si>
    <t>Dry cooling, selezione siti, hybridization.</t>
  </si>
  <si>
    <t>BAR-ST-004</t>
  </si>
  <si>
    <t>Supply chain specialistica</t>
  </si>
  <si>
    <t>Receiver, heliostat e sali richiedono fornitori specializzati.</t>
  </si>
  <si>
    <t>Scale-up e standardizzazione componenti.</t>
  </si>
  <si>
    <t>BAR-ST-005</t>
  </si>
  <si>
    <t>Aste poco technology-sensitive</t>
  </si>
  <si>
    <t>Schemi solo price-based penalizzano il valore di programmabilita.</t>
  </si>
  <si>
    <t>Mercati capacita / criteri non-price / remunerazione flessibilita.</t>
  </si>
  <si>
    <t>BAR-ST-006</t>
  </si>
  <si>
    <t>Calore industriale e thermal storage</t>
  </si>
  <si>
    <t>Può coprire bisogni difficili da elettrificare direttamente.</t>
  </si>
  <si>
    <t>Cluster industriali, reti termiche e hybrid plants.</t>
  </si>
  <si>
    <t>BAR-HY-001</t>
  </si>
  <si>
    <t>Permitting e biodiversita</t>
  </si>
  <si>
    <t>Nuovi progetti greenfield affrontano iter lunghi e requisiti ambientali stringenti.</t>
  </si>
  <si>
    <t>Priorita a repowering, NPD, PSH e mitigazioni robuste.</t>
  </si>
  <si>
    <t>BAR-HY-002</t>
  </si>
  <si>
    <t>Impatti su ecosistemi e sedimenti</t>
  </si>
  <si>
    <t>Dighe e alterazione dei corsi d acqua possono generare opposizione.</t>
  </si>
  <si>
    <t>Fish passage, sediment management, stakeholder engagement.</t>
  </si>
  <si>
    <t>BAR-HY-003</t>
  </si>
  <si>
    <t>CAPEX e tempi lunghi</t>
  </si>
  <si>
    <t>Le opere civili richiedono tempi e capitali elevati.</t>
  </si>
  <si>
    <t>Riduzione rischio permitting e focus su asset esistenti.</t>
  </si>
  <si>
    <t>BAR-HY-004</t>
  </si>
  <si>
    <t>Climatica</t>
  </si>
  <si>
    <t>Rischio idrologico</t>
  </si>
  <si>
    <t>Siccita e variabilita climatica incidono su produzione e bancabilita.</t>
  </si>
  <si>
    <t>Diversificazione portafoglio e digital hydrology.</t>
  </si>
  <si>
    <t>BAR-HY-005</t>
  </si>
  <si>
    <t>Siti migliori gia sviluppati</t>
  </si>
  <si>
    <t>Nuovi siti sono mediamente piu costosi e complessi.</t>
  </si>
  <si>
    <t>Repowering e NPD/PSH come priorita.</t>
  </si>
  <si>
    <t>BAR-HY-006</t>
  </si>
  <si>
    <t>Pumped storage e idro flessibile saranno sempre piu preziosi con VRE elevata.</t>
  </si>
  <si>
    <t>Market design che remuneri capacity e flexibility.</t>
  </si>
  <si>
    <t>BAR-BM-001</t>
  </si>
  <si>
    <t>Disponibilita feedstock sostenibili</t>
  </si>
  <si>
    <t>La scalabilita e limitata da quantita, qualita e costi del feedstock.</t>
  </si>
  <si>
    <t>Contratti filiera, standard, uso residui e waste hierarchy.</t>
  </si>
  <si>
    <t>BAR-BM-002</t>
  </si>
  <si>
    <t>Rischio LUC e biodiversita</t>
  </si>
  <si>
    <t>Una cattiva gestione del feedstock puo annullare i benefici climatici.</t>
  </si>
  <si>
    <t>Certificazione e focus su residui/sottoprodotti.</t>
  </si>
  <si>
    <t>BAR-BM-003</t>
  </si>
  <si>
    <t>Logistica costosa</t>
  </si>
  <si>
    <t>Raccolta, essiccazione e trasporto pesano molto sui costi.</t>
  </si>
  <si>
    <t>Hub locali e densificazione (pellet, bioLNG).</t>
  </si>
  <si>
    <t>BAR-BM-004</t>
  </si>
  <si>
    <t>Perdite CH4 e affidabilita upgrading</t>
  </si>
  <si>
    <t>Digestione e upgrading richiedono controllo accurato.</t>
  </si>
  <si>
    <t>Sensoristica, O&amp;M e standard di impianto.</t>
  </si>
  <si>
    <t>BAR-BM-005</t>
  </si>
  <si>
    <t>Criteri di sostenibilita complessi</t>
  </si>
  <si>
    <t>Compliance RED/taxonomy richiede forte data governance.</t>
  </si>
  <si>
    <t>MRV filiera e digital traceability.</t>
  </si>
  <si>
    <t>BAR-BM-006</t>
  </si>
  <si>
    <t>Emissioni negative e circular economy</t>
  </si>
  <si>
    <t>Bioenergy, biomethane e BECCS possono integrare decarbonizzazione e rifiuti.</t>
  </si>
  <si>
    <t>Sviluppare cluster locali e demand pull.</t>
  </si>
  <si>
    <t>BAR-GEO-001</t>
  </si>
  <si>
    <t>Geologico</t>
  </si>
  <si>
    <t>Rischio subsurface</t>
  </si>
  <si>
    <t>Esplorazione e reservoir risk ostacolano bancabilita.</t>
  </si>
  <si>
    <t>Risk-sharing pubblico, assicurazioni e data packages.</t>
  </si>
  <si>
    <t>BAR-GEO-002</t>
  </si>
  <si>
    <t>Drilling cost</t>
  </si>
  <si>
    <t>La perforazione resta il maggiore driver di CAPEX.</t>
  </si>
  <si>
    <t>Learning curve da oil&amp;gas, standardizzazione e supply chain.</t>
  </si>
  <si>
    <t>BAR-GEO-003</t>
  </si>
  <si>
    <t>Permitting complesso</t>
  </si>
  <si>
    <t>Permessi minerari, ambientali e accettabilita locale richiedono tempi lunghi.</t>
  </si>
  <si>
    <t>Sportelli unici e linee guida chiare.</t>
  </si>
  <si>
    <t>BAR-GEO-004</t>
  </si>
  <si>
    <t>Sismicita e gestione fluidi</t>
  </si>
  <si>
    <t>Occorre gestire brine, reiniezione e induced seismicity.</t>
  </si>
  <si>
    <t>Monitoring e best practice operative.</t>
  </si>
  <si>
    <t>BAR-GEO-005</t>
  </si>
  <si>
    <t>EGS/closed-loop ancora early market</t>
  </si>
  <si>
    <t>La nuova generazione richiede dimostrazione commerciale.</t>
  </si>
  <si>
    <t>Dimostratori, CfD e offtake di lungo periodo.</t>
  </si>
  <si>
    <t>BAR-GEO-006</t>
  </si>
  <si>
    <t>Power + heat 24/7</t>
  </si>
  <si>
    <t>Il geotermico offre energia firm, calore e local content elevati.</t>
  </si>
  <si>
    <t>Cluster industriali, reti termiche e data center.</t>
  </si>
  <si>
    <t>BAR-NU-001</t>
  </si>
  <si>
    <t>CAPEX elevato e execution risk</t>
  </si>
  <si>
    <t>Rischio cost-overrun e lunga durata di costruzione restano il nodo principale.</t>
  </si>
  <si>
    <t>Standardizzazione, modularizzazione, project governance.</t>
  </si>
  <si>
    <t>BAR-NU-002</t>
  </si>
  <si>
    <t>Licensing complesso</t>
  </si>
  <si>
    <t>Processi autorizzativi e safety case sono lunghi e rigorosi.</t>
  </si>
  <si>
    <t>Armonizzazione standard e capacity building regulator.</t>
  </si>
  <si>
    <t>BAR-NU-003</t>
  </si>
  <si>
    <t>Accettabilita pubblica e waste</t>
  </si>
  <si>
    <t>Waste management e percezione del rischio pesano fortemente.</t>
  </si>
  <si>
    <t>Trasparenza, repository strategy e comunicazione basata su evidenze.</t>
  </si>
  <si>
    <t>BAR-NU-004</t>
  </si>
  <si>
    <t>Capacita industriale qualificata</t>
  </si>
  <si>
    <t>Servono filiere nucleari qualificate e workforce specializzata.</t>
  </si>
  <si>
    <t>Programmi industriali, training e pipeline ordini.</t>
  </si>
  <si>
    <t>BAR-NU-005</t>
  </si>
  <si>
    <t>SMR non ancora fully bankable</t>
  </si>
  <si>
    <t>Molti design sono ancora FOAK e senza track record commerciale pieno.</t>
  </si>
  <si>
    <t>Pilot pipeline, offtake e public-private support.</t>
  </si>
  <si>
    <t>BAR-NU-006</t>
  </si>
  <si>
    <t>Firm low-carbon power</t>
  </si>
  <si>
    <t>Valore elevato in sistemi elettrici molto decarbonizzati e power-hungry.</t>
  </si>
  <si>
    <t>Market design che valorizzi capacity, reliability e heat/hydrogen co-products.</t>
  </si>
  <si>
    <t>14_Attori_Imprese | Attori e imprese coinvolte</t>
  </si>
  <si>
    <t>Area 10 del brief: mappatura degli attori coinvolti nello sviluppo di tecnologie e componenti.</t>
  </si>
  <si>
    <t>Attore / Impresa</t>
  </si>
  <si>
    <t>Tipo attore</t>
  </si>
  <si>
    <t>Paese</t>
  </si>
  <si>
    <t>Ruolo nella filiera</t>
  </si>
  <si>
    <t>Rilevanza strategica</t>
  </si>
  <si>
    <t>Sito web</t>
  </si>
  <si>
    <t>ATT-FV-001</t>
  </si>
  <si>
    <t>Sviluppo e produzione di celle e moduli ad alta efficienza</t>
  </si>
  <si>
    <t>attore globale di riferimento lato moduli</t>
  </si>
  <si>
    <t>ATT-FV-002</t>
  </si>
  <si>
    <t>Produzione moduli, tracker e soluzioni smart energy</t>
  </si>
  <si>
    <t>attore globale integrato</t>
  </si>
  <si>
    <t>ATT-FV-003</t>
  </si>
  <si>
    <t>Inverter utility-scale e sistemi di accumulo</t>
  </si>
  <si>
    <t>https://en.sungrowpower.com/</t>
  </si>
  <si>
    <t>riferimento lato power electronics</t>
  </si>
  <si>
    <t>ATT-FV-004</t>
  </si>
  <si>
    <t>Inverter, system integration e servizi energetici</t>
  </si>
  <si>
    <t>attore europeo rilevante</t>
  </si>
  <si>
    <t>ATT-FV-005</t>
  </si>
  <si>
    <t>Ricerca applicata su integrated PV, agrivoltaico e prestazioni di sistema</t>
  </si>
  <si>
    <t>https://www.ise.fraunhofer.de/en/</t>
  </si>
  <si>
    <t>riferimento scientifico UE</t>
  </si>
  <si>
    <t>ATT-FV-006</t>
  </si>
  <si>
    <t>Benchmark costi, LCA, supply chain e roadmapping tecnologico</t>
  </si>
  <si>
    <t>https://www.nrel.gov/</t>
  </si>
  <si>
    <t>fonte tecnica autorevole</t>
  </si>
  <si>
    <t>ATT-FV-007</t>
  </si>
  <si>
    <t>Gestione incentivi, regole operative CER/autoconsumo e supporto mercato distribuito</t>
  </si>
  <si>
    <t>https://www.gse.it/</t>
  </si>
  <si>
    <t>attore chiave per il mercato italiano</t>
  </si>
  <si>
    <t>ATT-WI-001</t>
  </si>
  <si>
    <t>Sviluppo e produzione di turbine onshore e componenti chiave</t>
  </si>
  <si>
    <t>https://www.vestas.com/</t>
  </si>
  <si>
    <t>attore globale di riferimento</t>
  </si>
  <si>
    <t>ATT-WI-002</t>
  </si>
  <si>
    <t>Turbine offshore di grande taglia e tecnologie Haliade-X</t>
  </si>
  <si>
    <t>https://www.gevernova.com/</t>
  </si>
  <si>
    <t>riferimento lato offshore</t>
  </si>
  <si>
    <t>ATT-WI-003</t>
  </si>
  <si>
    <t>Sviluppatore / utility</t>
  </si>
  <si>
    <t>Sviluppo, costruzione e gestione di parchi offshore</t>
  </si>
  <si>
    <t>https://orsted.com/</t>
  </si>
  <si>
    <t>leader offshore europeo</t>
  </si>
  <si>
    <t>ATT-WI-004</t>
  </si>
  <si>
    <t>Sviluppo offshore e floating wind</t>
  </si>
  <si>
    <t>https://www.equinor.com/</t>
  </si>
  <si>
    <t>attore chiave sul floating</t>
  </si>
  <si>
    <t>ATT-WI-005</t>
  </si>
  <si>
    <t>SSE Renewables</t>
  </si>
  <si>
    <t>Sviluppo di grandi progetti offshore e supply chain</t>
  </si>
  <si>
    <t>https://www.sserenewables.com/</t>
  </si>
  <si>
    <t>rilevante lato execution</t>
  </si>
  <si>
    <t>ATT-WI-006</t>
  </si>
  <si>
    <t>WindEurope</t>
  </si>
  <si>
    <t>Rappresentanza di settore, dati di mercato e policy advocacy</t>
  </si>
  <si>
    <t>https://windeurope.org/</t>
  </si>
  <si>
    <t>attore chiave sul contesto europeo</t>
  </si>
  <si>
    <t>ATT-WI-007</t>
  </si>
  <si>
    <t>Benchmark costi, prestazioni e scenari tecnologici</t>
  </si>
  <si>
    <t>S034; S035; S037</t>
  </si>
  <si>
    <t>ATT-H2-001</t>
  </si>
  <si>
    <t>thyssenkrupp nucera</t>
  </si>
  <si>
    <t>Tecnologie e impianti per elettrolisi alcalina</t>
  </si>
  <si>
    <t>https://www.thyssenkrupp-nucera.com/</t>
  </si>
  <si>
    <t>attore importante nella filiera UE</t>
  </si>
  <si>
    <t>ATT-H2-002</t>
  </si>
  <si>
    <t>ITM Power</t>
  </si>
  <si>
    <t>Tecnologia PEM ed elettrolizzatori per applicazioni industriali</t>
  </si>
  <si>
    <t>https://itm-power.com/</t>
  </si>
  <si>
    <t>attore rilevante per PEM</t>
  </si>
  <si>
    <t>ATT-H2-003</t>
  </si>
  <si>
    <t>Siemens Energy</t>
  </si>
  <si>
    <t>Elettrolizzatori PEM e integrazione di sistema</t>
  </si>
  <si>
    <t>https://www.siemens-energy.com/</t>
  </si>
  <si>
    <t>ATT-H2-004</t>
  </si>
  <si>
    <t>Air Products</t>
  </si>
  <si>
    <t>Industria / developer</t>
  </si>
  <si>
    <t>Sviluppo progetti large-scale e offtake di ammoniaca/idrogeno</t>
  </si>
  <si>
    <t>https://www.airproducts.com/</t>
  </si>
  <si>
    <t>rilevante per progetti globali</t>
  </si>
  <si>
    <t>ATT-H2-005</t>
  </si>
  <si>
    <t>Utility / developer</t>
  </si>
  <si>
    <t>Sviluppo di progetti integrati rinnovabili + idrogeno</t>
  </si>
  <si>
    <t>https://www.iberdrola.com/</t>
  </si>
  <si>
    <t>attore europeo molto visibile</t>
  </si>
  <si>
    <t>ATT-H2-006</t>
  </si>
  <si>
    <t>Clean Hydrogen Partnership</t>
  </si>
  <si>
    <t>Partnership / istituzione</t>
  </si>
  <si>
    <t>Supporto a RD&amp;D e dimostratori nella filiera H2 europea</t>
  </si>
  <si>
    <t>https://www.clean-hydrogen.europa.eu/</t>
  </si>
  <si>
    <t>abilitatore ecosistema innovazione</t>
  </si>
  <si>
    <t>ATT-H2-007</t>
  </si>
  <si>
    <t>JRC / CETO</t>
  </si>
  <si>
    <t>Monitoraggio tecnologico, dati su elettrolizzatori e filiera</t>
  </si>
  <si>
    <t>https://joint-research-centre.ec.europa.eu/</t>
  </si>
  <si>
    <t>riferimento tecnico UE</t>
  </si>
  <si>
    <t>ATT-CO-001</t>
  </si>
  <si>
    <t>Operatore di impianti HELE e flessibilita</t>
  </si>
  <si>
    <t>https://www.jera.co.jp/en/</t>
  </si>
  <si>
    <t>ATT-CO-002</t>
  </si>
  <si>
    <t>Operatore di coal+CCS</t>
  </si>
  <si>
    <t>https://www.saskpower.com/</t>
  </si>
  <si>
    <t>ATT-CO-003</t>
  </si>
  <si>
    <t>Sviluppo CCS retrofit</t>
  </si>
  <si>
    <t>ATT-CO-004</t>
  </si>
  <si>
    <t>Mitsubishi Power</t>
  </si>
  <si>
    <t>Turbomacchine, retrofit e sistemi power</t>
  </si>
  <si>
    <t>https://power.mhi.com/</t>
  </si>
  <si>
    <t>ATT-CO-005</t>
  </si>
  <si>
    <t>Gestione di grandi impianti coal moderni</t>
  </si>
  <si>
    <t>ATT-CO-006</t>
  </si>
  <si>
    <t>NETL / DOE</t>
  </si>
  <si>
    <t>Ricerca efficienza e CCUS su fossili</t>
  </si>
  <si>
    <t>https://www.netl.doe.gov/</t>
  </si>
  <si>
    <t>ATT-CO-007</t>
  </si>
  <si>
    <t>Analisi mercati e scenario coal</t>
  </si>
  <si>
    <t>https://www.iea.org/</t>
  </si>
  <si>
    <t>ATT-OI-001</t>
  </si>
  <si>
    <t>Upstream/downstream con focus su decarbonizzazione operativa</t>
  </si>
  <si>
    <t>https://www.adnoc.ae/</t>
  </si>
  <si>
    <t>ATT-OI-002</t>
  </si>
  <si>
    <t>Trasformazione di siti e prodotti avanzati</t>
  </si>
  <si>
    <t>ATT-OI-003</t>
  </si>
  <si>
    <t>Raffinazione avanzata e upgrading</t>
  </si>
  <si>
    <t>https://www.s-oil.com/en/</t>
  </si>
  <si>
    <t>ATT-OI-004</t>
  </si>
  <si>
    <t>Hub di raffinazione integrato</t>
  </si>
  <si>
    <t>https://www.ril.com/</t>
  </si>
  <si>
    <t>ATT-OI-005</t>
  </si>
  <si>
    <t>Baker Hughes</t>
  </si>
  <si>
    <t>Digital, turbomacchine e monitoraggio emissioni</t>
  </si>
  <si>
    <t>https://www.bakerhughes.com/</t>
  </si>
  <si>
    <t>ATT-OI-006</t>
  </si>
  <si>
    <t>Analisi scenario oil</t>
  </si>
  <si>
    <t>ATT-OI-007</t>
  </si>
  <si>
    <t>MASE / UE</t>
  </si>
  <si>
    <t>Quadro regolatorio su transizione e standard ambientali</t>
  </si>
  <si>
    <t>https://www.mase.gov.it/</t>
  </si>
  <si>
    <t>ATT-GA-001</t>
  </si>
  <si>
    <t>Turbine gas e soluzioni hydrogen-ready</t>
  </si>
  <si>
    <t>ATT-GA-002</t>
  </si>
  <si>
    <t>Turbine H-class e hydrogen-ready</t>
  </si>
  <si>
    <t>ATT-GA-003</t>
  </si>
  <si>
    <t>Turbine gas, compressori e sistemi di rete</t>
  </si>
  <si>
    <t>ATT-GA-004</t>
  </si>
  <si>
    <t>Sviluppo CCGT flessibili e CCS-ready</t>
  </si>
  <si>
    <t>https://www.ssethermal.com/</t>
  </si>
  <si>
    <t>ATT-GA-005</t>
  </si>
  <si>
    <t>Sviluppo ciclo low-carbon a gas</t>
  </si>
  <si>
    <t>ATT-GA-006</t>
  </si>
  <si>
    <t>Analisi mercato gas e scenario</t>
  </si>
  <si>
    <t>ATT-GA-007</t>
  </si>
  <si>
    <t>SNAM</t>
  </si>
  <si>
    <t>Infrastrutture gas, storage e H2 transition</t>
  </si>
  <si>
    <t>https://www.snam.it/</t>
  </si>
  <si>
    <t>ATT-ST-001</t>
  </si>
  <si>
    <t>BrightSource / GlassPoint</t>
  </si>
  <si>
    <t>Sviluppo CSP e solar heat</t>
  </si>
  <si>
    <t>https://www.glasspoint.com/</t>
  </si>
  <si>
    <t>ATT-ST-002</t>
  </si>
  <si>
    <t>ACWA Power</t>
  </si>
  <si>
    <t>Sviluppo di grandi progetti CSP</t>
  </si>
  <si>
    <t>https://www.acwapower.com/</t>
  </si>
  <si>
    <t>ATT-ST-003</t>
  </si>
  <si>
    <t>Developer e operatore progetti CSP</t>
  </si>
  <si>
    <t>https://www.dewa.gov.ae/</t>
  </si>
  <si>
    <t>ATT-ST-004</t>
  </si>
  <si>
    <t>Aalborg CSP</t>
  </si>
  <si>
    <t>Ingegneria e componenti per CSP e thermal storage</t>
  </si>
  <si>
    <t>https://aalborgcsp.com/</t>
  </si>
  <si>
    <t>ATT-ST-005</t>
  </si>
  <si>
    <t>R&amp;D e benchmark CSP</t>
  </si>
  <si>
    <t>ATT-ST-006</t>
  </si>
  <si>
    <t>SolarPACES</t>
  </si>
  <si>
    <t>Knowledge sharing e roadmapping CSP</t>
  </si>
  <si>
    <t>https://www.solarpaces.org/</t>
  </si>
  <si>
    <t>ATT-ST-007</t>
  </si>
  <si>
    <t>Scenario e policy analysis</t>
  </si>
  <si>
    <t>ATT-HY-001</t>
  </si>
  <si>
    <t>Voith Hydro</t>
  </si>
  <si>
    <t>Turbine, generatori e digital hydro</t>
  </si>
  <si>
    <t>https://www.voith.com/corp-en/industry-solutions/hydropower.html</t>
  </si>
  <si>
    <t>ATT-HY-002</t>
  </si>
  <si>
    <t>Andritz Hydro</t>
  </si>
  <si>
    <t>Austria</t>
  </si>
  <si>
    <t>Componenti elettromeccanici e revamping</t>
  </si>
  <si>
    <t>https://www.andritz.com/hydro-en</t>
  </si>
  <si>
    <t>ATT-HY-003</t>
  </si>
  <si>
    <t>GE Vernova Hydro</t>
  </si>
  <si>
    <t>Soluzioni idroelettriche e pumped storage</t>
  </si>
  <si>
    <t>ATT-HY-004</t>
  </si>
  <si>
    <t>Operatore Bath County PSH</t>
  </si>
  <si>
    <t>https://www.dominionenergy.com/</t>
  </si>
  <si>
    <t>ATT-HY-005</t>
  </si>
  <si>
    <t>Gestione grande impianto binazionale</t>
  </si>
  <si>
    <t>ATT-HY-006</t>
  </si>
  <si>
    <t>Scenario e analisi mercato idro</t>
  </si>
  <si>
    <t>ATT-HY-007</t>
  </si>
  <si>
    <t>Terna / ENEL Green Power</t>
  </si>
  <si>
    <t>Gestione idro e ruolo nei servizi di rete</t>
  </si>
  <si>
    <t>https://www.enelgreenpower.com/</t>
  </si>
  <si>
    <t>ATT-BM-001</t>
  </si>
  <si>
    <t>Bioenergy CHP e BECCS</t>
  </si>
  <si>
    <t>https://www.stockholmexergi.se/en/</t>
  </si>
  <si>
    <t>ATT-BM-002</t>
  </si>
  <si>
    <t>Bioenergy e BECCS</t>
  </si>
  <si>
    <t>https://www.drax.com/</t>
  </si>
  <si>
    <t>ATT-BM-003</t>
  </si>
  <si>
    <t>Biometano, bioLNG e filiera agricola</t>
  </si>
  <si>
    <t>ATT-BM-004</t>
  </si>
  <si>
    <t>Conversione a biomassa e cogenerazione</t>
  </si>
  <si>
    <t>ATT-BM-005</t>
  </si>
  <si>
    <t>Novamont / Snam</t>
  </si>
  <si>
    <t>Biometano e circular bioeconomy</t>
  </si>
  <si>
    <t>ATT-BM-006</t>
  </si>
  <si>
    <t>Knowledge base e scenario analysis</t>
  </si>
  <si>
    <t>ATT-BM-007</t>
  </si>
  <si>
    <t>Regole e incentivi biometano / FER</t>
  </si>
  <si>
    <t>ATT-GEO-001</t>
  </si>
  <si>
    <t>Operatore The Geysers</t>
  </si>
  <si>
    <t>https://www.calpine.com/</t>
  </si>
  <si>
    <t>ATT-GEO-002</t>
  </si>
  <si>
    <t>Operatore Hellisheidi</t>
  </si>
  <si>
    <t>https://www.on.is/en</t>
  </si>
  <si>
    <t>ATT-GEO-003</t>
  </si>
  <si>
    <t>Next-gen geothermal / EGS</t>
  </si>
  <si>
    <t>https://fervoenergy.com/</t>
  </si>
  <si>
    <t>ATT-GEO-004</t>
  </si>
  <si>
    <t>ATT-GEO-005</t>
  </si>
  <si>
    <t>Drilling, completamenti e turbomachinery</t>
  </si>
  <si>
    <t>ATT-GEO-006</t>
  </si>
  <si>
    <t>Scenario e policy analysis geotermia</t>
  </si>
  <si>
    <t>ATT-GEO-007</t>
  </si>
  <si>
    <t>ENEL Green Power</t>
  </si>
  <si>
    <t>Italia / Globale</t>
  </si>
  <si>
    <t>Operatore geotermico storico</t>
  </si>
  <si>
    <t>ATT-NU-001</t>
  </si>
  <si>
    <t>Standard, safety e supporto tecnico</t>
  </si>
  <si>
    <t>https://www.iaea.org/</t>
  </si>
  <si>
    <t>ATT-NU-002</t>
  </si>
  <si>
    <t>EDF</t>
  </si>
  <si>
    <t>Francia</t>
  </si>
  <si>
    <t>New build e operation fleet nucleare</t>
  </si>
  <si>
    <t>https://www.edf.fr/en/the-edf-group/producing-a-climate-friendly-energy/nuclear-energy</t>
  </si>
  <si>
    <t>ATT-NU-003</t>
  </si>
  <si>
    <t>Westinghouse</t>
  </si>
  <si>
    <t>Tecnologia AP1000 e soluzioni fuel / service</t>
  </si>
  <si>
    <t>https://www.westinghousenuclear.com/</t>
  </si>
  <si>
    <t>ATT-NU-004</t>
  </si>
  <si>
    <t>Framatome</t>
  </si>
  <si>
    <t>Fuel, components e servizi nucleari</t>
  </si>
  <si>
    <t>https://www.framatome.com/</t>
  </si>
  <si>
    <t>ATT-NU-005</t>
  </si>
  <si>
    <t>Programma Barakah</t>
  </si>
  <si>
    <t>https://www.enec.gov.ae/</t>
  </si>
  <si>
    <t>ATT-NU-006</t>
  </si>
  <si>
    <t>Operatore Olkiluoto</t>
  </si>
  <si>
    <t>https://www.tvo.fi/en/</t>
  </si>
  <si>
    <t>ATT-NU-007</t>
  </si>
  <si>
    <t>European Commission</t>
  </si>
  <si>
    <t>Strategia SMR e quadro regolatorio/tassonomia</t>
  </si>
  <si>
    <t>https://energy.ec.europa.eu/topics/nuclear-energy_en</t>
  </si>
  <si>
    <t>15_Prestazioni | Prestazioni tecniche chiave</t>
  </si>
  <si>
    <t>Area 11 del brief: efficienza, scalabilità, emissioni dirette e altri KPI tecnici rilevanti.</t>
  </si>
  <si>
    <t>KPI tecnico</t>
  </si>
  <si>
    <t>Benchmark / target</t>
  </si>
  <si>
    <t>Condizioni di test / uso</t>
  </si>
  <si>
    <t>KPI-FV-001</t>
  </si>
  <si>
    <t>Efficienza modulo commerciale mono-Si</t>
  </si>
  <si>
    <t>&gt;24% moduli wafer-based silicon commerciali</t>
  </si>
  <si>
    <t>Valore indicativo da report Fraunhofer su prodotti commerciali</t>
  </si>
  <si>
    <t>prestazione commerciale di riferimento</t>
  </si>
  <si>
    <t>KPI-FV-002</t>
  </si>
  <si>
    <t>Efficienza modulo laboratorio mono-Si</t>
  </si>
  <si>
    <t>record lab &gt; moduli commerciali</t>
  </si>
  <si>
    <t>Valore di laboratorio per moduli mono-Si</t>
  </si>
  <si>
    <t>indicatore di frontiera sul silicio</t>
  </si>
  <si>
    <t>KPI-FV-003</t>
  </si>
  <si>
    <t>Efficienza modulo tandem (roadmap)</t>
  </si>
  <si>
    <t>target roadmap 2035</t>
  </si>
  <si>
    <t>Proiezione ITRPV per moduli tandem perovskite-silicio</t>
  </si>
  <si>
    <t>2035</t>
  </si>
  <si>
    <t>non valore commerciale attuale ma target di maturazione</t>
  </si>
  <si>
    <t>KPI-FV-004</t>
  </si>
  <si>
    <t>Efficienza massima inverter utility-scale</t>
  </si>
  <si>
    <t>98-99%</t>
  </si>
  <si>
    <t>Dato esemplificativo da scheda Sungrow SG1100UD-20 1500 Vdc</t>
  </si>
  <si>
    <t>inverter di fascia utility-scale</t>
  </si>
  <si>
    <t>KPI-FV-005</t>
  </si>
  <si>
    <t>Fattore di capacità utility-scale</t>
  </si>
  <si>
    <t>21,4-34,0% a seconda della risorsa</t>
  </si>
  <si>
    <t>Valore mediano indicativo derivato da benchmark NREL ATB utility-scale PV</t>
  </si>
  <si>
    <t>prestazione di esercizio fortemente site-specific</t>
  </si>
  <si>
    <t>KPI-FV-006</t>
  </si>
  <si>
    <t>Emissioni dirette in esercizio</t>
  </si>
  <si>
    <t>~0 in fase operativa</t>
  </si>
  <si>
    <t>Escluse emissioni upstream/downstream del ciclo di vita</t>
  </si>
  <si>
    <t>il footprint rilevante e nel lifecycle, non nell esercizio</t>
  </si>
  <si>
    <t>KPI-FV-007</t>
  </si>
  <si>
    <t>Tempo di ritorno energetico (EPBT)</t>
  </si>
  <si>
    <t>anni</t>
  </si>
  <si>
    <t>range 0,5-1,2 anni</t>
  </si>
  <si>
    <t>Benchmark NREL utility-scale PV</t>
  </si>
  <si>
    <t>valore benchmark all interno del range riportato</t>
  </si>
  <si>
    <t>KPI-FV-008</t>
  </si>
  <si>
    <t>Emissioni lifecycle</t>
  </si>
  <si>
    <t>range 10-36 gCO2e/kWh</t>
  </si>
  <si>
    <t>Punto medio del range NREL per uso dashboard/scorecard</t>
  </si>
  <si>
    <t>inserito come valore sintetico per il pilot</t>
  </si>
  <si>
    <t>KPI-WI-001</t>
  </si>
  <si>
    <t>Capacity factor eolico onshore</t>
  </si>
  <si>
    <t>dipende da sito e classe di vento</t>
  </si>
  <si>
    <t>Valore indicativo benchmark utility-scale onshore</t>
  </si>
  <si>
    <t>ordine di grandezza medio</t>
  </si>
  <si>
    <t>KPI-WI-002</t>
  </si>
  <si>
    <t>Capacity factor offshore fixed-bottom</t>
  </si>
  <si>
    <t>piu elevato dell onshore in siti maturi</t>
  </si>
  <si>
    <t>Valore indicativo benchmark offshore</t>
  </si>
  <si>
    <t>dipende da risorsa e layout</t>
  </si>
  <si>
    <t>KPI-WI-003</t>
  </si>
  <si>
    <t>Capacity factor offshore floating</t>
  </si>
  <si>
    <t>potenzialmente superiore in siti deep-water ottimali</t>
  </si>
  <si>
    <t>Valore indicativo di progetto/benchmark</t>
  </si>
  <si>
    <t>fortemente site-specific</t>
  </si>
  <si>
    <t>KPI-WI-004</t>
  </si>
  <si>
    <t>Diametro rotore offshore di frontiera</t>
  </si>
  <si>
    <t>m</t>
  </si>
  <si>
    <t>ordine di grandezza per turbine di ultima generazione</t>
  </si>
  <si>
    <t>Riferimento Haliade-X 14.7 MW</t>
  </si>
  <si>
    <t>indicatore di frontiera</t>
  </si>
  <si>
    <t>KPI-WI-005</t>
  </si>
  <si>
    <t>Disponibilita tecnica impianto</t>
  </si>
  <si>
    <t>&gt;95% in esercizio ben gestito</t>
  </si>
  <si>
    <t>Valore indicativo per impianti con O&amp;M avanzata</t>
  </si>
  <si>
    <t>forte dipendenza da manutenzione</t>
  </si>
  <si>
    <t>KPI-WI-006</t>
  </si>
  <si>
    <t>il footprint rilevante e nel lifecycle</t>
  </si>
  <si>
    <t>KPI-H2-001</t>
  </si>
  <si>
    <t>Efficienza sistema elettrolizzatore alcalino</t>
  </si>
  <si>
    <t>range tipico 60-70%+ LHV</t>
  </si>
  <si>
    <t>Valore indicativo di riferimento</t>
  </si>
  <si>
    <t>ordine di grandezza</t>
  </si>
  <si>
    <t>KPI-H2-002</t>
  </si>
  <si>
    <t>Efficienza sistema elettrolizzatore PEM</t>
  </si>
  <si>
    <t>range tipico 60-70% LHV</t>
  </si>
  <si>
    <t>S055; S050</t>
  </si>
  <si>
    <t>dipende da carico e configurazione</t>
  </si>
  <si>
    <t>KPI-H2-003</t>
  </si>
  <si>
    <t>Efficienza potenziale SOEC</t>
  </si>
  <si>
    <t>potenziale superiore con integrazione termica</t>
  </si>
  <si>
    <t>Valore indicativo prospettico</t>
  </si>
  <si>
    <t>non mainstream commerciale</t>
  </si>
  <si>
    <t>KPI-H2-004</t>
  </si>
  <si>
    <t>Consumo acqua stechiometrico minimo</t>
  </si>
  <si>
    <t>L/kgH2</t>
  </si>
  <si>
    <t>valore teorico; reale piu alto considerando trattamento e perdite</t>
  </si>
  <si>
    <t>Indicatore di risorsa per la produzione</t>
  </si>
  <si>
    <t>da contestualizzare localmente</t>
  </si>
  <si>
    <t>KPI-H2-005</t>
  </si>
  <si>
    <t>~0 in fase di utilizzo/prodotto</t>
  </si>
  <si>
    <t>Escluse emissioni upstream del ciclo di vita</t>
  </si>
  <si>
    <t>la rilevanza e nel lifecycle e nell elettricita</t>
  </si>
  <si>
    <t>KPI-H2-006</t>
  </si>
  <si>
    <t>Tempo di risposta operativa PEM</t>
  </si>
  <si>
    <t>secondi</t>
  </si>
  <si>
    <t>ordine di grandezza molto rapido</t>
  </si>
  <si>
    <t>Indicatore di flessibilita per integrazione con rinnovabili</t>
  </si>
  <si>
    <t>dato qualitativo-quantitativo indicativo</t>
  </si>
  <si>
    <t>KPI-H2-007</t>
  </si>
  <si>
    <t>Taglia progetti di riferimento</t>
  </si>
  <si>
    <t>da decine a centinaia di MW nei progetti UE avanzati</t>
  </si>
  <si>
    <t>Riferimento REFHYNE 2 e pipeline industriale</t>
  </si>
  <si>
    <t>indicatore di scala</t>
  </si>
  <si>
    <t>KPI-H2-008</t>
  </si>
  <si>
    <t>Riduzione GHG minima richiesta UE per renewable hydrogen</t>
  </si>
  <si>
    <t>soglia minima UE</t>
  </si>
  <si>
    <t>Criterio regolatorio applicabile ai RFNBO</t>
  </si>
  <si>
    <t>metrica regolatoria chiave</t>
  </si>
  <si>
    <t>KPI-WI-007</t>
  </si>
  <si>
    <t>Tempo di ritorno energetico</t>
  </si>
  <si>
    <t>mesi</t>
  </si>
  <si>
    <t>ordine di grandezza 5,9-7,4 mesi</t>
  </si>
  <si>
    <t>Valore indicativo per piattaforme onshore moderne</t>
  </si>
  <si>
    <t>indicatore di sostenibilita energetica</t>
  </si>
  <si>
    <t>KPI-WI-008</t>
  </si>
  <si>
    <t>Riciclabilita della turbina</t>
  </si>
  <si>
    <t>ordine di grandezza 84-87%</t>
  </si>
  <si>
    <t>Valore indicativo dichiarato per turbine onshore moderne</t>
  </si>
  <si>
    <t>resta aperta la sfida specifica sulle pale</t>
  </si>
  <si>
    <t>KPI-CO-001</t>
  </si>
  <si>
    <t>Efficienza netta USC</t>
  </si>
  <si>
    <t>~45% HHV</t>
  </si>
  <si>
    <t>Unit di riferimento HELE</t>
  </si>
  <si>
    <t>KPI-CO-002</t>
  </si>
  <si>
    <t>Efficienza con CCS retrofit</t>
  </si>
  <si>
    <t>penalty significativo</t>
  </si>
  <si>
    <t>Post-combustion capture</t>
  </si>
  <si>
    <t>KPI-CO-003</t>
  </si>
  <si>
    <t>Fattore di capacita</t>
  </si>
  <si>
    <t>50-85%</t>
  </si>
  <si>
    <t>Asset mid-merit / baseload</t>
  </si>
  <si>
    <t>KPI-CO-004</t>
  </si>
  <si>
    <t>Emissioni dirette stack</t>
  </si>
  <si>
    <t>gCO2/kWh</t>
  </si>
  <si>
    <t>&gt;800</t>
  </si>
  <si>
    <t>Senza CCS</t>
  </si>
  <si>
    <t>KPI-CO-005</t>
  </si>
  <si>
    <t>Riduzione emissioni con CCS</t>
  </si>
  <si>
    <t>85-95% target</t>
  </si>
  <si>
    <t>Capture rate nominale</t>
  </si>
  <si>
    <t>KPI-CO-006</t>
  </si>
  <si>
    <t>Tempo di avviamento flessibilizzato</t>
  </si>
  <si>
    <t>min</t>
  </si>
  <si>
    <t>riduzione rispetto a legacy fleet</t>
  </si>
  <si>
    <t>Unit moderne con retrofit controllo</t>
  </si>
  <si>
    <t>KPI-CO-007</t>
  </si>
  <si>
    <t>30-50</t>
  </si>
  <si>
    <t>Con adeguato O&amp;M</t>
  </si>
  <si>
    <t>KPI-CO-008</t>
  </si>
  <si>
    <t>CAPEX nuovo impianto USC</t>
  </si>
  <si>
    <t>Indicativo, varia per sito e standard ambientali</t>
  </si>
  <si>
    <t>KPI-OI-001</t>
  </si>
  <si>
    <t>Efficienza energetica raffinazione integrata</t>
  </si>
  <si>
    <t>varia per schema impianto</t>
  </si>
  <si>
    <t>Indicatore di sito</t>
  </si>
  <si>
    <t>KPI-OI-002</t>
  </si>
  <si>
    <t>Flaring intensity target</t>
  </si>
  <si>
    <t>towards near-zero routine flaring</t>
  </si>
  <si>
    <t>Valore indicativo di best practice</t>
  </si>
  <si>
    <t>KPI-OI-003</t>
  </si>
  <si>
    <t>Emissioni dirette oil-fired power</t>
  </si>
  <si>
    <t>650-900</t>
  </si>
  <si>
    <t>Generazione elettrica a olio</t>
  </si>
  <si>
    <t>KPI-OI-004</t>
  </si>
  <si>
    <t>Heat integration savings</t>
  </si>
  <si>
    <t>5-15%</t>
  </si>
  <si>
    <t>Riduzione consumi di sito</t>
  </si>
  <si>
    <t>KPI-OI-005</t>
  </si>
  <si>
    <t>Tasso recupero zolfo</t>
  </si>
  <si>
    <t>&gt;99%</t>
  </si>
  <si>
    <t>Raffinazione moderna</t>
  </si>
  <si>
    <t>KPI-OI-006</t>
  </si>
  <si>
    <t>Methane / VOC leak reduction</t>
  </si>
  <si>
    <t>programmi LDAR</t>
  </si>
  <si>
    <t>Best practice di monitoraggio</t>
  </si>
  <si>
    <t>KPI-OI-007</t>
  </si>
  <si>
    <t>Disponibilita impianto refinery</t>
  </si>
  <si>
    <t>&gt;90%</t>
  </si>
  <si>
    <t>Siti complessi ben gestiti</t>
  </si>
  <si>
    <t>KPI-OI-008</t>
  </si>
  <si>
    <t>CAPEX upgrading refinery</t>
  </si>
  <si>
    <t>Ordine di grandezza investimenti principali</t>
  </si>
  <si>
    <t>KPI-GA-001</t>
  </si>
  <si>
    <t>Efficienza netta CCGT H-class</t>
  </si>
  <si>
    <t>60-64%</t>
  </si>
  <si>
    <t>Nuovi cicli combinati</t>
  </si>
  <si>
    <t>KPI-GA-002</t>
  </si>
  <si>
    <t>Efficienza netta simple cycle</t>
  </si>
  <si>
    <t>35-42%</t>
  </si>
  <si>
    <t>Peaker / servizi di rete</t>
  </si>
  <si>
    <t>KPI-GA-003</t>
  </si>
  <si>
    <t>Emissioni dirette CCGT</t>
  </si>
  <si>
    <t>330-490</t>
  </si>
  <si>
    <t>KPI-GA-004</t>
  </si>
  <si>
    <t>30-85%</t>
  </si>
  <si>
    <t>Dipende dal ruolo di sistema</t>
  </si>
  <si>
    <t>KPI-GA-005</t>
  </si>
  <si>
    <t>MW/min</t>
  </si>
  <si>
    <t>alto</t>
  </si>
  <si>
    <t>Centrale flessibile</t>
  </si>
  <si>
    <t>KPI-GA-006</t>
  </si>
  <si>
    <t>Capture rate CCS</t>
  </si>
  <si>
    <t>90-95%</t>
  </si>
  <si>
    <t>Configurazioni di riferimento</t>
  </si>
  <si>
    <t>KPI-GA-007</t>
  </si>
  <si>
    <t>Blend H2 compatibile</t>
  </si>
  <si>
    <t>20-50% near-term</t>
  </si>
  <si>
    <t>Turbine hydrogen-ready indicative</t>
  </si>
  <si>
    <t>KPI-GA-008</t>
  </si>
  <si>
    <t>CAPEX CCGT</t>
  </si>
  <si>
    <t>Ordine di grandezza new build</t>
  </si>
  <si>
    <t>KPI-ST-001</t>
  </si>
  <si>
    <t>Efficienza solare-elettrica CSP</t>
  </si>
  <si>
    <t>15-25%</t>
  </si>
  <si>
    <t>Power tower / trough utility-scale</t>
  </si>
  <si>
    <t>KPI-ST-002</t>
  </si>
  <si>
    <t>ore</t>
  </si>
  <si>
    <t>6-17.5</t>
  </si>
  <si>
    <t>TES integrato</t>
  </si>
  <si>
    <t>KPI-ST-003</t>
  </si>
  <si>
    <t>30-50%</t>
  </si>
  <si>
    <t>Siti ad alta DNI con storage</t>
  </si>
  <si>
    <t>KPI-ST-004</t>
  </si>
  <si>
    <t>LCOE CSP utility</t>
  </si>
  <si>
    <t>Indicativo, site-specific</t>
  </si>
  <si>
    <t>KPI-ST-005</t>
  </si>
  <si>
    <t>Temperatura sali fusi</t>
  </si>
  <si>
    <t>gradi C</t>
  </si>
  <si>
    <t>~565 oggi</t>
  </si>
  <si>
    <t>Torri molten salt convenzionali</t>
  </si>
  <si>
    <t>KPI-ST-006</t>
  </si>
  <si>
    <t>Solar process heat supply temperature</t>
  </si>
  <si>
    <t>80-250</t>
  </si>
  <si>
    <t>Applicazioni industriali tipiche</t>
  </si>
  <si>
    <t>KPI-ST-007</t>
  </si>
  <si>
    <t>25-35</t>
  </si>
  <si>
    <t>Con manutenzione regolare</t>
  </si>
  <si>
    <t>KPI-ST-008</t>
  </si>
  <si>
    <t>CAPEX CSP con TES</t>
  </si>
  <si>
    <t>Ordine di grandezza impianti utility</t>
  </si>
  <si>
    <t>KPI-HY-001</t>
  </si>
  <si>
    <t>Efficienza turbina-generatore</t>
  </si>
  <si>
    <t>85-92%</t>
  </si>
  <si>
    <t>Impianti moderni</t>
  </si>
  <si>
    <t>KPI-HY-002</t>
  </si>
  <si>
    <t>30-65%</t>
  </si>
  <si>
    <t>Dipende da idrologia e invaso</t>
  </si>
  <si>
    <t>KPI-HY-003</t>
  </si>
  <si>
    <t>Round-trip efficiency PSH</t>
  </si>
  <si>
    <t>75-82%</t>
  </si>
  <si>
    <t>KPI-HY-004</t>
  </si>
  <si>
    <t>50-100</t>
  </si>
  <si>
    <t>Con refurbishment periodici</t>
  </si>
  <si>
    <t>KPI-HY-005</t>
  </si>
  <si>
    <t>percento/min</t>
  </si>
  <si>
    <t>molto elevato</t>
  </si>
  <si>
    <t>Servizi di rete</t>
  </si>
  <si>
    <t>KPI-HY-006</t>
  </si>
  <si>
    <t>~0</t>
  </si>
  <si>
    <t>Al punto di generazione</t>
  </si>
  <si>
    <t>KPI-HY-007</t>
  </si>
  <si>
    <t>CAPEX greenfield</t>
  </si>
  <si>
    <t>Ordine di grandezza nuovi impianti</t>
  </si>
  <si>
    <t>KPI-HY-008</t>
  </si>
  <si>
    <t>CAPEX repowering</t>
  </si>
  <si>
    <t>Revamping asset esistenti</t>
  </si>
  <si>
    <t>KPI-BM-001</t>
  </si>
  <si>
    <t>Efficienza elettrica biomass power</t>
  </si>
  <si>
    <t>25-40%</t>
  </si>
  <si>
    <t>Impianti power-only o CHP</t>
  </si>
  <si>
    <t>KPI-BM-002</t>
  </si>
  <si>
    <t>Efficienza totale CHP</t>
  </si>
  <si>
    <t>70-90%</t>
  </si>
  <si>
    <t>Cogenerazione</t>
  </si>
  <si>
    <t>KPI-BM-003</t>
  </si>
  <si>
    <t>LCOE biomass power</t>
  </si>
  <si>
    <t>Fortemente site/feedstock-specific</t>
  </si>
  <si>
    <t>KPI-BM-004</t>
  </si>
  <si>
    <t>GHG lifecycle sustainable biomass</t>
  </si>
  <si>
    <t>20-230</t>
  </si>
  <si>
    <t>Ampia variabilita per feedstock</t>
  </si>
  <si>
    <t>KPI-BM-005</t>
  </si>
  <si>
    <t>Methane slip biogas upgrading</t>
  </si>
  <si>
    <t>&lt;1-2% target</t>
  </si>
  <si>
    <t>Best practice upgrading</t>
  </si>
  <si>
    <t>KPI-BM-006</t>
  </si>
  <si>
    <t>Disponibilita impianto AD</t>
  </si>
  <si>
    <t>O&amp;M ben gestito</t>
  </si>
  <si>
    <t>KPI-BM-007</t>
  </si>
  <si>
    <t>BioLNG / biomethane purity</t>
  </si>
  <si>
    <t>&gt;97% CH4</t>
  </si>
  <si>
    <t>Upgrading commerciale</t>
  </si>
  <si>
    <t>KPI-BM-008</t>
  </si>
  <si>
    <t>CAPEX CHP biomass</t>
  </si>
  <si>
    <t>Ordine di grandezza</t>
  </si>
  <si>
    <t>KPI-GEO-001</t>
  </si>
  <si>
    <t>70-95%</t>
  </si>
  <si>
    <t>Impianti geotermici power</t>
  </si>
  <si>
    <t>KPI-GEO-002</t>
  </si>
  <si>
    <t>LCOE hydrothermal</t>
  </si>
  <si>
    <t>Siti convenzionali</t>
  </si>
  <si>
    <t>KPI-GEO-003</t>
  </si>
  <si>
    <t>CAPEX hydrothermal</t>
  </si>
  <si>
    <t>KPI-GEO-004</t>
  </si>
  <si>
    <t>CAPEX EGS</t>
  </si>
  <si>
    <t>Early commercial / pilot</t>
  </si>
  <si>
    <t>KPI-GEO-005</t>
  </si>
  <si>
    <t>6-45</t>
  </si>
  <si>
    <t>Dipende dal reservoir</t>
  </si>
  <si>
    <t>KPI-GEO-006</t>
  </si>
  <si>
    <t>Temperatura risorsa power</t>
  </si>
  <si>
    <t>150-300+</t>
  </si>
  <si>
    <t>Flash / ORC</t>
  </si>
  <si>
    <t>KPI-GEO-007</t>
  </si>
  <si>
    <t>Vita utile reservoir ben gestito</t>
  </si>
  <si>
    <t>Con reiniezione e monitoring</t>
  </si>
  <si>
    <t>KPI-GEO-008</t>
  </si>
  <si>
    <t>Tempo di drilling well</t>
  </si>
  <si>
    <t>giorni</t>
  </si>
  <si>
    <t>forte variabilita</t>
  </si>
  <si>
    <t>Ordine di grandezza pozzi profondi</t>
  </si>
  <si>
    <t>KPI-NU-001</t>
  </si>
  <si>
    <t>80-95%</t>
  </si>
  <si>
    <t>Fleet ben gestite</t>
  </si>
  <si>
    <t>KPI-NU-002</t>
  </si>
  <si>
    <t>LCOE new build Gen III+</t>
  </si>
  <si>
    <t>Forte variabilita per paese e financing</t>
  </si>
  <si>
    <t>KPI-NU-003</t>
  </si>
  <si>
    <t>CAPEX new build</t>
  </si>
  <si>
    <t>Ordine di grandezza Gen III+</t>
  </si>
  <si>
    <t>KPI-NU-004</t>
  </si>
  <si>
    <t>5-15</t>
  </si>
  <si>
    <t>LCA tipica</t>
  </si>
  <si>
    <t>KPI-NU-005</t>
  </si>
  <si>
    <t>Vita utile impianto</t>
  </si>
  <si>
    <t>60-80</t>
  </si>
  <si>
    <t>Con life extension</t>
  </si>
  <si>
    <t>KPI-NU-006</t>
  </si>
  <si>
    <t>Tempo costruzione new build</t>
  </si>
  <si>
    <t>7-12+</t>
  </si>
  <si>
    <t>Design e paese specifico</t>
  </si>
  <si>
    <t>KPI-NU-007</t>
  </si>
  <si>
    <t>Capture heat to electricity efficiency</t>
  </si>
  <si>
    <t>30-37%</t>
  </si>
  <si>
    <t>PWR large reactor</t>
  </si>
  <si>
    <t>KPI-NU-008</t>
  </si>
  <si>
    <t>Potenza SMR target</t>
  </si>
  <si>
    <t>50-470</t>
  </si>
  <si>
    <t>Range indicativo per SMR elettrici</t>
  </si>
  <si>
    <t>09bis_Mercati_Riferimento | Mercati di riferimento</t>
  </si>
  <si>
    <t>Nuovo foglio tematico: valuta l’applicabilità della tecnologia nei Paesi sviluppati, nei Paesi in via di sviluppo o in entrambi i contesti.</t>
  </si>
  <si>
    <t>Applicabilità</t>
  </si>
  <si>
    <t>Razionale di mercato</t>
  </si>
  <si>
    <t>Condizioni abilitanti / vincoli</t>
  </si>
  <si>
    <t>Geografia / cluster Paesi</t>
  </si>
  <si>
    <t>16_Log_Aggiornamenti | Storico operativo</t>
  </si>
  <si>
    <t>Foglio opzionale ma utile per tracciare aggiornamenti, verifiche e correzioni nel tempo.</t>
  </si>
  <si>
    <t>Log_ID</t>
  </si>
  <si>
    <t>Data</t>
  </si>
  <si>
    <t>Foglio</t>
  </si>
  <si>
    <t>Tipo azione</t>
  </si>
  <si>
    <t>Esito verifica</t>
  </si>
  <si>
    <t>LOG-001</t>
  </si>
  <si>
    <t>02_Fonti</t>
  </si>
  <si>
    <t>Inserimento</t>
  </si>
  <si>
    <t>Inserite fonti specifiche e autorevoli per il caso pilota Fotovoltaico.</t>
  </si>
  <si>
    <t>Donato Viggiano | caso pilota FV</t>
  </si>
  <si>
    <t>OK</t>
  </si>
  <si>
    <t>IEA, NREL, Fraunhofer, Commissione UE, GSE, JRC, MASE</t>
  </si>
  <si>
    <t>LOG-002</t>
  </si>
  <si>
    <t>03_Tecnologie / 04_Componenti</t>
  </si>
  <si>
    <t>Aggiornate anagrafiche tecnologia Fotovoltaico e componenti/sottosistemi chiave.</t>
  </si>
  <si>
    <t>inclusi tracker, tandem e agrivoltaico</t>
  </si>
  <si>
    <t>LOG-003</t>
  </si>
  <si>
    <t>05_Descrizione - 15_Prestazioni</t>
  </si>
  <si>
    <t>Popolamento</t>
  </si>
  <si>
    <t>Popolato il caso pilota completo sul Fotovoltaico in tutte le 11 aree analitiche ERMES.</t>
  </si>
  <si>
    <t>record inseriti per coprire l intero framework</t>
  </si>
  <si>
    <t>LOG-004</t>
  </si>
  <si>
    <t>00_Dashboard / 00_Scorecard</t>
  </si>
  <si>
    <t>Verifica</t>
  </si>
  <si>
    <t>Verificato impatto del popolamento sui KPI sintetici e sulla scorecard manageriale.</t>
  </si>
  <si>
    <t>necessario refresh formule in apertura file</t>
  </si>
  <si>
    <t>LOG-005</t>
  </si>
  <si>
    <t>Inserite fonti specifiche e autorevoli per i casi pilota Eolico e Idrogeno verde.</t>
  </si>
  <si>
    <t>Donato Viggiano | pilota Eolico+H2</t>
  </si>
  <si>
    <t>IEA, NREL, DOE, Commissione UE, GSE, MASE, JRC, casi benchmark</t>
  </si>
  <si>
    <t>LOG-006</t>
  </si>
  <si>
    <t>T006; T011</t>
  </si>
  <si>
    <t>Aggiornate anagrafiche tecnologie Eolico e Idrogeno verde e relativi componenti/sottosistemi chiave.</t>
  </si>
  <si>
    <t>inclusi floating offshore, elettrolizzatori e infrastruttura H2</t>
  </si>
  <si>
    <t>LOG-007</t>
  </si>
  <si>
    <t>Popolati i casi pilota completi su Eolico e Idrogeno verde nelle 11 aree analitiche ERMES.</t>
  </si>
  <si>
    <t>popolamento multi-tecnologia</t>
  </si>
  <si>
    <t>LOG-008</t>
  </si>
  <si>
    <t>LOG-010</t>
  </si>
  <si>
    <t>Esteso repertorio fonti con riferimenti ufficiali per solare termico, biomasse, geotermico, idroelettrico, nucleare, gas, olio e carbone.</t>
  </si>
  <si>
    <t>Donato Viggiano | integrazione portafoglio</t>
  </si>
  <si>
    <t>Fonti IEA, NREL, Commissione UE, IAEA, WNA e project sites</t>
  </si>
  <si>
    <t>LOG-011</t>
  </si>
  <si>
    <t>T001-T010</t>
  </si>
  <si>
    <t>Aggiornate anagrafiche tecnologia e componenti per tutte le tecnologie del perimetro ERMES.</t>
  </si>
  <si>
    <t>Completate descrizioni, link e componenti chiave</t>
  </si>
  <si>
    <t>LOG-012</t>
  </si>
  <si>
    <t>Popolato il portafoglio integrato multi-tecnologia con benchmark indicativi manageriali.</t>
  </si>
  <si>
    <t>Dati adatti a osservatorio / screening, non a business case definitivo</t>
  </si>
  <si>
    <t>LOG-013</t>
  </si>
  <si>
    <t>00_Executive / 99_Exec_Helper</t>
  </si>
  <si>
    <t>Aggiunta vista executive finale con ranking dinamico, semafori e scoring sintetico per tutte le tecnologie.</t>
  </si>
  <si>
    <t>Donato Viggiano | executive finale</t>
  </si>
  <si>
    <t>LOG-UPDATE</t>
  </si>
  <si>
    <t>2026-03-30</t>
  </si>
  <si>
    <t>Modifica struttura executive</t>
  </si>
  <si>
    <t>Eliminata Priorita ERMES e aggiunto foglio tematico Mercati di riferimento</t>
  </si>
  <si>
    <t>ChatGPT</t>
  </si>
  <si>
    <t>Area</t>
  </si>
  <si>
    <t>Record</t>
  </si>
  <si>
    <t>Tecnologie</t>
  </si>
  <si>
    <t>Mercato rif.</t>
  </si>
  <si>
    <t>Stato copertura</t>
  </si>
  <si>
    <t>Paesi sviluppati</t>
  </si>
  <si>
    <t>Da avviare</t>
  </si>
  <si>
    <t>Avanzamento</t>
  </si>
  <si>
    <t>Paesi in via di sviluppo</t>
  </si>
  <si>
    <t>Copertura base</t>
  </si>
  <si>
    <t>TRL/TLR</t>
  </si>
  <si>
    <t>Entrambi / globale</t>
  </si>
  <si>
    <t>Copertura intermedia</t>
  </si>
  <si>
    <t>Costi</t>
  </si>
  <si>
    <t>Settori impatto</t>
  </si>
  <si>
    <t>Mercati di riferimento</t>
  </si>
  <si>
    <t>Best practice</t>
  </si>
  <si>
    <t>Policy</t>
  </si>
  <si>
    <t>Barriere/Opp.</t>
  </si>
  <si>
    <t>Attori</t>
  </si>
  <si>
    <t>Prestazioni</t>
  </si>
  <si>
    <t>Costo/compet.</t>
  </si>
  <si>
    <t>Taxonomy UE</t>
  </si>
  <si>
    <t>Market score</t>
  </si>
  <si>
    <t>Monitoring score</t>
  </si>
  <si>
    <t>Strategic score</t>
  </si>
  <si>
    <t>TRL numerico</t>
  </si>
  <si>
    <t>Maturity score</t>
  </si>
  <si>
    <t>Readiness score</t>
  </si>
  <si>
    <t>Competitiveness score</t>
  </si>
  <si>
    <t>Sustainability score</t>
  </si>
  <si>
    <t>Coverage score</t>
  </si>
  <si>
    <t>Executive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</si>
</sst>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d/m/yyyy;@"/>
  </numFmts>
  <fonts count="22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b/>
      <sz val="11"/>
      <color rgb="FF666666"/>
      <name val="Calibri"/>
      <family val="2"/>
    </font>
    <font>
      <b/>
      <sz val="11"/>
      <color rgb="FFC55A11"/>
      <name val="Calibri"/>
      <family val="2"/>
    </font>
    <font>
      <b/>
      <sz val="14"/>
      <color rgb="FFFFFFFF"/>
      <name val="Calibri"/>
      <family val="2"/>
    </font>
    <font>
      <i/>
      <sz val="11"/>
      <color rgb="FFC55A11"/>
      <name val="Calibri"/>
      <family val="2"/>
    </font>
    <font>
      <sz val="12"/>
      <color theme="10"/>
      <name val="Calibri"/>
      <family val="2"/>
      <scheme val="minor"/>
    </font>
    <font>
      <sz val="11"/>
      <color rgb="FF0000FF"/>
      <name val="Calibri"/>
      <family val="2"/>
    </font>
    <font>
      <sz val="10"/>
      <color rgb="FFC55A11"/>
      <name val="Calibri"/>
      <family val="2"/>
    </font>
    <font>
      <b/>
      <sz val="10"/>
      <color rgb="FFFFFFFF"/>
      <name val="Calibri"/>
      <family val="2"/>
    </font>
    <font>
      <b/>
      <sz val="20"/>
      <color rgb="FF1F4E78"/>
      <name val="Calibri"/>
      <family val="2"/>
    </font>
    <font>
      <sz val="9"/>
      <color rgb="FFC55A11"/>
      <name val="Calibri"/>
      <family val="2"/>
    </font>
    <font>
      <sz val="9"/>
      <name val="Calibri"/>
      <family val="2"/>
    </font>
    <font>
      <b/>
      <sz val="9"/>
      <color rgb="FFFFFFFF"/>
      <name val="Calibri"/>
      <family val="2"/>
    </font>
    <font>
      <b/>
      <sz val="10"/>
      <color rgb="FF0F766E"/>
      <name val="Calibri"/>
      <family val="2"/>
    </font>
    <font>
      <b/>
      <sz val="16"/>
      <color rgb="FF1F4E78"/>
      <name val="Calibri"/>
      <family val="2"/>
    </font>
    <font>
      <b/>
      <sz val="11"/>
      <color rgb="FF1F4E78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F6FAFD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3F6FA"/>
      </patternFill>
    </fill>
    <fill>
      <patternFill patternType="solid">
        <fgColor rgb="FFD9F0EF"/>
      </patternFill>
    </fill>
    <fill>
      <patternFill patternType="solid">
        <fgColor rgb="FFD9E2F3"/>
      </patternFill>
    </fill>
  </fills>
  <borders count="15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/>
      <bottom style="hair">
        <color rgb="FFEAEAEA"/>
      </bottom>
      <diagonal/>
    </border>
    <border>
      <left/>
      <right/>
      <top style="thin">
        <color rgb="FF9EADBA"/>
      </top>
      <bottom style="thin">
        <color rgb="FF9EADBA"/>
      </bottom>
      <diagonal/>
    </border>
    <border>
      <left style="thin">
        <color rgb="FF9EADBA"/>
      </left>
      <right style="thin">
        <color rgb="FF9EADBA"/>
      </right>
      <top style="medium">
        <color rgb="FF1F4E78"/>
      </top>
      <bottom style="thin">
        <color rgb="FF9EADBA"/>
      </bottom>
      <diagonal/>
    </border>
    <border>
      <left style="thin">
        <color rgb="FF9EADBA"/>
      </left>
      <right style="thin">
        <color rgb="FF9EADBA"/>
      </right>
      <top/>
      <bottom style="thin">
        <color rgb="FF9EADBA"/>
      </bottom>
      <diagonal/>
    </border>
    <border>
      <left/>
      <right style="thin">
        <color rgb="FF9EADBA"/>
      </right>
      <top/>
      <bottom/>
      <diagonal/>
    </border>
    <border>
      <left style="thin">
        <color rgb="FF9EADBA"/>
      </left>
      <right/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 style="medium">
        <color rgb="FF1F4E78"/>
      </top>
      <bottom style="thin">
        <color rgb="FF9EADBA"/>
      </bottom>
      <diagonal/>
    </border>
    <border>
      <left/>
      <right style="thin">
        <color rgb="FF9EADBA"/>
      </right>
      <top style="medium">
        <color rgb="FF1F4E78"/>
      </top>
      <bottom style="thin">
        <color rgb="FF9EADBA"/>
      </bottom>
      <diagonal/>
    </border>
    <border>
      <left/>
      <right/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9E2F3"/>
      </top>
      <bottom/>
      <diagonal/>
    </border>
  </borders>
  <cellStyleXfs count="3">
    <xf numFmtId="0" fontId="0" fillId="0" borderId="0"/>
    <xf numFmtId="0" fontId="10" fillId="0" borderId="0"/>
    <xf numFmtId="0" fontId="21" fillId="0" borderId="0"/>
  </cellStyleXfs>
  <cellXfs count="72">
    <xf numFmtId="0" fontId="0" fillId="0" borderId="0" xfId="0"/>
    <xf numFmtId="0" fontId="3" fillId="0" borderId="0" xfId="2" applyFont="1" applyAlignment="1">
      <alignment wrapText="1"/>
    </xf>
    <xf numFmtId="0" fontId="4" fillId="0" borderId="0" xfId="2" applyFont="1"/>
    <xf numFmtId="0" fontId="0" fillId="5" borderId="0" xfId="2" applyFont="1" applyFill="1"/>
    <xf numFmtId="0" fontId="5" fillId="0" borderId="0" xfId="2" applyFont="1"/>
    <xf numFmtId="0" fontId="6" fillId="0" borderId="0" xfId="2" applyFont="1"/>
    <xf numFmtId="0" fontId="0" fillId="6" borderId="0" xfId="2" applyFont="1" applyFill="1"/>
    <xf numFmtId="0" fontId="7" fillId="0" borderId="0" xfId="2" applyFont="1"/>
    <xf numFmtId="0" fontId="0" fillId="3" borderId="0" xfId="2" applyFont="1" applyFill="1"/>
    <xf numFmtId="0" fontId="2" fillId="4" borderId="1" xfId="2" applyFont="1" applyFill="1" applyBorder="1" applyAlignment="1">
      <alignment horizontal="center" vertical="center" wrapText="1"/>
    </xf>
    <xf numFmtId="0" fontId="11" fillId="5" borderId="2" xfId="2" applyFont="1" applyFill="1" applyBorder="1" applyAlignment="1">
      <alignment vertical="top"/>
    </xf>
    <xf numFmtId="0" fontId="11" fillId="5" borderId="2" xfId="2" applyFont="1" applyFill="1" applyBorder="1" applyAlignment="1">
      <alignment vertical="top" wrapText="1"/>
    </xf>
    <xf numFmtId="0" fontId="11" fillId="5" borderId="2" xfId="1" applyFont="1" applyFill="1" applyBorder="1" applyAlignment="1">
      <alignment vertical="top" wrapText="1"/>
    </xf>
    <xf numFmtId="0" fontId="13" fillId="4" borderId="3" xfId="2" applyFont="1" applyFill="1" applyBorder="1" applyAlignment="1">
      <alignment horizontal="center" vertical="center" wrapText="1"/>
    </xf>
    <xf numFmtId="0" fontId="20" fillId="2" borderId="0" xfId="2" applyFont="1" applyFill="1" applyAlignment="1">
      <alignment horizontal="left" vertical="center"/>
    </xf>
    <xf numFmtId="0" fontId="3" fillId="10" borderId="12" xfId="2" applyFont="1" applyFill="1" applyBorder="1"/>
    <xf numFmtId="164" fontId="0" fillId="0" borderId="0" xfId="2" applyNumberFormat="1" applyFont="1"/>
    <xf numFmtId="165" fontId="0" fillId="0" borderId="0" xfId="2" applyNumberFormat="1" applyFont="1"/>
    <xf numFmtId="0" fontId="2" fillId="4" borderId="14" xfId="2" applyFont="1" applyFill="1" applyBorder="1" applyAlignment="1">
      <alignment horizontal="center" vertical="center" wrapText="1"/>
    </xf>
    <xf numFmtId="0" fontId="11" fillId="5" borderId="13" xfId="2" applyFont="1" applyFill="1" applyBorder="1" applyAlignment="1">
      <alignment vertical="top"/>
    </xf>
    <xf numFmtId="0" fontId="11" fillId="5" borderId="13" xfId="2" applyFont="1" applyFill="1" applyBorder="1" applyAlignment="1">
      <alignment vertical="top" wrapText="1"/>
    </xf>
    <xf numFmtId="166" fontId="11" fillId="5" borderId="2" xfId="2" applyNumberFormat="1" applyFont="1" applyFill="1" applyBorder="1" applyAlignment="1">
      <alignment vertical="top"/>
    </xf>
    <xf numFmtId="1" fontId="21" fillId="7" borderId="8" xfId="2" applyNumberFormat="1" applyFill="1" applyBorder="1" applyAlignment="1">
      <alignment horizontal="center" vertical="center"/>
    </xf>
    <xf numFmtId="0" fontId="11" fillId="5" borderId="2" xfId="2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/>
    <xf numFmtId="0" fontId="2" fillId="4" borderId="0" xfId="2" applyFont="1" applyFill="1"/>
    <xf numFmtId="0" fontId="0" fillId="0" borderId="0" xfId="2" applyFont="1" applyAlignment="1">
      <alignment wrapText="1"/>
    </xf>
    <xf numFmtId="0" fontId="8" fillId="2" borderId="0" xfId="2" applyFont="1" applyFill="1" applyAlignment="1">
      <alignment horizontal="left" vertical="center"/>
    </xf>
    <xf numFmtId="0" fontId="9" fillId="3" borderId="0" xfId="2" applyFont="1" applyFill="1" applyAlignment="1">
      <alignment vertical="center" wrapText="1"/>
    </xf>
    <xf numFmtId="0" fontId="13" fillId="4" borderId="4" xfId="2" applyFont="1" applyFill="1" applyBorder="1" applyAlignment="1">
      <alignment horizontal="center" vertical="center"/>
    </xf>
    <xf numFmtId="0" fontId="15" fillId="5" borderId="5" xfId="2" applyFont="1" applyFill="1" applyBorder="1" applyAlignment="1">
      <alignment horizontal="center" vertical="center" wrapText="1"/>
    </xf>
    <xf numFmtId="164" fontId="14" fillId="7" borderId="5" xfId="2" applyNumberFormat="1" applyFont="1" applyFill="1" applyBorder="1" applyAlignment="1">
      <alignment horizontal="center" vertical="center"/>
    </xf>
    <xf numFmtId="0" fontId="14" fillId="7" borderId="5" xfId="2" applyFont="1" applyFill="1" applyBorder="1" applyAlignment="1">
      <alignment horizontal="center" vertical="center"/>
    </xf>
    <xf numFmtId="165" fontId="14" fillId="7" borderId="5" xfId="2" applyNumberFormat="1" applyFont="1" applyFill="1" applyBorder="1" applyAlignment="1">
      <alignment horizontal="center" vertical="center"/>
    </xf>
    <xf numFmtId="0" fontId="15" fillId="3" borderId="0" xfId="2" applyFont="1" applyFill="1" applyAlignment="1">
      <alignment horizontal="left" vertical="center"/>
    </xf>
    <xf numFmtId="0" fontId="12" fillId="3" borderId="0" xfId="2" applyFont="1" applyFill="1" applyAlignment="1">
      <alignment vertical="center" wrapText="1"/>
    </xf>
    <xf numFmtId="0" fontId="15" fillId="3" borderId="8" xfId="2" applyFont="1" applyFill="1" applyBorder="1" applyAlignment="1">
      <alignment horizontal="left" vertical="center"/>
    </xf>
    <xf numFmtId="0" fontId="19" fillId="7" borderId="5" xfId="2" applyFont="1" applyFill="1" applyBorder="1" applyAlignment="1">
      <alignment horizontal="center" vertical="center" wrapText="1"/>
    </xf>
    <xf numFmtId="0" fontId="15" fillId="3" borderId="0" xfId="2" applyFont="1" applyFill="1" applyAlignment="1">
      <alignment vertical="center" wrapText="1"/>
    </xf>
    <xf numFmtId="0" fontId="0" fillId="0" borderId="0" xfId="2" applyFont="1" applyAlignment="1">
      <alignment vertical="top" wrapText="1"/>
    </xf>
    <xf numFmtId="0" fontId="2" fillId="4" borderId="0" xfId="2" applyFont="1" applyFill="1" applyAlignment="1">
      <alignment vertical="center"/>
    </xf>
    <xf numFmtId="0" fontId="0" fillId="0" borderId="0" xfId="2" applyFont="1" applyAlignment="1">
      <alignment wrapText="1"/>
    </xf>
    <xf numFmtId="0" fontId="18" fillId="9" borderId="0" xfId="2" applyFont="1" applyFill="1" applyAlignment="1">
      <alignment vertical="center"/>
    </xf>
    <xf numFmtId="0" fontId="0" fillId="3" borderId="0" xfId="2" applyFont="1" applyFill="1" applyAlignment="1">
      <alignment wrapText="1"/>
    </xf>
    <xf numFmtId="0" fontId="0" fillId="0" borderId="0" xfId="0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2" fillId="2" borderId="0" xfId="2" applyFont="1" applyFill="1" applyAlignment="1">
      <alignment horizontal="left" vertical="center"/>
    </xf>
    <xf numFmtId="0" fontId="0" fillId="7" borderId="8" xfId="2" applyFont="1" applyFill="1" applyBorder="1" applyAlignment="1">
      <alignment horizontal="center"/>
    </xf>
    <xf numFmtId="0" fontId="0" fillId="7" borderId="8" xfId="2" applyFont="1" applyFill="1" applyBorder="1" applyAlignment="1">
      <alignment horizontal="left" vertical="center"/>
    </xf>
    <xf numFmtId="165" fontId="0" fillId="7" borderId="8" xfId="2" applyNumberFormat="1" applyFont="1" applyFill="1" applyBorder="1" applyAlignment="1">
      <alignment horizontal="left" vertical="center"/>
    </xf>
    <xf numFmtId="0" fontId="0" fillId="8" borderId="8" xfId="2" applyFont="1" applyFill="1" applyBorder="1" applyAlignment="1">
      <alignment horizontal="left" vertical="center"/>
    </xf>
    <xf numFmtId="0" fontId="0" fillId="8" borderId="8" xfId="2" applyFont="1" applyFill="1" applyBorder="1" applyAlignment="1">
      <alignment horizontal="center"/>
    </xf>
    <xf numFmtId="165" fontId="0" fillId="8" borderId="8" xfId="2" applyNumberFormat="1" applyFont="1" applyFill="1" applyBorder="1" applyAlignment="1">
      <alignment horizontal="left" vertical="center"/>
    </xf>
    <xf numFmtId="0" fontId="0" fillId="7" borderId="8" xfId="2" applyFont="1" applyFill="1" applyBorder="1" applyAlignment="1">
      <alignment vertical="center" wrapText="1"/>
    </xf>
    <xf numFmtId="164" fontId="0" fillId="7" borderId="8" xfId="2" applyNumberFormat="1" applyFont="1" applyFill="1" applyBorder="1" applyAlignment="1">
      <alignment vertical="center" wrapText="1"/>
    </xf>
    <xf numFmtId="0" fontId="0" fillId="8" borderId="8" xfId="2" applyFont="1" applyFill="1" applyBorder="1" applyAlignment="1">
      <alignment vertical="center" wrapText="1"/>
    </xf>
    <xf numFmtId="0" fontId="2" fillId="2" borderId="8" xfId="2" applyFont="1" applyFill="1" applyBorder="1" applyAlignment="1">
      <alignment horizontal="left" vertical="center"/>
    </xf>
    <xf numFmtId="1" fontId="0" fillId="7" borderId="8" xfId="2" applyNumberFormat="1" applyFont="1" applyFill="1" applyBorder="1" applyAlignment="1">
      <alignment horizontal="center" vertical="center"/>
    </xf>
    <xf numFmtId="164" fontId="0" fillId="7" borderId="8" xfId="2" applyNumberFormat="1" applyFont="1" applyFill="1" applyBorder="1" applyAlignment="1">
      <alignment horizontal="center" vertical="center"/>
    </xf>
    <xf numFmtId="165" fontId="0" fillId="7" borderId="8" xfId="2" applyNumberFormat="1" applyFont="1" applyFill="1" applyBorder="1" applyAlignment="1">
      <alignment horizontal="center" vertical="center"/>
    </xf>
    <xf numFmtId="0" fontId="0" fillId="8" borderId="8" xfId="2" applyFont="1" applyFill="1" applyBorder="1" applyAlignment="1">
      <alignment vertical="top" wrapText="1"/>
    </xf>
    <xf numFmtId="0" fontId="0" fillId="5" borderId="8" xfId="2" applyFont="1" applyFill="1" applyBorder="1" applyAlignment="1">
      <alignment vertical="top" wrapText="1"/>
    </xf>
    <xf numFmtId="0" fontId="1" fillId="2" borderId="0" xfId="2" applyFont="1" applyFill="1" applyAlignment="1"/>
    <xf numFmtId="0" fontId="2" fillId="4" borderId="0" xfId="2" applyFont="1" applyFill="1" applyAlignment="1"/>
    <xf numFmtId="0" fontId="17" fillId="4" borderId="8" xfId="2" applyFont="1" applyFill="1" applyBorder="1" applyAlignment="1">
      <alignment horizontal="center"/>
    </xf>
    <xf numFmtId="0" fontId="16" fillId="0" borderId="8" xfId="2" applyFont="1" applyBorder="1"/>
  </cellXfs>
  <cellStyles count="3">
    <cellStyle name="Hyperlink" xfId="1" xr:uid="{00000000-0005-0000-0000-000001000000}"/>
    <cellStyle name="Normal" xfId="2" xr:uid="{00000000-0005-0000-0000-000002000000}"/>
    <cellStyle name="Normale" xfId="0" builtinId="0"/>
  </cellStyles>
  <dxfs count="30"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FF4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4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4CC"/>
        </patternFill>
      </fill>
    </dxf>
    <dxf>
      <fill>
        <patternFill>
          <bgColor rgb="FFFCE4D6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000000"/>
      </font>
      <fill>
        <patternFill patternType="solid">
          <fgColor rgb="FFFFC000"/>
        </patternFill>
      </fill>
    </dxf>
    <dxf>
      <font>
        <b/>
        <color rgb="FFFFFFFF"/>
      </font>
      <fill>
        <patternFill patternType="solid">
          <fgColor rgb="FF63BE7B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000000"/>
      </font>
      <fill>
        <patternFill patternType="solid">
          <fgColor rgb="FFFFC000"/>
        </patternFill>
      </fill>
    </dxf>
    <dxf>
      <font>
        <b/>
        <color rgb="FFFFFFFF"/>
      </font>
      <fill>
        <patternFill patternType="solid">
          <fgColor rgb="FF63BE7B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b/>
        <color rgb="FF000000"/>
      </font>
      <fill>
        <patternFill patternType="solid">
          <fgColor rgb="FFFFC000"/>
        </patternFill>
      </fill>
    </dxf>
    <dxf>
      <font>
        <b/>
        <color rgb="FFFFFFFF"/>
      </font>
      <fill>
        <patternFill patternType="solid">
          <fgColor rgb="FF63BE7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r>
              <a:rPr lang="it-IT"/>
              <a:t>Record per area analitica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'99_Helper_Dashboard'!$B$1</c:f>
              <c:strCache>
                <c:ptCount val="1"/>
                <c:pt idx="0">
                  <c:v>Record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'99_Helper_Dashboard'!$A$2:$A$12</c:f>
              <c:strCache>
                <c:ptCount val="11"/>
                <c:pt idx="0">
                  <c:v>Descrizione</c:v>
                </c:pt>
                <c:pt idx="1">
                  <c:v>Avanzamento</c:v>
                </c:pt>
                <c:pt idx="2">
                  <c:v>TRL/TLR</c:v>
                </c:pt>
                <c:pt idx="3">
                  <c:v>Costi</c:v>
                </c:pt>
                <c:pt idx="4">
                  <c:v>Settori impatto</c:v>
                </c:pt>
                <c:pt idx="5">
                  <c:v>Mercati di riferimento</c:v>
                </c:pt>
                <c:pt idx="6">
                  <c:v>Best practice</c:v>
                </c:pt>
                <c:pt idx="7">
                  <c:v>Policy</c:v>
                </c:pt>
                <c:pt idx="8">
                  <c:v>Barriere/Opp.</c:v>
                </c:pt>
                <c:pt idx="9">
                  <c:v>Attori</c:v>
                </c:pt>
                <c:pt idx="10">
                  <c:v>Prestazioni</c:v>
                </c:pt>
              </c:strCache>
            </c:strRef>
          </c:cat>
          <c:val>
            <c:numRef>
              <c:f>'99_Helper_Dashboard'!$B$2:$B$12</c:f>
              <c:numCache>
                <c:formatCode>General</c:formatCode>
                <c:ptCount val="11"/>
                <c:pt idx="0">
                  <c:v>67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0</c:v>
                </c:pt>
                <c:pt idx="6">
                  <c:v>44</c:v>
                </c:pt>
                <c:pt idx="7">
                  <c:v>55</c:v>
                </c:pt>
                <c:pt idx="8">
                  <c:v>66</c:v>
                </c:pt>
                <c:pt idx="9">
                  <c:v>77</c:v>
                </c:pt>
                <c:pt idx="10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2-4699-8C7F-2BCB65023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it-IT"/>
                  <a:t>N. record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it-IT"/>
                  <a:t>Area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r>
              <a:rPr lang="it-IT"/>
              <a:t>Tecnologie per macro-categoria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'99_Helper_Dashboard'!$E$1</c:f>
              <c:strCache>
                <c:ptCount val="1"/>
                <c:pt idx="0">
                  <c:v>Tecnologie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'99_Helper_Dashboard'!$D$2:$D$6</c:f>
              <c:strCache>
                <c:ptCount val="5"/>
                <c:pt idx="0">
                  <c:v>Fossili</c:v>
                </c:pt>
                <c:pt idx="1">
                  <c:v>Rinnovabili</c:v>
                </c:pt>
                <c:pt idx="2">
                  <c:v>Basse emissioni / transitorie</c:v>
                </c:pt>
                <c:pt idx="3">
                  <c:v>Vettori innovativi</c:v>
                </c:pt>
                <c:pt idx="4">
                  <c:v>Altro</c:v>
                </c:pt>
              </c:strCache>
            </c:strRef>
          </c:cat>
          <c:val>
            <c:numRef>
              <c:f>'99_Helper_Dashboard'!$E$2:$E$6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C-4F02-AA57-5CF238E375C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r>
              <a:rPr lang="it-IT"/>
              <a:t>Tecnologie per priorita ERMES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'99_Helper_Dashboard'!$H$1</c:f>
              <c:strCache>
                <c:ptCount val="1"/>
                <c:pt idx="0">
                  <c:v>Tecnologie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'99_Helper_Dashboard'!$G$2:$G$4</c:f>
              <c:strCache>
                <c:ptCount val="3"/>
                <c:pt idx="0">
                  <c:v>Paesi sviluppati</c:v>
                </c:pt>
                <c:pt idx="1">
                  <c:v>Paesi in via di sviluppo</c:v>
                </c:pt>
                <c:pt idx="2">
                  <c:v>Entrambi / globale</c:v>
                </c:pt>
              </c:strCache>
            </c:strRef>
          </c:cat>
          <c:val>
            <c:numRef>
              <c:f>'99_Helper_Dashboard'!$H$2:$H$4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F-469C-9404-B7B946FF1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it-IT"/>
                  <a:t>Priorita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it-IT"/>
                  <a:t>N. tecnologie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r>
              <a:rPr lang="it-IT"/>
              <a:t>Stato di copertura del database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'99_Helper_Dashboard'!$K$1</c:f>
              <c:strCache>
                <c:ptCount val="1"/>
                <c:pt idx="0">
                  <c:v>Tecnologie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'99_Helper_Dashboard'!$J$2:$J$5</c:f>
              <c:strCache>
                <c:ptCount val="4"/>
                <c:pt idx="0">
                  <c:v>Da avviare</c:v>
                </c:pt>
                <c:pt idx="1">
                  <c:v>Copertura base</c:v>
                </c:pt>
                <c:pt idx="2">
                  <c:v>Copertura intermedia</c:v>
                </c:pt>
                <c:pt idx="3">
                  <c:v>Copertura avanzata</c:v>
                </c:pt>
              </c:strCache>
            </c:strRef>
          </c:cat>
          <c:val>
            <c:numRef>
              <c:f>'99_Helper_Dashboard'!$K$2:$K$5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9-498A-A5EF-7D6E8E565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it-IT"/>
                  <a:t>Stato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it-IT"/>
                  <a:t>N. tecnologie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425450</xdr:colOff>
      <xdr:row>19</xdr:row>
      <xdr:rowOff>0</xdr:rowOff>
    </xdr:from>
    <xdr:to>
      <xdr:col>15</xdr:col>
      <xdr:colOff>704850</xdr:colOff>
      <xdr:row>33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152400</xdr:colOff>
      <xdr:row>12</xdr:row>
      <xdr:rowOff>171450</xdr:rowOff>
    </xdr:from>
    <xdr:to>
      <xdr:col>25</xdr:col>
      <xdr:colOff>25400</xdr:colOff>
      <xdr:row>35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234950</xdr:colOff>
      <xdr:row>15</xdr:row>
      <xdr:rowOff>95250</xdr:rowOff>
    </xdr:from>
    <xdr:to>
      <xdr:col>9</xdr:col>
      <xdr:colOff>95250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469900</xdr:colOff>
      <xdr:row>4</xdr:row>
      <xdr:rowOff>63500</xdr:rowOff>
    </xdr:from>
    <xdr:to>
      <xdr:col>30</xdr:col>
      <xdr:colOff>76200</xdr:colOff>
      <xdr:row>38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opLeftCell="A15" zoomScale="120" zoomScaleNormal="120" workbookViewId="0">
      <selection activeCell="Q24" sqref="Q24"/>
    </sheetView>
  </sheetViews>
  <sheetFormatPr defaultRowHeight="14.45"/>
  <cols>
    <col min="1" max="1" width="7" customWidth="1"/>
    <col min="2" max="2" width="20" customWidth="1"/>
    <col min="3" max="3" width="18" customWidth="1"/>
    <col min="4" max="5" width="14" customWidth="1"/>
    <col min="6" max="6" width="15" customWidth="1"/>
    <col min="7" max="8" width="13" customWidth="1"/>
    <col min="9" max="9" width="11" customWidth="1"/>
    <col min="10" max="10" width="9" customWidth="1"/>
    <col min="11" max="11" width="19" customWidth="1"/>
    <col min="12" max="12" width="24" customWidth="1"/>
    <col min="13" max="16" width="12" customWidth="1"/>
  </cols>
  <sheetData>
    <row r="1" spans="1:16" ht="24" customHeight="1">
      <c r="A1" s="28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38.1" customHeight="1">
      <c r="A2" s="36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4" spans="1:16" ht="20.100000000000001" customHeight="1">
      <c r="A4" s="25"/>
      <c r="B4" s="30" t="s">
        <v>2</v>
      </c>
      <c r="C4" s="46"/>
      <c r="D4" s="47"/>
      <c r="E4" s="25"/>
      <c r="F4" s="30" t="s">
        <v>3</v>
      </c>
      <c r="G4" s="46"/>
      <c r="H4" s="47"/>
      <c r="I4" s="25"/>
      <c r="J4" s="30" t="s">
        <v>4</v>
      </c>
      <c r="K4" s="46"/>
      <c r="L4" s="47"/>
      <c r="M4" s="25"/>
      <c r="N4" s="30" t="s">
        <v>5</v>
      </c>
      <c r="O4" s="46"/>
      <c r="P4" s="47"/>
    </row>
    <row r="5" spans="1:16" ht="24" customHeight="1">
      <c r="A5" s="25"/>
      <c r="B5" s="34">
        <f>IFERROR(AVERAGE('99_Exec_Helper'!$T$5:$T$35),0)</f>
        <v>68.291666666666671</v>
      </c>
      <c r="C5" s="45"/>
      <c r="D5" s="48"/>
      <c r="E5" s="25"/>
      <c r="F5" s="33">
        <f>COUNTIF('99_Exec_Helper'!$V$5:$V$35,"VERDE")</f>
        <v>4</v>
      </c>
      <c r="G5" s="45"/>
      <c r="H5" s="48"/>
      <c r="I5" s="25"/>
      <c r="J5" s="33">
        <f>COUNTIF('99_Exec_Helper'!$V$5:$V$35,"GIALLO")</f>
        <v>5</v>
      </c>
      <c r="K5" s="45"/>
      <c r="L5" s="48"/>
      <c r="M5" s="25"/>
      <c r="N5" s="33">
        <f>COUNTIF('99_Exec_Helper'!$V$5:$V$35,"ROSSO")</f>
        <v>3</v>
      </c>
      <c r="O5" s="45"/>
      <c r="P5" s="48"/>
    </row>
    <row r="6" spans="1:16" ht="24" customHeight="1">
      <c r="A6" s="25"/>
      <c r="B6" s="49"/>
      <c r="C6" s="50"/>
      <c r="D6" s="51"/>
      <c r="E6" s="25"/>
      <c r="F6" s="49"/>
      <c r="G6" s="50"/>
      <c r="H6" s="51"/>
      <c r="I6" s="25"/>
      <c r="J6" s="49"/>
      <c r="K6" s="50"/>
      <c r="L6" s="51"/>
      <c r="M6" s="25"/>
      <c r="N6" s="49"/>
      <c r="O6" s="50"/>
      <c r="P6" s="51"/>
    </row>
    <row r="7" spans="1:16" ht="20.100000000000001" customHeight="1">
      <c r="A7" s="25"/>
      <c r="B7" s="31" t="s">
        <v>6</v>
      </c>
      <c r="C7" s="50"/>
      <c r="D7" s="51"/>
      <c r="E7" s="25"/>
      <c r="F7" s="31" t="s">
        <v>7</v>
      </c>
      <c r="G7" s="50"/>
      <c r="H7" s="51"/>
      <c r="I7" s="25"/>
      <c r="J7" s="31" t="s">
        <v>8</v>
      </c>
      <c r="K7" s="50"/>
      <c r="L7" s="51"/>
      <c r="M7" s="25"/>
      <c r="N7" s="31" t="s">
        <v>9</v>
      </c>
      <c r="O7" s="50"/>
      <c r="P7" s="51"/>
    </row>
    <row r="9" spans="1:16" ht="20.100000000000001" customHeight="1">
      <c r="A9" s="25"/>
      <c r="B9" s="30" t="s">
        <v>10</v>
      </c>
      <c r="C9" s="46"/>
      <c r="D9" s="47"/>
      <c r="E9" s="25"/>
      <c r="F9" s="30" t="s">
        <v>11</v>
      </c>
      <c r="G9" s="46"/>
      <c r="H9" s="47"/>
      <c r="I9" s="25"/>
      <c r="J9" s="30" t="s">
        <v>12</v>
      </c>
      <c r="K9" s="46"/>
      <c r="L9" s="47"/>
      <c r="M9" s="25"/>
      <c r="N9" s="30" t="s">
        <v>13</v>
      </c>
      <c r="O9" s="46"/>
      <c r="P9" s="47"/>
    </row>
    <row r="10" spans="1:16" ht="24" customHeight="1">
      <c r="A10" s="25"/>
      <c r="B10" s="32">
        <f>COUNTIFS('99_Exec_Helper'!$D$5:$D$35,"Entrambi / globale",'99_Exec_Helper'!$V$5:$V$35,"VERDE")+COUNTIFS('99_Exec_Helper'!$D$5:$D$35,"Globale",'99_Exec_Helper'!$V$5:$V$35,"VERDE")+COUNTIFS('99_Exec_Helper'!$D$5:$D$35,"Misto",'99_Exec_Helper'!$V$5:$V$35,"VERDE")</f>
        <v>0</v>
      </c>
      <c r="C10" s="45"/>
      <c r="D10" s="48"/>
      <c r="E10" s="25"/>
      <c r="F10" s="32">
        <f>IFERROR(AVERAGE('99_Exec_Helper'!$J$5:$J$35),0)</f>
        <v>0.84027777777777768</v>
      </c>
      <c r="G10" s="45"/>
      <c r="H10" s="48"/>
      <c r="I10" s="25"/>
      <c r="J10" s="33">
        <f>COUNTIFS('99_Exec_Helper'!$C$5:$C$35,"Fossili",'99_Exec_Helper'!$V$5:$V$35,"ROSSO")</f>
        <v>2</v>
      </c>
      <c r="K10" s="45"/>
      <c r="L10" s="48"/>
      <c r="M10" s="25"/>
      <c r="N10" s="38" t="str">
        <f>INDEX('99_Exec_Helper'!$B$5:$B$35,MATCH(1,'99_Exec_Helper'!$U$5:$U$35,0))&amp;CHAR(10)&amp;TEXT(INDEX('99_Exec_Helper'!$T$5:$T$35,MATCH(1,'99_Exec_Helper'!$U$5:$U$35,0)),"0.0")</f>
        <v>Fotovoltaico
90</v>
      </c>
      <c r="O10" s="45"/>
      <c r="P10" s="48"/>
    </row>
    <row r="11" spans="1:16" ht="24" customHeight="1">
      <c r="A11" s="25"/>
      <c r="B11" s="49"/>
      <c r="C11" s="50"/>
      <c r="D11" s="51"/>
      <c r="E11" s="25"/>
      <c r="F11" s="49"/>
      <c r="G11" s="50"/>
      <c r="H11" s="51"/>
      <c r="I11" s="25"/>
      <c r="J11" s="49"/>
      <c r="K11" s="50"/>
      <c r="L11" s="51"/>
      <c r="M11" s="25"/>
      <c r="N11" s="49"/>
      <c r="O11" s="50"/>
      <c r="P11" s="51"/>
    </row>
    <row r="12" spans="1:16" ht="20.100000000000001" customHeight="1">
      <c r="A12" s="25"/>
      <c r="B12" s="31" t="s">
        <v>14</v>
      </c>
      <c r="C12" s="50"/>
      <c r="D12" s="51"/>
      <c r="E12" s="25"/>
      <c r="F12" s="31" t="s">
        <v>15</v>
      </c>
      <c r="G12" s="50"/>
      <c r="H12" s="51"/>
      <c r="I12" s="25"/>
      <c r="J12" s="31" t="s">
        <v>16</v>
      </c>
      <c r="K12" s="50"/>
      <c r="L12" s="51"/>
      <c r="M12" s="25"/>
      <c r="N12" s="31" t="s">
        <v>17</v>
      </c>
      <c r="O12" s="50"/>
      <c r="P12" s="51"/>
    </row>
    <row r="14" spans="1:16" ht="20.100000000000001" customHeight="1">
      <c r="A14" s="52" t="s">
        <v>18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</row>
    <row r="15" spans="1:16" ht="30" customHeight="1">
      <c r="A15" s="35" t="s">
        <v>19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</row>
    <row r="16" spans="1:16" ht="18" customHeight="1">
      <c r="A16" s="14" t="s">
        <v>20</v>
      </c>
      <c r="B16" s="25"/>
      <c r="C16" s="25"/>
      <c r="D16" s="25"/>
      <c r="E16" s="25"/>
      <c r="F16" s="25"/>
      <c r="G16" s="25"/>
      <c r="H16" s="25"/>
      <c r="I16" s="25"/>
      <c r="J16" s="14" t="s">
        <v>21</v>
      </c>
      <c r="K16" s="25"/>
      <c r="L16" s="25"/>
      <c r="M16" s="25"/>
      <c r="N16" s="25"/>
      <c r="O16" s="25"/>
      <c r="P16" s="25"/>
    </row>
    <row r="17" spans="1:16" ht="21.95" customHeight="1">
      <c r="A17" s="13" t="s">
        <v>22</v>
      </c>
      <c r="B17" s="13" t="s">
        <v>23</v>
      </c>
      <c r="C17" s="13" t="s">
        <v>24</v>
      </c>
      <c r="D17" s="13" t="s">
        <v>25</v>
      </c>
      <c r="E17" s="13" t="s">
        <v>26</v>
      </c>
      <c r="F17" s="25"/>
      <c r="G17" s="25"/>
      <c r="H17" s="25"/>
      <c r="I17" s="25"/>
      <c r="J17" s="13" t="s">
        <v>22</v>
      </c>
      <c r="K17" s="13" t="s">
        <v>23</v>
      </c>
      <c r="L17" s="13" t="s">
        <v>24</v>
      </c>
      <c r="M17" s="13" t="s">
        <v>25</v>
      </c>
      <c r="N17" s="13" t="s">
        <v>26</v>
      </c>
      <c r="O17" s="25"/>
      <c r="P17" s="25"/>
    </row>
    <row r="18" spans="1:16" ht="21.95" customHeight="1">
      <c r="A18" s="53">
        <v>1</v>
      </c>
      <c r="B18" s="54" t="str">
        <f>IFERROR(INDEX('99_Exec_Helper'!$B$5:$B$35,MATCH($A18,'99_Exec_Helper'!$U$5:$U$35,0)),"")</f>
        <v>Fotovoltaico</v>
      </c>
      <c r="C18" s="55">
        <f>IFERROR(INDEX('99_Exec_Helper'!$T$5:$T$35,MATCH($A18,'99_Exec_Helper'!$U$5:$U$35,0)),"")</f>
        <v>90.1</v>
      </c>
      <c r="D18" s="54" t="str">
        <f>IFERROR(INDEX('99_Exec_Helper'!$V$5:$V$35,MATCH($A18,'99_Exec_Helper'!$U$5:$U$35,0)),"")</f>
        <v>VERDE</v>
      </c>
      <c r="E18" s="56" t="str">
        <f>IFERROR(INDEX('99_Exec_Helper'!$Z$5:$Z$35,MATCH($A18,'99_Exec_Helper'!$U$5:$U$35,0)),"")</f>
        <v>Leader</v>
      </c>
      <c r="F18" s="25"/>
      <c r="G18" s="25"/>
      <c r="H18" s="25"/>
      <c r="I18" s="25"/>
      <c r="J18" s="57">
        <f>MAX('99_Exec_Helper'!$U$5:$U$35)-3+ROW()-17</f>
        <v>10</v>
      </c>
      <c r="K18" s="56" t="str">
        <f>IFERROR(INDEX('99_Exec_Helper'!$B$5:$B$35,MATCH($J18,'99_Exec_Helper'!$U$5:$U$35,0)),"")</f>
        <v>Carbone</v>
      </c>
      <c r="L18" s="58">
        <f>IFERROR(INDEX('99_Exec_Helper'!$T$5:$T$35,MATCH($J18,'99_Exec_Helper'!$U$5:$U$35,0)),"")</f>
        <v>52.8</v>
      </c>
      <c r="M18" s="56" t="str">
        <f>IFERROR(INDEX('99_Exec_Helper'!$V$5:$V$35,MATCH($J18,'99_Exec_Helper'!$U$5:$U$35,0)),"")</f>
        <v>ROSSO</v>
      </c>
      <c r="N18" s="56" t="str">
        <f>IFERROR(INDEX('99_Exec_Helper'!$Z$5:$Z$35,MATCH($J18,'99_Exec_Helper'!$U$5:$U$35,0)),"")</f>
        <v>Presidio</v>
      </c>
      <c r="O18" s="25"/>
      <c r="P18" s="25"/>
    </row>
    <row r="19" spans="1:16" ht="21.95" customHeight="1">
      <c r="A19" s="53">
        <v>2</v>
      </c>
      <c r="B19" s="54" t="str">
        <f>IFERROR(INDEX('99_Exec_Helper'!$B$5:$B$35,MATCH($A19,'99_Exec_Helper'!$U$5:$U$35,0)),"")</f>
        <v>Eolico</v>
      </c>
      <c r="C19" s="55">
        <f>IFERROR(INDEX('99_Exec_Helper'!$T$5:$T$35,MATCH($A19,'99_Exec_Helper'!$U$5:$U$35,0)),"")</f>
        <v>88.1</v>
      </c>
      <c r="D19" s="54" t="str">
        <f>IFERROR(INDEX('99_Exec_Helper'!$V$5:$V$35,MATCH($A19,'99_Exec_Helper'!$U$5:$U$35,0)),"")</f>
        <v>VERDE</v>
      </c>
      <c r="E19" s="56" t="str">
        <f>IFERROR(INDEX('99_Exec_Helper'!$Z$5:$Z$35,MATCH($A19,'99_Exec_Helper'!$U$5:$U$35,0)),"")</f>
        <v>Leader</v>
      </c>
      <c r="F19" s="25"/>
      <c r="G19" s="25"/>
      <c r="H19" s="25"/>
      <c r="I19" s="25"/>
      <c r="J19" s="57">
        <f>MAX('99_Exec_Helper'!$U$5:$U$35)-3+ROW()-17</f>
        <v>11</v>
      </c>
      <c r="K19" s="56" t="str">
        <f>IFERROR(INDEX('99_Exec_Helper'!$B$5:$B$35,MATCH($J19,'99_Exec_Helper'!$U$5:$U$35,0)),"")</f>
        <v>Olio</v>
      </c>
      <c r="L19" s="58">
        <f>IFERROR(INDEX('99_Exec_Helper'!$T$5:$T$35,MATCH($J19,'99_Exec_Helper'!$U$5:$U$35,0)),"")</f>
        <v>46.1</v>
      </c>
      <c r="M19" s="56" t="str">
        <f>IFERROR(INDEX('99_Exec_Helper'!$V$5:$V$35,MATCH($J19,'99_Exec_Helper'!$U$5:$U$35,0)),"")</f>
        <v>ROSSO</v>
      </c>
      <c r="N19" s="56" t="str">
        <f>IFERROR(INDEX('99_Exec_Helper'!$Z$5:$Z$35,MATCH($J19,'99_Exec_Helper'!$U$5:$U$35,0)),"")</f>
        <v>Presidio</v>
      </c>
      <c r="O19" s="25"/>
      <c r="P19" s="25"/>
    </row>
    <row r="20" spans="1:16" ht="21.95" customHeight="1">
      <c r="A20" s="53">
        <v>3</v>
      </c>
      <c r="B20" s="54" t="str">
        <f>IFERROR(INDEX('99_Exec_Helper'!$B$5:$B$35,MATCH($A20,'99_Exec_Helper'!$U$5:$U$35,0)),"")</f>
        <v>Idroelettrico</v>
      </c>
      <c r="C20" s="55">
        <f>IFERROR(INDEX('99_Exec_Helper'!$T$5:$T$35,MATCH($A20,'99_Exec_Helper'!$U$5:$U$35,0)),"")</f>
        <v>83.2</v>
      </c>
      <c r="D20" s="54" t="str">
        <f>IFERROR(INDEX('99_Exec_Helper'!$V$5:$V$35,MATCH($A20,'99_Exec_Helper'!$U$5:$U$35,0)),"")</f>
        <v>VERDE</v>
      </c>
      <c r="E20" s="56" t="str">
        <f>IFERROR(INDEX('99_Exec_Helper'!$Z$5:$Z$35,MATCH($A20,'99_Exec_Helper'!$U$5:$U$35,0)),"")</f>
        <v>Core</v>
      </c>
      <c r="F20" s="25"/>
      <c r="G20" s="25"/>
      <c r="H20" s="25"/>
      <c r="I20" s="25"/>
      <c r="J20" s="57">
        <f>MAX('99_Exec_Helper'!$U$5:$U$35)-3+ROW()-17</f>
        <v>12</v>
      </c>
      <c r="K20" s="56">
        <f>IFERROR(INDEX('99_Exec_Helper'!$B$5:$B$35,MATCH($J20,'99_Exec_Helper'!$U$5:$U$35,0)),"")</f>
        <v>0</v>
      </c>
      <c r="L20" s="58">
        <f>IFERROR(INDEX('99_Exec_Helper'!$T$5:$T$35,MATCH($J20,'99_Exec_Helper'!$U$5:$U$35,0)),"")</f>
        <v>35.5</v>
      </c>
      <c r="M20" s="56" t="str">
        <f>IFERROR(INDEX('99_Exec_Helper'!$V$5:$V$35,MATCH($J20,'99_Exec_Helper'!$U$5:$U$35,0)),"")</f>
        <v>ROSSO</v>
      </c>
      <c r="N20" s="56" t="str">
        <f>IFERROR(INDEX('99_Exec_Helper'!$Z$5:$Z$35,MATCH($J20,'99_Exec_Helper'!$U$5:$U$35,0)),"")</f>
        <v>Presidio</v>
      </c>
      <c r="O20" s="25"/>
      <c r="P20" s="25"/>
    </row>
    <row r="21" spans="1:16" ht="21.95" customHeight="1">
      <c r="A21" s="59"/>
      <c r="B21" s="59"/>
      <c r="C21" s="60"/>
      <c r="D21" s="59"/>
      <c r="E21" s="61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 ht="21.95" customHeight="1">
      <c r="A22" s="59"/>
      <c r="B22" s="59"/>
      <c r="C22" s="60"/>
      <c r="D22" s="59"/>
      <c r="E22" s="61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21.95" customHeight="1">
      <c r="A23" s="62" t="s">
        <v>27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</row>
    <row r="24" spans="1:16" ht="21.95" customHeight="1">
      <c r="A24" s="37" t="s">
        <v>28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</row>
    <row r="25" spans="1:16" ht="21.95" customHeight="1">
      <c r="A25" s="59"/>
      <c r="B25" s="59"/>
      <c r="C25" s="60"/>
      <c r="D25" s="59"/>
      <c r="E25" s="61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ht="21.95" customHeight="1">
      <c r="A26" s="13" t="s">
        <v>22</v>
      </c>
      <c r="B26" s="13" t="s">
        <v>23</v>
      </c>
      <c r="C26" s="13" t="s">
        <v>29</v>
      </c>
      <c r="D26" s="13" t="s">
        <v>30</v>
      </c>
      <c r="E26" s="13" t="s">
        <v>31</v>
      </c>
      <c r="F26" s="13" t="s">
        <v>26</v>
      </c>
      <c r="G26" s="13" t="s">
        <v>32</v>
      </c>
      <c r="H26" s="13" t="s">
        <v>33</v>
      </c>
      <c r="I26" s="13" t="s">
        <v>34</v>
      </c>
      <c r="J26" s="13" t="s">
        <v>35</v>
      </c>
      <c r="K26" s="13" t="s">
        <v>36</v>
      </c>
      <c r="L26" s="13" t="s">
        <v>37</v>
      </c>
      <c r="M26" s="25"/>
      <c r="N26" s="25"/>
      <c r="O26" s="25"/>
      <c r="P26" s="25"/>
    </row>
    <row r="27" spans="1:16" ht="21.95" customHeight="1">
      <c r="A27" s="53">
        <v>1</v>
      </c>
      <c r="B27" s="54" t="str">
        <f>IFERROR(INDEX('99_Exec_Helper'!$B$5:$B$35,MATCH($A27,'99_Exec_Helper'!$U$5:$U$35,0)),"")</f>
        <v>Fotovoltaico</v>
      </c>
      <c r="C27" s="54" t="str">
        <f>IFERROR(INDEX('99_Exec_Helper'!$C$5:$C$35,MATCH($A27,'99_Exec_Helper'!$U$5:$U$35,0)),"")</f>
        <v>Rinnovabili</v>
      </c>
      <c r="D27" s="54">
        <f>IFERROR(INDEX('99_Exec_Helper'!$D$5:$D$35,MATCH($A27,'99_Exec_Helper'!$U$5:$U$35,0)),"")</f>
        <v>0</v>
      </c>
      <c r="E27" s="55">
        <f>IFERROR(INDEX('99_Exec_Helper'!$T$5:$T$35,MATCH($A27,'99_Exec_Helper'!$U$5:$U$35,0)),"")</f>
        <v>90.1</v>
      </c>
      <c r="F27" s="54" t="str">
        <f>IFERROR(INDEX('99_Exec_Helper'!$Z$5:$Z$35,MATCH($A27,'99_Exec_Helper'!$U$5:$U$35,0)),"")</f>
        <v>Leader</v>
      </c>
      <c r="G27" s="54" t="str">
        <f>IFERROR(INDEX('99_Exec_Helper'!$V$5:$V$35,MATCH($A27,'99_Exec_Helper'!$U$5:$U$35,0)),"")</f>
        <v>VERDE</v>
      </c>
      <c r="H27" s="54" t="str">
        <f>IFERROR(INDEX('99_Exec_Helper'!$X$5:$X$35,MATCH($A27,'99_Exec_Helper'!$U$5:$U$35,0)),"")</f>
        <v>VERDE</v>
      </c>
      <c r="I27" s="54" t="str">
        <f>IFERROR(INDEX('99_Exec_Helper'!$W$5:$W$35,MATCH($A27,'99_Exec_Helper'!$U$5:$U$35,0)),"")</f>
        <v>VERDE</v>
      </c>
      <c r="J27" s="54" t="str">
        <f>IFERROR(INDEX('99_Exec_Helper'!$F$5:$F$35,MATCH($A27,'99_Exec_Helper'!$U$5:$U$35,0)),"")</f>
        <v>9</v>
      </c>
      <c r="K27" s="54" t="str">
        <f>IFERROR(INDEX('99_Exec_Helper'!$H$5:$H$35,MATCH($A27,'99_Exec_Helper'!$U$5:$U$35,0)),"")</f>
        <v>Molto competitivo</v>
      </c>
      <c r="L27" s="54" t="str">
        <f>IFERROR(INDEX('99_Exec_Helper'!$Y$5:$Y$35,MATCH($A27,'99_Exec_Helper'!$U$5:$U$35,0)),"")</f>
        <v>ACCELERARE</v>
      </c>
      <c r="M27" s="25"/>
      <c r="N27" s="25"/>
      <c r="O27" s="25"/>
      <c r="P27" s="25"/>
    </row>
    <row r="28" spans="1:16" ht="21.95" customHeight="1">
      <c r="A28" s="53">
        <v>2</v>
      </c>
      <c r="B28" s="54" t="str">
        <f>IFERROR(INDEX('99_Exec_Helper'!$B$5:$B$35,MATCH($A28,'99_Exec_Helper'!$U$5:$U$35,0)),"")</f>
        <v>Eolico</v>
      </c>
      <c r="C28" s="54" t="str">
        <f>IFERROR(INDEX('99_Exec_Helper'!$C$5:$C$35,MATCH($A28,'99_Exec_Helper'!$U$5:$U$35,0)),"")</f>
        <v>Rinnovabili</v>
      </c>
      <c r="D28" s="54">
        <f>IFERROR(INDEX('99_Exec_Helper'!$D$5:$D$35,MATCH($A28,'99_Exec_Helper'!$U$5:$U$35,0)),"")</f>
        <v>0</v>
      </c>
      <c r="E28" s="55">
        <f>IFERROR(INDEX('99_Exec_Helper'!$T$5:$T$35,MATCH($A28,'99_Exec_Helper'!$U$5:$U$35,0)),"")</f>
        <v>88.1</v>
      </c>
      <c r="F28" s="54" t="str">
        <f>IFERROR(INDEX('99_Exec_Helper'!$Z$5:$Z$35,MATCH($A28,'99_Exec_Helper'!$U$5:$U$35,0)),"")</f>
        <v>Leader</v>
      </c>
      <c r="G28" s="54" t="str">
        <f>IFERROR(INDEX('99_Exec_Helper'!$V$5:$V$35,MATCH($A28,'99_Exec_Helper'!$U$5:$U$35,0)),"")</f>
        <v>VERDE</v>
      </c>
      <c r="H28" s="54" t="str">
        <f>IFERROR(INDEX('99_Exec_Helper'!$X$5:$X$35,MATCH($A28,'99_Exec_Helper'!$U$5:$U$35,0)),"")</f>
        <v>VERDE</v>
      </c>
      <c r="I28" s="54" t="str">
        <f>IFERROR(INDEX('99_Exec_Helper'!$W$5:$W$35,MATCH($A28,'99_Exec_Helper'!$U$5:$U$35,0)),"")</f>
        <v>VERDE</v>
      </c>
      <c r="J28" s="54" t="str">
        <f>IFERROR(INDEX('99_Exec_Helper'!$F$5:$F$35,MATCH($A28,'99_Exec_Helper'!$U$5:$U$35,0)),"")</f>
        <v>9</v>
      </c>
      <c r="K28" s="54" t="str">
        <f>IFERROR(INDEX('99_Exec_Helper'!$H$5:$H$35,MATCH($A28,'99_Exec_Helper'!$U$5:$U$35,0)),"")</f>
        <v>Competitivo</v>
      </c>
      <c r="L28" s="54" t="str">
        <f>IFERROR(INDEX('99_Exec_Helper'!$Y$5:$Y$35,MATCH($A28,'99_Exec_Helper'!$U$5:$U$35,0)),"")</f>
        <v>ACCELERARE</v>
      </c>
      <c r="M28" s="25"/>
      <c r="N28" s="25"/>
      <c r="O28" s="25"/>
      <c r="P28" s="25"/>
    </row>
    <row r="29" spans="1:16" ht="15.6" customHeight="1">
      <c r="A29" s="53">
        <v>3</v>
      </c>
      <c r="B29" s="54" t="str">
        <f>IFERROR(INDEX('99_Exec_Helper'!$B$5:$B$35,MATCH($A29,'99_Exec_Helper'!$U$5:$U$35,0)),"")</f>
        <v>Idroelettrico</v>
      </c>
      <c r="C29" s="54" t="str">
        <f>IFERROR(INDEX('99_Exec_Helper'!$C$5:$C$35,MATCH($A29,'99_Exec_Helper'!$U$5:$U$35,0)),"")</f>
        <v>Rinnovabili</v>
      </c>
      <c r="D29" s="54">
        <f>IFERROR(INDEX('99_Exec_Helper'!$D$5:$D$35,MATCH($A29,'99_Exec_Helper'!$U$5:$U$35,0)),"")</f>
        <v>0</v>
      </c>
      <c r="E29" s="55">
        <f>IFERROR(INDEX('99_Exec_Helper'!$T$5:$T$35,MATCH($A29,'99_Exec_Helper'!$U$5:$U$35,0)),"")</f>
        <v>83.2</v>
      </c>
      <c r="F29" s="54" t="str">
        <f>IFERROR(INDEX('99_Exec_Helper'!$Z$5:$Z$35,MATCH($A29,'99_Exec_Helper'!$U$5:$U$35,0)),"")</f>
        <v>Core</v>
      </c>
      <c r="G29" s="54" t="str">
        <f>IFERROR(INDEX('99_Exec_Helper'!$V$5:$V$35,MATCH($A29,'99_Exec_Helper'!$U$5:$U$35,0)),"")</f>
        <v>VERDE</v>
      </c>
      <c r="H29" s="54" t="str">
        <f>IFERROR(INDEX('99_Exec_Helper'!$X$5:$X$35,MATCH($A29,'99_Exec_Helper'!$U$5:$U$35,0)),"")</f>
        <v>VERDE</v>
      </c>
      <c r="I29" s="54" t="str">
        <f>IFERROR(INDEX('99_Exec_Helper'!$W$5:$W$35,MATCH($A29,'99_Exec_Helper'!$U$5:$U$35,0)),"")</f>
        <v>VERDE</v>
      </c>
      <c r="J29" s="54" t="str">
        <f>IFERROR(INDEX('99_Exec_Helper'!$F$5:$F$35,MATCH($A29,'99_Exec_Helper'!$U$5:$U$35,0)),"")</f>
        <v>9</v>
      </c>
      <c r="K29" s="54" t="str">
        <f>IFERROR(INDEX('99_Exec_Helper'!$H$5:$H$35,MATCH($A29,'99_Exec_Helper'!$U$5:$U$35,0)),"")</f>
        <v>40-120 EUR/MWh</v>
      </c>
      <c r="L29" s="54" t="str">
        <f>IFERROR(INDEX('99_Exec_Helper'!$Y$5:$Y$35,MATCH($A29,'99_Exec_Helper'!$U$5:$U$35,0)),"")</f>
        <v>ACCELERARE</v>
      </c>
      <c r="M29" s="25"/>
      <c r="N29" s="25"/>
      <c r="O29" s="25"/>
      <c r="P29" s="25"/>
    </row>
    <row r="30" spans="1:16" ht="21.95" customHeight="1">
      <c r="A30" s="53">
        <v>4</v>
      </c>
      <c r="B30" s="54" t="str">
        <f>IFERROR(INDEX('99_Exec_Helper'!$B$5:$B$35,MATCH($A30,'99_Exec_Helper'!$U$5:$U$35,0)),"")</f>
        <v>Geotermico</v>
      </c>
      <c r="C30" s="54" t="str">
        <f>IFERROR(INDEX('99_Exec_Helper'!$C$5:$C$35,MATCH($A30,'99_Exec_Helper'!$U$5:$U$35,0)),"")</f>
        <v>Rinnovabili</v>
      </c>
      <c r="D30" s="54">
        <f>IFERROR(INDEX('99_Exec_Helper'!$D$5:$D$35,MATCH($A30,'99_Exec_Helper'!$U$5:$U$35,0)),"")</f>
        <v>0</v>
      </c>
      <c r="E30" s="55">
        <f>IFERROR(INDEX('99_Exec_Helper'!$T$5:$T$35,MATCH($A30,'99_Exec_Helper'!$U$5:$U$35,0)),"")</f>
        <v>80.5</v>
      </c>
      <c r="F30" s="54" t="str">
        <f>IFERROR(INDEX('99_Exec_Helper'!$Z$5:$Z$35,MATCH($A30,'99_Exec_Helper'!$U$5:$U$35,0)),"")</f>
        <v>Core</v>
      </c>
      <c r="G30" s="54" t="str">
        <f>IFERROR(INDEX('99_Exec_Helper'!$V$5:$V$35,MATCH($A30,'99_Exec_Helper'!$U$5:$U$35,0)),"")</f>
        <v>VERDE</v>
      </c>
      <c r="H30" s="54" t="str">
        <f>IFERROR(INDEX('99_Exec_Helper'!$X$5:$X$35,MATCH($A30,'99_Exec_Helper'!$U$5:$U$35,0)),"")</f>
        <v>VERDE</v>
      </c>
      <c r="I30" s="54" t="str">
        <f>IFERROR(INDEX('99_Exec_Helper'!$W$5:$W$35,MATCH($A30,'99_Exec_Helper'!$U$5:$U$35,0)),"")</f>
        <v>VERDE</v>
      </c>
      <c r="J30" s="54" t="str">
        <f>IFERROR(INDEX('99_Exec_Helper'!$F$5:$F$35,MATCH($A30,'99_Exec_Helper'!$U$5:$U$35,0)),"")</f>
        <v>8</v>
      </c>
      <c r="K30" s="54" t="str">
        <f>IFERROR(INDEX('99_Exec_Helper'!$H$5:$H$35,MATCH($A30,'99_Exec_Helper'!$U$5:$U$35,0)),"")</f>
        <v>45-120 EUR/MWh</v>
      </c>
      <c r="L30" s="54" t="str">
        <f>IFERROR(INDEX('99_Exec_Helper'!$Y$5:$Y$35,MATCH($A30,'99_Exec_Helper'!$U$5:$U$35,0)),"")</f>
        <v>ACCELERARE</v>
      </c>
      <c r="M30" s="25"/>
      <c r="N30" s="25"/>
      <c r="O30" s="25"/>
      <c r="P30" s="25"/>
    </row>
    <row r="31" spans="1:16" ht="21.95" customHeight="1">
      <c r="A31" s="53">
        <v>5</v>
      </c>
      <c r="B31" s="54" t="str">
        <f>IFERROR(INDEX('99_Exec_Helper'!$B$5:$B$35,MATCH($A31,'99_Exec_Helper'!$U$5:$U$35,0)),"")</f>
        <v>Idrogeno verde</v>
      </c>
      <c r="C31" s="54" t="str">
        <f>IFERROR(INDEX('99_Exec_Helper'!$C$5:$C$35,MATCH($A31,'99_Exec_Helper'!$U$5:$U$35,0)),"")</f>
        <v>Vettori innovativi</v>
      </c>
      <c r="D31" s="54">
        <f>IFERROR(INDEX('99_Exec_Helper'!$D$5:$D$35,MATCH($A31,'99_Exec_Helper'!$U$5:$U$35,0)),"")</f>
        <v>0</v>
      </c>
      <c r="E31" s="55">
        <f>IFERROR(INDEX('99_Exec_Helper'!$T$5:$T$35,MATCH($A31,'99_Exec_Helper'!$U$5:$U$35,0)),"")</f>
        <v>77.3</v>
      </c>
      <c r="F31" s="54" t="str">
        <f>IFERROR(INDEX('99_Exec_Helper'!$Z$5:$Z$35,MATCH($A31,'99_Exec_Helper'!$U$5:$U$35,0)),"")</f>
        <v>Core</v>
      </c>
      <c r="G31" s="54" t="str">
        <f>IFERROR(INDEX('99_Exec_Helper'!$V$5:$V$35,MATCH($A31,'99_Exec_Helper'!$U$5:$U$35,0)),"")</f>
        <v>GIALLO</v>
      </c>
      <c r="H31" s="54" t="str">
        <f>IFERROR(INDEX('99_Exec_Helper'!$X$5:$X$35,MATCH($A31,'99_Exec_Helper'!$U$5:$U$35,0)),"")</f>
        <v>GIALLO</v>
      </c>
      <c r="I31" s="54" t="str">
        <f>IFERROR(INDEX('99_Exec_Helper'!$W$5:$W$35,MATCH($A31,'99_Exec_Helper'!$U$5:$U$35,0)),"")</f>
        <v>VERDE</v>
      </c>
      <c r="J31" s="54" t="str">
        <f>IFERROR(INDEX('99_Exec_Helper'!$F$5:$F$35,MATCH($A31,'99_Exec_Helper'!$U$5:$U$35,0)),"")</f>
        <v>7-8</v>
      </c>
      <c r="K31" s="54" t="str">
        <f>IFERROR(INDEX('99_Exec_Helper'!$H$5:$H$35,MATCH($A31,'99_Exec_Helper'!$U$5:$U$35,0)),"")</f>
        <v>Fuel cost-driven</v>
      </c>
      <c r="L31" s="54" t="str">
        <f>IFERROR(INDEX('99_Exec_Helper'!$Y$5:$Y$35,MATCH($A31,'99_Exec_Helper'!$U$5:$U$35,0)),"")</f>
        <v>SELEZIONARE / PILOTARE</v>
      </c>
      <c r="M31" s="25"/>
      <c r="N31" s="25"/>
      <c r="O31" s="25"/>
      <c r="P31" s="25"/>
    </row>
    <row r="32" spans="1:16" ht="21.95" customHeight="1">
      <c r="A32" s="53">
        <v>6</v>
      </c>
      <c r="B32" s="54" t="str">
        <f>IFERROR(INDEX('99_Exec_Helper'!$B$5:$B$35,MATCH($A32,'99_Exec_Helper'!$U$5:$U$35,0)),"")</f>
        <v>Solare Termico</v>
      </c>
      <c r="C32" s="54" t="str">
        <f>IFERROR(INDEX('99_Exec_Helper'!$C$5:$C$35,MATCH($A32,'99_Exec_Helper'!$U$5:$U$35,0)),"")</f>
        <v>Rinnovabili</v>
      </c>
      <c r="D32" s="54">
        <f>IFERROR(INDEX('99_Exec_Helper'!$D$5:$D$35,MATCH($A32,'99_Exec_Helper'!$U$5:$U$35,0)),"")</f>
        <v>0</v>
      </c>
      <c r="E32" s="55">
        <f>IFERROR(INDEX('99_Exec_Helper'!$T$5:$T$35,MATCH($A32,'99_Exec_Helper'!$U$5:$U$35,0)),"")</f>
        <v>71.2</v>
      </c>
      <c r="F32" s="54" t="str">
        <f>IFERROR(INDEX('99_Exec_Helper'!$Z$5:$Z$35,MATCH($A32,'99_Exec_Helper'!$U$5:$U$35,0)),"")</f>
        <v>Selettiva</v>
      </c>
      <c r="G32" s="54" t="str">
        <f>IFERROR(INDEX('99_Exec_Helper'!$V$5:$V$35,MATCH($A32,'99_Exec_Helper'!$U$5:$U$35,0)),"")</f>
        <v>GIALLO</v>
      </c>
      <c r="H32" s="54" t="str">
        <f>IFERROR(INDEX('99_Exec_Helper'!$X$5:$X$35,MATCH($A32,'99_Exec_Helper'!$U$5:$U$35,0)),"")</f>
        <v>VERDE</v>
      </c>
      <c r="I32" s="54" t="str">
        <f>IFERROR(INDEX('99_Exec_Helper'!$W$5:$W$35,MATCH($A32,'99_Exec_Helper'!$U$5:$U$35,0)),"")</f>
        <v>VERDE</v>
      </c>
      <c r="J32" s="54" t="str">
        <f>IFERROR(INDEX('99_Exec_Helper'!$F$5:$F$35,MATCH($A32,'99_Exec_Helper'!$U$5:$U$35,0)),"")</f>
        <v>8</v>
      </c>
      <c r="K32" s="54" t="str">
        <f>IFERROR(INDEX('99_Exec_Helper'!$H$5:$H$35,MATCH($A32,'99_Exec_Helper'!$U$5:$U$35,0)),"")</f>
        <v>110-220 EUR/MWh</v>
      </c>
      <c r="L32" s="54" t="str">
        <f>IFERROR(INDEX('99_Exec_Helper'!$Y$5:$Y$35,MATCH($A32,'99_Exec_Helper'!$U$5:$U$35,0)),"")</f>
        <v>SELEZIONARE / PILOTARE</v>
      </c>
      <c r="M32" s="25"/>
      <c r="N32" s="25"/>
      <c r="O32" s="25"/>
      <c r="P32" s="25"/>
    </row>
    <row r="33" spans="1:12" ht="21.95" customHeight="1">
      <c r="A33" s="53">
        <v>7</v>
      </c>
      <c r="B33" s="54" t="str">
        <f>IFERROR(INDEX('99_Exec_Helper'!$B$5:$B$35,MATCH($A33,'99_Exec_Helper'!$U$5:$U$35,0)),"")</f>
        <v>Gas Naturale</v>
      </c>
      <c r="C33" s="54" t="str">
        <f>IFERROR(INDEX('99_Exec_Helper'!$C$5:$C$35,MATCH($A33,'99_Exec_Helper'!$U$5:$U$35,0)),"")</f>
        <v>Fossili</v>
      </c>
      <c r="D33" s="54">
        <f>IFERROR(INDEX('99_Exec_Helper'!$D$5:$D$35,MATCH($A33,'99_Exec_Helper'!$U$5:$U$35,0)),"")</f>
        <v>0</v>
      </c>
      <c r="E33" s="55">
        <f>IFERROR(INDEX('99_Exec_Helper'!$T$5:$T$35,MATCH($A33,'99_Exec_Helper'!$U$5:$U$35,0)),"")</f>
        <v>65.3</v>
      </c>
      <c r="F33" s="54" t="str">
        <f>IFERROR(INDEX('99_Exec_Helper'!$Z$5:$Z$35,MATCH($A33,'99_Exec_Helper'!$U$5:$U$35,0)),"")</f>
        <v>Selettiva</v>
      </c>
      <c r="G33" s="54" t="str">
        <f>IFERROR(INDEX('99_Exec_Helper'!$V$5:$V$35,MATCH($A33,'99_Exec_Helper'!$U$5:$U$35,0)),"")</f>
        <v>GIALLO</v>
      </c>
      <c r="H33" s="54" t="str">
        <f>IFERROR(INDEX('99_Exec_Helper'!$X$5:$X$35,MATCH($A33,'99_Exec_Helper'!$U$5:$U$35,0)),"")</f>
        <v>GIALLO</v>
      </c>
      <c r="I33" s="54" t="str">
        <f>IFERROR(INDEX('99_Exec_Helper'!$W$5:$W$35,MATCH($A33,'99_Exec_Helper'!$U$5:$U$35,0)),"")</f>
        <v>VERDE</v>
      </c>
      <c r="J33" s="54" t="str">
        <f>IFERROR(INDEX('99_Exec_Helper'!$F$5:$F$35,MATCH($A33,'99_Exec_Helper'!$U$5:$U$35,0)),"")</f>
        <v>9</v>
      </c>
      <c r="K33" s="54" t="str">
        <f>IFERROR(INDEX('99_Exec_Helper'!$H$5:$H$35,MATCH($A33,'99_Exec_Helper'!$U$5:$U$35,0)),"")</f>
        <v>70-120 EUR/MWh</v>
      </c>
      <c r="L33" s="54" t="str">
        <f>IFERROR(INDEX('99_Exec_Helper'!$Y$5:$Y$35,MATCH($A33,'99_Exec_Helper'!$U$5:$U$35,0)),"")</f>
        <v>SELEZIONARE / PILOTARE</v>
      </c>
    </row>
    <row r="34" spans="1:12" ht="21.95" customHeight="1">
      <c r="A34" s="53">
        <v>8</v>
      </c>
      <c r="B34" s="54" t="str">
        <f>IFERROR(INDEX('99_Exec_Helper'!$B$5:$B$35,MATCH($A34,'99_Exec_Helper'!$U$5:$U$35,0)),"")</f>
        <v>Biomasse</v>
      </c>
      <c r="C34" s="54" t="str">
        <f>IFERROR(INDEX('99_Exec_Helper'!$C$5:$C$35,MATCH($A34,'99_Exec_Helper'!$U$5:$U$35,0)),"")</f>
        <v>Rinnovabili</v>
      </c>
      <c r="D34" s="54">
        <f>IFERROR(INDEX('99_Exec_Helper'!$D$5:$D$35,MATCH($A34,'99_Exec_Helper'!$U$5:$U$35,0)),"")</f>
        <v>0</v>
      </c>
      <c r="E34" s="55">
        <f>IFERROR(INDEX('99_Exec_Helper'!$T$5:$T$35,MATCH($A34,'99_Exec_Helper'!$U$5:$U$35,0)),"")</f>
        <v>64.7</v>
      </c>
      <c r="F34" s="54" t="str">
        <f>IFERROR(INDEX('99_Exec_Helper'!$Z$5:$Z$35,MATCH($A34,'99_Exec_Helper'!$U$5:$U$35,0)),"")</f>
        <v>Selettiva</v>
      </c>
      <c r="G34" s="54" t="str">
        <f>IFERROR(INDEX('99_Exec_Helper'!$V$5:$V$35,MATCH($A34,'99_Exec_Helper'!$U$5:$U$35,0)),"")</f>
        <v>GIALLO</v>
      </c>
      <c r="H34" s="54" t="str">
        <f>IFERROR(INDEX('99_Exec_Helper'!$X$5:$X$35,MATCH($A34,'99_Exec_Helper'!$U$5:$U$35,0)),"")</f>
        <v>GIALLO</v>
      </c>
      <c r="I34" s="54" t="str">
        <f>IFERROR(INDEX('99_Exec_Helper'!$W$5:$W$35,MATCH($A34,'99_Exec_Helper'!$U$5:$U$35,0)),"")</f>
        <v>VERDE</v>
      </c>
      <c r="J34" s="54" t="str">
        <f>IFERROR(INDEX('99_Exec_Helper'!$F$5:$F$35,MATCH($A34,'99_Exec_Helper'!$U$5:$U$35,0)),"")</f>
        <v>8</v>
      </c>
      <c r="K34" s="54" t="str">
        <f>IFERROR(INDEX('99_Exec_Helper'!$H$5:$H$35,MATCH($A34,'99_Exec_Helper'!$U$5:$U$35,0)),"")</f>
        <v>90-180 EUR/MWh</v>
      </c>
      <c r="L34" s="54" t="str">
        <f>IFERROR(INDEX('99_Exec_Helper'!$Y$5:$Y$35,MATCH($A34,'99_Exec_Helper'!$U$5:$U$35,0)),"")</f>
        <v>SELEZIONARE / PILOTARE</v>
      </c>
    </row>
    <row r="35" spans="1:12" ht="21.95" customHeight="1">
      <c r="A35" s="53">
        <v>9</v>
      </c>
      <c r="B35" s="54" t="str">
        <f>IFERROR(INDEX('99_Exec_Helper'!$B$5:$B$35,MATCH($A35,'99_Exec_Helper'!$U$5:$U$35,0)),"")</f>
        <v>Nucleare da fissione</v>
      </c>
      <c r="C35" s="54" t="str">
        <f>IFERROR(INDEX('99_Exec_Helper'!$C$5:$C$35,MATCH($A35,'99_Exec_Helper'!$U$5:$U$35,0)),"")</f>
        <v>Basse emissioni / transitorie</v>
      </c>
      <c r="D35" s="54">
        <f>IFERROR(INDEX('99_Exec_Helper'!$D$5:$D$35,MATCH($A35,'99_Exec_Helper'!$U$5:$U$35,0)),"")</f>
        <v>0</v>
      </c>
      <c r="E35" s="55">
        <f>IFERROR(INDEX('99_Exec_Helper'!$T$5:$T$35,MATCH($A35,'99_Exec_Helper'!$U$5:$U$35,0)),"")</f>
        <v>64.7</v>
      </c>
      <c r="F35" s="54" t="str">
        <f>IFERROR(INDEX('99_Exec_Helper'!$Z$5:$Z$35,MATCH($A35,'99_Exec_Helper'!$U$5:$U$35,0)),"")</f>
        <v>Selettiva</v>
      </c>
      <c r="G35" s="54" t="str">
        <f>IFERROR(INDEX('99_Exec_Helper'!$V$5:$V$35,MATCH($A35,'99_Exec_Helper'!$U$5:$U$35,0)),"")</f>
        <v>GIALLO</v>
      </c>
      <c r="H35" s="54" t="str">
        <f>IFERROR(INDEX('99_Exec_Helper'!$X$5:$X$35,MATCH($A35,'99_Exec_Helper'!$U$5:$U$35,0)),"")</f>
        <v>GIALLO</v>
      </c>
      <c r="I35" s="54" t="str">
        <f>IFERROR(INDEX('99_Exec_Helper'!$W$5:$W$35,MATCH($A35,'99_Exec_Helper'!$U$5:$U$35,0)),"")</f>
        <v>VERDE</v>
      </c>
      <c r="J35" s="54" t="str">
        <f>IFERROR(INDEX('99_Exec_Helper'!$F$5:$F$35,MATCH($A35,'99_Exec_Helper'!$U$5:$U$35,0)),"")</f>
        <v>8</v>
      </c>
      <c r="K35" s="54" t="str">
        <f>IFERROR(INDEX('99_Exec_Helper'!$H$5:$H$35,MATCH($A35,'99_Exec_Helper'!$U$5:$U$35,0)),"")</f>
        <v>90-180 EUR/MWh</v>
      </c>
      <c r="L35" s="54" t="str">
        <f>IFERROR(INDEX('99_Exec_Helper'!$Y$5:$Y$35,MATCH($A35,'99_Exec_Helper'!$U$5:$U$35,0)),"")</f>
        <v>SELEZIONARE / PILOTARE</v>
      </c>
    </row>
    <row r="36" spans="1:12" ht="21.95" customHeight="1">
      <c r="A36" s="53">
        <v>10</v>
      </c>
      <c r="B36" s="54" t="str">
        <f>IFERROR(INDEX('99_Exec_Helper'!$B$5:$B$35,MATCH($A36,'99_Exec_Helper'!$U$5:$U$35,0)),"")</f>
        <v>Carbone</v>
      </c>
      <c r="C36" s="54" t="str">
        <f>IFERROR(INDEX('99_Exec_Helper'!$C$5:$C$35,MATCH($A36,'99_Exec_Helper'!$U$5:$U$35,0)),"")</f>
        <v>Fossili</v>
      </c>
      <c r="D36" s="54">
        <f>IFERROR(INDEX('99_Exec_Helper'!$D$5:$D$35,MATCH($A36,'99_Exec_Helper'!$U$5:$U$35,0)),"")</f>
        <v>0</v>
      </c>
      <c r="E36" s="55">
        <f>IFERROR(INDEX('99_Exec_Helper'!$T$5:$T$35,MATCH($A36,'99_Exec_Helper'!$U$5:$U$35,0)),"")</f>
        <v>52.8</v>
      </c>
      <c r="F36" s="54" t="str">
        <f>IFERROR(INDEX('99_Exec_Helper'!$Z$5:$Z$35,MATCH($A36,'99_Exec_Helper'!$U$5:$U$35,0)),"")</f>
        <v>Presidio</v>
      </c>
      <c r="G36" s="54" t="str">
        <f>IFERROR(INDEX('99_Exec_Helper'!$V$5:$V$35,MATCH($A36,'99_Exec_Helper'!$U$5:$U$35,0)),"")</f>
        <v>ROSSO</v>
      </c>
      <c r="H36" s="54" t="str">
        <f>IFERROR(INDEX('99_Exec_Helper'!$X$5:$X$35,MATCH($A36,'99_Exec_Helper'!$U$5:$U$35,0)),"")</f>
        <v>ROSSO</v>
      </c>
      <c r="I36" s="54" t="str">
        <f>IFERROR(INDEX('99_Exec_Helper'!$W$5:$W$35,MATCH($A36,'99_Exec_Helper'!$U$5:$U$35,0)),"")</f>
        <v>VERDE</v>
      </c>
      <c r="J36" s="54" t="str">
        <f>IFERROR(INDEX('99_Exec_Helper'!$F$5:$F$35,MATCH($A36,'99_Exec_Helper'!$U$5:$U$35,0)),"")</f>
        <v>9</v>
      </c>
      <c r="K36" s="54" t="str">
        <f>IFERROR(INDEX('99_Exec_Helper'!$H$5:$H$35,MATCH($A36,'99_Exec_Helper'!$U$5:$U$35,0)),"")</f>
        <v>90-160 EUR/MWh</v>
      </c>
      <c r="L36" s="54" t="str">
        <f>IFERROR(INDEX('99_Exec_Helper'!$Y$5:$Y$35,MATCH($A36,'99_Exec_Helper'!$U$5:$U$35,0)),"")</f>
        <v>PRESIDIARE / PHASE-OUT</v>
      </c>
    </row>
    <row r="37" spans="1:12" ht="21.95" customHeight="1">
      <c r="A37" s="53">
        <v>11</v>
      </c>
      <c r="B37" s="54" t="str">
        <f>IFERROR(INDEX('99_Exec_Helper'!$B$5:$B$35,MATCH($A37,'99_Exec_Helper'!$U$5:$U$35,0)),"")</f>
        <v>Olio</v>
      </c>
      <c r="C37" s="54" t="str">
        <f>IFERROR(INDEX('99_Exec_Helper'!$C$5:$C$35,MATCH($A37,'99_Exec_Helper'!$U$5:$U$35,0)),"")</f>
        <v>Fossili</v>
      </c>
      <c r="D37" s="54">
        <f>IFERROR(INDEX('99_Exec_Helper'!$D$5:$D$35,MATCH($A37,'99_Exec_Helper'!$U$5:$U$35,0)),"")</f>
        <v>0</v>
      </c>
      <c r="E37" s="55">
        <f>IFERROR(INDEX('99_Exec_Helper'!$T$5:$T$35,MATCH($A37,'99_Exec_Helper'!$U$5:$U$35,0)),"")</f>
        <v>46.1</v>
      </c>
      <c r="F37" s="54" t="str">
        <f>IFERROR(INDEX('99_Exec_Helper'!$Z$5:$Z$35,MATCH($A37,'99_Exec_Helper'!$U$5:$U$35,0)),"")</f>
        <v>Presidio</v>
      </c>
      <c r="G37" s="54" t="str">
        <f>IFERROR(INDEX('99_Exec_Helper'!$V$5:$V$35,MATCH($A37,'99_Exec_Helper'!$U$5:$U$35,0)),"")</f>
        <v>ROSSO</v>
      </c>
      <c r="H37" s="54" t="str">
        <f>IFERROR(INDEX('99_Exec_Helper'!$X$5:$X$35,MATCH($A37,'99_Exec_Helper'!$U$5:$U$35,0)),"")</f>
        <v>ROSSO</v>
      </c>
      <c r="I37" s="54" t="str">
        <f>IFERROR(INDEX('99_Exec_Helper'!$W$5:$W$35,MATCH($A37,'99_Exec_Helper'!$U$5:$U$35,0)),"")</f>
        <v>VERDE</v>
      </c>
      <c r="J37" s="54" t="str">
        <f>IFERROR(INDEX('99_Exec_Helper'!$F$5:$F$35,MATCH($A37,'99_Exec_Helper'!$U$5:$U$35,0)),"")</f>
        <v>9</v>
      </c>
      <c r="K37" s="54" t="str">
        <f>IFERROR(INDEX('99_Exec_Helper'!$H$5:$H$35,MATCH($A37,'99_Exec_Helper'!$U$5:$U$35,0)),"")</f>
        <v>130-220 EUR/MWh</v>
      </c>
      <c r="L37" s="54" t="str">
        <f>IFERROR(INDEX('99_Exec_Helper'!$Y$5:$Y$35,MATCH($A37,'99_Exec_Helper'!$U$5:$U$35,0)),"")</f>
        <v>PRESIDIARE / PHASE-OUT</v>
      </c>
    </row>
    <row r="38" spans="1:12" ht="21.95" customHeight="1">
      <c r="A38" s="59"/>
      <c r="B38" s="59"/>
      <c r="C38" s="60"/>
      <c r="D38" s="59"/>
      <c r="E38" s="61"/>
      <c r="F38" s="25"/>
      <c r="G38" s="25"/>
      <c r="H38" s="25"/>
      <c r="I38" s="25"/>
      <c r="J38" s="25"/>
      <c r="K38" s="25"/>
      <c r="L38" s="25"/>
    </row>
    <row r="39" spans="1:12" ht="21.95" customHeight="1">
      <c r="A39" s="59"/>
      <c r="B39" s="59"/>
      <c r="C39" s="60"/>
      <c r="D39" s="59"/>
      <c r="E39" s="61"/>
      <c r="F39" s="25"/>
      <c r="G39" s="25"/>
      <c r="H39" s="25"/>
      <c r="I39" s="25"/>
      <c r="J39" s="25"/>
      <c r="K39" s="25"/>
      <c r="L39" s="25"/>
    </row>
    <row r="40" spans="1:12" ht="21.9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</sheetData>
  <mergeCells count="30">
    <mergeCell ref="A2:P2"/>
    <mergeCell ref="A24:P24"/>
    <mergeCell ref="F5:H6"/>
    <mergeCell ref="A1:P1"/>
    <mergeCell ref="B4:D4"/>
    <mergeCell ref="F4:H4"/>
    <mergeCell ref="N5:P6"/>
    <mergeCell ref="B12:D12"/>
    <mergeCell ref="N4:P4"/>
    <mergeCell ref="B7:D7"/>
    <mergeCell ref="N7:P7"/>
    <mergeCell ref="B10:D11"/>
    <mergeCell ref="N10:P11"/>
    <mergeCell ref="F12:H12"/>
    <mergeCell ref="F7:H7"/>
    <mergeCell ref="J9:L9"/>
    <mergeCell ref="N12:P12"/>
    <mergeCell ref="A14:P14"/>
    <mergeCell ref="B5:D6"/>
    <mergeCell ref="A23:P23"/>
    <mergeCell ref="J5:L6"/>
    <mergeCell ref="N9:P9"/>
    <mergeCell ref="J12:L12"/>
    <mergeCell ref="A15:P15"/>
    <mergeCell ref="J4:L4"/>
    <mergeCell ref="J7:L7"/>
    <mergeCell ref="F10:H11"/>
    <mergeCell ref="J10:L11"/>
    <mergeCell ref="B9:D9"/>
    <mergeCell ref="F9:H9"/>
  </mergeCells>
  <conditionalFormatting sqref="D18:D20">
    <cfRule type="expression" dxfId="29" priority="2" stopIfTrue="1">
      <formula>D18="VERDE"</formula>
    </cfRule>
    <cfRule type="expression" dxfId="28" priority="3" stopIfTrue="1">
      <formula>D18="GIALLO"</formula>
    </cfRule>
    <cfRule type="expression" dxfId="27" priority="4" stopIfTrue="1">
      <formula>D18="ROSSO"</formula>
    </cfRule>
  </conditionalFormatting>
  <conditionalFormatting sqref="E27:E37">
    <cfRule type="colorScale" priority="1">
      <colorScale>
        <cfvo type="num" val="0"/>
        <cfvo type="num" val="70"/>
        <cfvo type="num" val="100"/>
        <color rgb="FFF8696B"/>
        <color rgb="FFFFEB84"/>
        <color rgb="FF63BE7B"/>
      </colorScale>
    </cfRule>
  </conditionalFormatting>
  <conditionalFormatting sqref="G27:I37">
    <cfRule type="expression" dxfId="26" priority="8" stopIfTrue="1">
      <formula>G27="VERDE"</formula>
    </cfRule>
    <cfRule type="expression" dxfId="25" priority="9" stopIfTrue="1">
      <formula>G27="GIALLO"</formula>
    </cfRule>
    <cfRule type="expression" dxfId="24" priority="10" stopIfTrue="1">
      <formula>G27="ROSSO"</formula>
    </cfRule>
  </conditionalFormatting>
  <conditionalFormatting sqref="M18:M20">
    <cfRule type="expression" dxfId="23" priority="5" stopIfTrue="1">
      <formula>M18="VERDE"</formula>
    </cfRule>
    <cfRule type="expression" dxfId="22" priority="6" stopIfTrue="1">
      <formula>M18="GIALLO"</formula>
    </cfRule>
    <cfRule type="expression" dxfId="21" priority="7" stopIfTrue="1">
      <formula>M18="ROSSO"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showGridLines="0" workbookViewId="0">
      <selection activeCell="B10" sqref="B10:D11"/>
    </sheetView>
  </sheetViews>
  <sheetFormatPr defaultRowHeight="14.45"/>
  <cols>
    <col min="1" max="1" width="24" customWidth="1"/>
    <col min="2" max="2" width="14" customWidth="1"/>
    <col min="3" max="3" width="12" customWidth="1"/>
    <col min="4" max="5" width="22" customWidth="1"/>
    <col min="6" max="8" width="12" customWidth="1"/>
    <col min="9" max="9" width="4" customWidth="1"/>
    <col min="10" max="12" width="12" customWidth="1"/>
    <col min="13" max="13" width="4" customWidth="1"/>
    <col min="14" max="16" width="12" customWidth="1"/>
  </cols>
  <sheetData>
    <row r="1" spans="1:16" ht="24" customHeight="1">
      <c r="A1" s="28" t="s">
        <v>38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33.950000000000003" customHeight="1">
      <c r="A2" s="36" t="s">
        <v>39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4" spans="1:16" ht="20.100000000000001" customHeight="1">
      <c r="A4" s="25"/>
      <c r="B4" s="30" t="s">
        <v>40</v>
      </c>
      <c r="C4" s="46"/>
      <c r="D4" s="47"/>
      <c r="E4" s="25"/>
      <c r="F4" s="30" t="s">
        <v>41</v>
      </c>
      <c r="G4" s="46"/>
      <c r="H4" s="47"/>
      <c r="I4" s="25"/>
      <c r="J4" s="30" t="s">
        <v>42</v>
      </c>
      <c r="K4" s="46"/>
      <c r="L4" s="47"/>
      <c r="M4" s="25"/>
      <c r="N4" s="30" t="s">
        <v>43</v>
      </c>
      <c r="O4" s="46"/>
      <c r="P4" s="47"/>
    </row>
    <row r="5" spans="1:16" ht="24" customHeight="1">
      <c r="A5" s="25"/>
      <c r="B5" s="33">
        <f>COUNTA('02_Fonti'!$A$4:$A$1000)</f>
        <v>121</v>
      </c>
      <c r="C5" s="45"/>
      <c r="D5" s="48"/>
      <c r="E5" s="25"/>
      <c r="F5" s="33">
        <f>COUNTA('03_Tecnologie'!$A$4:$A$1000)</f>
        <v>12</v>
      </c>
      <c r="G5" s="45"/>
      <c r="H5" s="48"/>
      <c r="I5" s="25"/>
      <c r="J5" s="33">
        <f>COUNTA('04_Componenti'!$A$4:$A$1000)</f>
        <v>69</v>
      </c>
      <c r="K5" s="45"/>
      <c r="L5" s="48"/>
      <c r="M5" s="25"/>
      <c r="N5" s="33">
        <f>SUM('00_Scorecard'!$T$4:$T$1000)</f>
        <v>694</v>
      </c>
      <c r="O5" s="45"/>
      <c r="P5" s="48"/>
    </row>
    <row r="6" spans="1:16" ht="24" customHeight="1">
      <c r="A6" s="25"/>
      <c r="B6" s="49"/>
      <c r="C6" s="50"/>
      <c r="D6" s="51"/>
      <c r="E6" s="25"/>
      <c r="F6" s="49"/>
      <c r="G6" s="50"/>
      <c r="H6" s="51"/>
      <c r="I6" s="25"/>
      <c r="J6" s="49"/>
      <c r="K6" s="50"/>
      <c r="L6" s="51"/>
      <c r="M6" s="25"/>
      <c r="N6" s="49"/>
      <c r="O6" s="50"/>
      <c r="P6" s="51"/>
    </row>
    <row r="7" spans="1:16" ht="20.100000000000001" customHeight="1">
      <c r="A7" s="25"/>
      <c r="B7" s="31" t="s">
        <v>44</v>
      </c>
      <c r="C7" s="50"/>
      <c r="D7" s="51"/>
      <c r="E7" s="25"/>
      <c r="F7" s="31" t="s">
        <v>45</v>
      </c>
      <c r="G7" s="50"/>
      <c r="H7" s="51"/>
      <c r="I7" s="25"/>
      <c r="J7" s="31" t="s">
        <v>46</v>
      </c>
      <c r="K7" s="50"/>
      <c r="L7" s="51"/>
      <c r="M7" s="25"/>
      <c r="N7" s="31" t="s">
        <v>47</v>
      </c>
      <c r="O7" s="50"/>
      <c r="P7" s="51"/>
    </row>
    <row r="9" spans="1:16" ht="20.100000000000001" customHeight="1">
      <c r="A9" s="25"/>
      <c r="B9" s="30" t="s">
        <v>48</v>
      </c>
      <c r="C9" s="46"/>
      <c r="D9" s="47"/>
      <c r="E9" s="25"/>
      <c r="F9" s="30" t="s">
        <v>49</v>
      </c>
      <c r="G9" s="46"/>
      <c r="H9" s="47"/>
      <c r="I9" s="25"/>
      <c r="J9" s="30" t="s">
        <v>50</v>
      </c>
      <c r="K9" s="46"/>
      <c r="L9" s="47"/>
      <c r="M9" s="25"/>
      <c r="N9" s="30" t="s">
        <v>51</v>
      </c>
      <c r="O9" s="46"/>
      <c r="P9" s="47"/>
    </row>
    <row r="10" spans="1:16" ht="24" customHeight="1">
      <c r="A10" s="25"/>
      <c r="B10" s="32">
        <f>IFERROR(AVERAGEIF('00_Scorecard'!$R$4:$R$1000,"&gt;0"),0)</f>
        <v>0.91666666666666652</v>
      </c>
      <c r="C10" s="45"/>
      <c r="D10" s="48"/>
      <c r="E10" s="25"/>
      <c r="F10" s="34">
        <f>IFERROR(AVERAGEIF('00_Scorecard'!$S$4:$S$1000,"&gt;0"),0)</f>
        <v>8.212121212121211</v>
      </c>
      <c r="G10" s="45"/>
      <c r="H10" s="48"/>
      <c r="I10" s="25"/>
      <c r="J10" s="33">
        <f>COUNTIF('03_Tecnologie'!$H$4:$H$1000,"&lt;&gt;")</f>
        <v>0</v>
      </c>
      <c r="K10" s="45"/>
      <c r="L10" s="48"/>
      <c r="M10" s="25"/>
      <c r="N10" s="33">
        <f>COUNTIF('00_Scorecard'!$U$4:$U$1000,"Copertura avanzata")</f>
        <v>11</v>
      </c>
      <c r="O10" s="45"/>
      <c r="P10" s="48"/>
    </row>
    <row r="11" spans="1:16" ht="24" customHeight="1">
      <c r="A11" s="25"/>
      <c r="B11" s="49"/>
      <c r="C11" s="50"/>
      <c r="D11" s="51"/>
      <c r="E11" s="25"/>
      <c r="F11" s="49"/>
      <c r="G11" s="50"/>
      <c r="H11" s="51"/>
      <c r="I11" s="25"/>
      <c r="J11" s="49"/>
      <c r="K11" s="50"/>
      <c r="L11" s="51"/>
      <c r="M11" s="25"/>
      <c r="N11" s="49"/>
      <c r="O11" s="50"/>
      <c r="P11" s="51"/>
    </row>
    <row r="12" spans="1:16" ht="20.100000000000001" customHeight="1">
      <c r="A12" s="25"/>
      <c r="B12" s="31" t="s">
        <v>52</v>
      </c>
      <c r="C12" s="50"/>
      <c r="D12" s="51"/>
      <c r="E12" s="25"/>
      <c r="F12" s="31" t="s">
        <v>53</v>
      </c>
      <c r="G12" s="50"/>
      <c r="H12" s="51"/>
      <c r="I12" s="25"/>
      <c r="J12" s="31" t="s">
        <v>54</v>
      </c>
      <c r="K12" s="50"/>
      <c r="L12" s="51"/>
      <c r="M12" s="25"/>
      <c r="N12" s="31" t="s">
        <v>55</v>
      </c>
      <c r="O12" s="50"/>
      <c r="P12" s="51"/>
    </row>
    <row r="13" spans="1:16">
      <c r="A13" s="25"/>
      <c r="B13" s="25"/>
      <c r="C13" s="25"/>
      <c r="D13" s="25"/>
      <c r="E13" s="25"/>
      <c r="F13" s="25"/>
      <c r="G13" s="25"/>
      <c r="H13" s="25"/>
      <c r="I13" s="25"/>
      <c r="J13" s="25">
        <f>COUNTIFS('03_Tecnologie'!$A$4:$A$1000,"&lt;&gt;",'03_Tecnologie'!$H$4:$H$1000,"")</f>
        <v>12</v>
      </c>
      <c r="K13" s="25"/>
      <c r="L13" s="25"/>
      <c r="M13" s="25"/>
      <c r="N13" s="25"/>
      <c r="O13" s="25"/>
      <c r="P13" s="25"/>
    </row>
    <row r="14" spans="1:16" ht="20.100000000000001" customHeight="1">
      <c r="A14" s="52" t="s">
        <v>56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</row>
    <row r="15" spans="1:16" ht="30" customHeight="1">
      <c r="A15" s="39" t="s">
        <v>57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</row>
    <row r="17" spans="1:5" ht="20.100000000000001" customHeight="1">
      <c r="A17" s="13" t="s">
        <v>23</v>
      </c>
      <c r="B17" s="13" t="s">
        <v>58</v>
      </c>
      <c r="C17" s="13" t="s">
        <v>59</v>
      </c>
      <c r="D17" s="13" t="s">
        <v>60</v>
      </c>
      <c r="E17" s="13" t="s">
        <v>61</v>
      </c>
    </row>
    <row r="18" spans="1:5">
      <c r="A18" s="59" t="str">
        <f>IF('00_Scorecard'!B4="","",'00_Scorecard'!B4)</f>
        <v>Carbone</v>
      </c>
      <c r="B18" s="59" t="str">
        <f>IF($A18="","",'00_Scorecard'!D4)</f>
        <v>Monitoraggio attivo</v>
      </c>
      <c r="C18" s="60">
        <f>IF($A18="","",'00_Scorecard'!R4)</f>
        <v>0.91666666666666663</v>
      </c>
      <c r="D18" s="59" t="str">
        <f>IF($A18="","",'00_Scorecard'!U4)</f>
        <v>Copertura avanzata</v>
      </c>
      <c r="E18" s="61" t="str">
        <f>IF($A18="","",'00_Scorecard'!V4)</f>
        <v>Presidio adeguato</v>
      </c>
    </row>
    <row r="19" spans="1:5">
      <c r="A19" s="59" t="str">
        <f>IF('00_Scorecard'!B5="","",'00_Scorecard'!B5)</f>
        <v>Olio</v>
      </c>
      <c r="B19" s="59" t="str">
        <f>IF($A19="","",'00_Scorecard'!D5)</f>
        <v>Archiviata</v>
      </c>
      <c r="C19" s="60">
        <f>IF($A19="","",'00_Scorecard'!R5)</f>
        <v>0.91666666666666663</v>
      </c>
      <c r="D19" s="59" t="str">
        <f>IF($A19="","",'00_Scorecard'!U5)</f>
        <v>Copertura avanzata</v>
      </c>
      <c r="E19" s="61" t="str">
        <f>IF($A19="","",'00_Scorecard'!V5)</f>
        <v>Presidio adeguato</v>
      </c>
    </row>
    <row r="20" spans="1:5">
      <c r="A20" s="59" t="str">
        <f>IF('00_Scorecard'!B6="","",'00_Scorecard'!B6)</f>
        <v>Gas Naturale</v>
      </c>
      <c r="B20" s="59" t="str">
        <f>IF($A20="","",'00_Scorecard'!D6)</f>
        <v>Monitoraggio attivo</v>
      </c>
      <c r="C20" s="60">
        <f>IF($A20="","",'00_Scorecard'!R6)</f>
        <v>0.91666666666666663</v>
      </c>
      <c r="D20" s="59" t="str">
        <f>IF($A20="","",'00_Scorecard'!U6)</f>
        <v>Copertura avanzata</v>
      </c>
      <c r="E20" s="61" t="str">
        <f>IF($A20="","",'00_Scorecard'!V6)</f>
        <v>Presidio adeguato</v>
      </c>
    </row>
    <row r="21" spans="1:5">
      <c r="A21" s="59" t="str">
        <f>IF('00_Scorecard'!B7="","",'00_Scorecard'!B7)</f>
        <v>Fotovoltaico</v>
      </c>
      <c r="B21" s="59" t="str">
        <f>IF($A21="","",'00_Scorecard'!D7)</f>
        <v>Monitoraggio attivo</v>
      </c>
      <c r="C21" s="60">
        <f>IF($A21="","",'00_Scorecard'!R7)</f>
        <v>0.91666666666666663</v>
      </c>
      <c r="D21" s="59" t="str">
        <f>IF($A21="","",'00_Scorecard'!U7)</f>
        <v>Copertura avanzata</v>
      </c>
      <c r="E21" s="61" t="str">
        <f>IF($A21="","",'00_Scorecard'!V7)</f>
        <v>Presidio adeguato</v>
      </c>
    </row>
    <row r="22" spans="1:5">
      <c r="A22" s="59" t="str">
        <f>IF('00_Scorecard'!B8="","",'00_Scorecard'!B8)</f>
        <v>Solare Termico</v>
      </c>
      <c r="B22" s="59" t="str">
        <f>IF($A22="","",'00_Scorecard'!D8)</f>
        <v>Monitoraggio attivo</v>
      </c>
      <c r="C22" s="60">
        <f>IF($A22="","",'00_Scorecard'!R8)</f>
        <v>0.91666666666666663</v>
      </c>
      <c r="D22" s="59" t="str">
        <f>IF($A22="","",'00_Scorecard'!U8)</f>
        <v>Copertura avanzata</v>
      </c>
      <c r="E22" s="61" t="str">
        <f>IF($A22="","",'00_Scorecard'!V8)</f>
        <v>Presidio adeguato</v>
      </c>
    </row>
    <row r="23" spans="1:5">
      <c r="A23" s="59" t="str">
        <f>IF('00_Scorecard'!B9="","",'00_Scorecard'!B9)</f>
        <v>Eolico</v>
      </c>
      <c r="B23" s="59" t="str">
        <f>IF($A23="","",'00_Scorecard'!D9)</f>
        <v>Monitoraggio attivo</v>
      </c>
      <c r="C23" s="60">
        <f>IF($A23="","",'00_Scorecard'!R9)</f>
        <v>0.91666666666666663</v>
      </c>
      <c r="D23" s="59" t="str">
        <f>IF($A23="","",'00_Scorecard'!U9)</f>
        <v>Copertura avanzata</v>
      </c>
      <c r="E23" s="61" t="str">
        <f>IF($A23="","",'00_Scorecard'!V9)</f>
        <v>Presidio adeguato</v>
      </c>
    </row>
    <row r="24" spans="1:5">
      <c r="A24" s="59" t="str">
        <f>IF('00_Scorecard'!B10="","",'00_Scorecard'!B10)</f>
        <v>Idroelettrico</v>
      </c>
      <c r="B24" s="59" t="str">
        <f>IF($A24="","",'00_Scorecard'!D10)</f>
        <v>Monitoraggio attivo</v>
      </c>
      <c r="C24" s="60">
        <f>IF($A24="","",'00_Scorecard'!R10)</f>
        <v>0.91666666666666663</v>
      </c>
      <c r="D24" s="59" t="str">
        <f>IF($A24="","",'00_Scorecard'!U10)</f>
        <v>Copertura avanzata</v>
      </c>
      <c r="E24" s="61" t="str">
        <f>IF($A24="","",'00_Scorecard'!V10)</f>
        <v>Presidio adeguato</v>
      </c>
    </row>
    <row r="25" spans="1:5">
      <c r="A25" s="59" t="str">
        <f>IF('00_Scorecard'!B11="","",'00_Scorecard'!B11)</f>
        <v>Biomasse</v>
      </c>
      <c r="B25" s="59" t="str">
        <f>IF($A25="","",'00_Scorecard'!D11)</f>
        <v>Monitoraggio attivo</v>
      </c>
      <c r="C25" s="60">
        <f>IF($A25="","",'00_Scorecard'!R11)</f>
        <v>0.91666666666666663</v>
      </c>
      <c r="D25" s="59" t="str">
        <f>IF($A25="","",'00_Scorecard'!U11)</f>
        <v>Copertura avanzata</v>
      </c>
      <c r="E25" s="61" t="str">
        <f>IF($A25="","",'00_Scorecard'!V11)</f>
        <v>Presidio adeguato</v>
      </c>
    </row>
    <row r="26" spans="1:5" ht="29.1">
      <c r="A26" s="59" t="str">
        <f>IF('00_Scorecard'!B12="","",'00_Scorecard'!B12)</f>
        <v>Geotermico</v>
      </c>
      <c r="B26" s="59" t="str">
        <f>IF($A26="","",'00_Scorecard'!D12)</f>
        <v>Monitoraggio attivo</v>
      </c>
      <c r="C26" s="60">
        <f>IF($A26="","",'00_Scorecard'!R12)</f>
        <v>0.91666666666666663</v>
      </c>
      <c r="D26" s="59" t="str">
        <f>IF($A26="","",'00_Scorecard'!U12)</f>
        <v>Copertura avanzata</v>
      </c>
      <c r="E26" s="61" t="str">
        <f>IF($A26="","",'00_Scorecard'!V12)</f>
        <v>Presidio adeguato</v>
      </c>
    </row>
    <row r="27" spans="1:5" ht="29.1">
      <c r="A27" s="59" t="str">
        <f>IF('00_Scorecard'!B13="","",'00_Scorecard'!B13)</f>
        <v>Nucleare da fissione</v>
      </c>
      <c r="B27" s="59" t="str">
        <f>IF($A27="","",'00_Scorecard'!D13)</f>
        <v>Monitoraggio attivo</v>
      </c>
      <c r="C27" s="60">
        <f>IF($A27="","",'00_Scorecard'!R13)</f>
        <v>0.91666666666666663</v>
      </c>
      <c r="D27" s="59" t="str">
        <f>IF($A27="","",'00_Scorecard'!U13)</f>
        <v>Copertura avanzata</v>
      </c>
      <c r="E27" s="61" t="str">
        <f>IF($A27="","",'00_Scorecard'!V13)</f>
        <v>Presidio adeguato</v>
      </c>
    </row>
    <row r="28" spans="1:5">
      <c r="A28" s="59" t="str">
        <f>IF('00_Scorecard'!B14="","",'00_Scorecard'!B14)</f>
        <v>Idrogeno verde</v>
      </c>
      <c r="B28" s="59" t="str">
        <f>IF($A28="","",'00_Scorecard'!D14)</f>
        <v>Prioritaria</v>
      </c>
      <c r="C28" s="60">
        <f>IF($A28="","",'00_Scorecard'!R14)</f>
        <v>0.91666666666666663</v>
      </c>
      <c r="D28" s="59" t="str">
        <f>IF($A28="","",'00_Scorecard'!U14)</f>
        <v>Copertura avanzata</v>
      </c>
      <c r="E28" s="61" t="str">
        <f>IF($A28="","",'00_Scorecard'!V14)</f>
        <v>Presidio adeguato</v>
      </c>
    </row>
    <row r="29" spans="1:5">
      <c r="A29" s="59">
        <f>IF('00_Scorecard'!B15="","",'00_Scorecard'!B15)</f>
        <v>0</v>
      </c>
      <c r="B29" s="59">
        <f>IF($A29="","",'00_Scorecard'!D15)</f>
        <v>0</v>
      </c>
      <c r="C29" s="60">
        <f>IF($A29="","",'00_Scorecard'!R15)</f>
        <v>0</v>
      </c>
      <c r="D29" s="59" t="str">
        <f>IF($A29="","",'00_Scorecard'!U15)</f>
        <v>Da avviare</v>
      </c>
      <c r="E29" s="61" t="str">
        <f>IF($A29="","",'00_Scorecard'!V15)</f>
        <v>Da avviare</v>
      </c>
    </row>
    <row r="30" spans="1:5">
      <c r="A30" s="59" t="str">
        <f>IF('00_Scorecard'!B16="","",'00_Scorecard'!B16)</f>
        <v/>
      </c>
      <c r="B30" s="59" t="str">
        <f>IF($A30="","",'00_Scorecard'!D16)</f>
        <v/>
      </c>
      <c r="C30" s="60" t="str">
        <f>IF($A30="","",'00_Scorecard'!R16)</f>
        <v/>
      </c>
      <c r="D30" s="59" t="str">
        <f>IF($A30="","",'00_Scorecard'!U16)</f>
        <v/>
      </c>
      <c r="E30" s="61" t="str">
        <f>IF($A30="","",'00_Scorecard'!V16)</f>
        <v/>
      </c>
    </row>
    <row r="31" spans="1:5">
      <c r="A31" s="59" t="str">
        <f>IF('00_Scorecard'!B17="","",'00_Scorecard'!B17)</f>
        <v/>
      </c>
      <c r="B31" s="59" t="str">
        <f>IF($A31="","",'00_Scorecard'!D17)</f>
        <v/>
      </c>
      <c r="C31" s="60" t="str">
        <f>IF($A31="","",'00_Scorecard'!R17)</f>
        <v/>
      </c>
      <c r="D31" s="59" t="str">
        <f>IF($A31="","",'00_Scorecard'!U17)</f>
        <v/>
      </c>
      <c r="E31" s="61" t="str">
        <f>IF($A31="","",'00_Scorecard'!V17)</f>
        <v/>
      </c>
    </row>
    <row r="32" spans="1:5">
      <c r="A32" s="59" t="str">
        <f>IF('00_Scorecard'!B18="","",'00_Scorecard'!B18)</f>
        <v/>
      </c>
      <c r="B32" s="59" t="str">
        <f>IF($A32="","",'00_Scorecard'!D18)</f>
        <v/>
      </c>
      <c r="C32" s="60" t="str">
        <f>IF($A32="","",'00_Scorecard'!R18)</f>
        <v/>
      </c>
      <c r="D32" s="59" t="str">
        <f>IF($A32="","",'00_Scorecard'!U18)</f>
        <v/>
      </c>
      <c r="E32" s="61" t="str">
        <f>IF($A32="","",'00_Scorecard'!V18)</f>
        <v/>
      </c>
    </row>
  </sheetData>
  <mergeCells count="28">
    <mergeCell ref="A2:P2"/>
    <mergeCell ref="A15:P15"/>
    <mergeCell ref="F5:H6"/>
    <mergeCell ref="A1:P1"/>
    <mergeCell ref="B4:D4"/>
    <mergeCell ref="F4:H4"/>
    <mergeCell ref="N5:P6"/>
    <mergeCell ref="B12:D12"/>
    <mergeCell ref="N4:P4"/>
    <mergeCell ref="B7:D7"/>
    <mergeCell ref="N7:P7"/>
    <mergeCell ref="B10:D11"/>
    <mergeCell ref="N10:P11"/>
    <mergeCell ref="F12:H12"/>
    <mergeCell ref="F7:H7"/>
    <mergeCell ref="J9:L9"/>
    <mergeCell ref="N12:P12"/>
    <mergeCell ref="A14:P14"/>
    <mergeCell ref="B5:D6"/>
    <mergeCell ref="J5:L6"/>
    <mergeCell ref="J4:L4"/>
    <mergeCell ref="J7:L7"/>
    <mergeCell ref="F10:H11"/>
    <mergeCell ref="J10:L11"/>
    <mergeCell ref="B9:D9"/>
    <mergeCell ref="N9:P9"/>
    <mergeCell ref="F9:H9"/>
    <mergeCell ref="J12:L12"/>
  </mergeCells>
  <conditionalFormatting sqref="C18:C3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18:E32">
    <cfRule type="expression" dxfId="20" priority="2">
      <formula>$E18="Alta priorita"</formula>
    </cfRule>
    <cfRule type="expression" dxfId="19" priority="3">
      <formula>$E18="Media priorita"</formula>
    </cfRule>
    <cfRule type="expression" dxfId="18" priority="4">
      <formula>$E18="Presidio adeguato"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50"/>
  <sheetViews>
    <sheetView showGridLines="0" tabSelected="1" topLeftCell="A5" workbookViewId="0">
      <selection activeCell="C11" sqref="C11"/>
    </sheetView>
  </sheetViews>
  <sheetFormatPr defaultRowHeight="14.45"/>
  <cols>
    <col min="1" max="1" width="10" customWidth="1"/>
    <col min="2" max="2" width="24" customWidth="1"/>
    <col min="3" max="3" width="22" customWidth="1"/>
    <col min="4" max="4" width="13" customWidth="1"/>
    <col min="5" max="5" width="18" customWidth="1"/>
    <col min="6" max="8" width="12" customWidth="1"/>
    <col min="9" max="9" width="11" customWidth="1"/>
    <col min="10" max="10" width="10" customWidth="1"/>
    <col min="11" max="13" width="13" customWidth="1"/>
    <col min="14" max="14" width="10" customWidth="1"/>
    <col min="15" max="15" width="12" customWidth="1"/>
    <col min="16" max="16" width="9" customWidth="1"/>
    <col min="17" max="18" width="12" customWidth="1"/>
    <col min="19" max="19" width="10" customWidth="1"/>
    <col min="20" max="20" width="11" customWidth="1"/>
    <col min="21" max="22" width="20" customWidth="1"/>
  </cols>
  <sheetData>
    <row r="1" spans="1:22" ht="24" customHeight="1">
      <c r="A1" s="28" t="s">
        <v>62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25"/>
      <c r="R1" s="25"/>
      <c r="S1" s="25"/>
      <c r="T1" s="25"/>
      <c r="U1" s="25"/>
      <c r="V1" s="25"/>
    </row>
    <row r="2" spans="1:22" ht="33.950000000000003" customHeight="1">
      <c r="A2" s="36" t="s">
        <v>63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25"/>
      <c r="R2" s="25"/>
      <c r="S2" s="25"/>
      <c r="T2" s="25"/>
      <c r="U2" s="25"/>
      <c r="V2" s="25"/>
    </row>
    <row r="3" spans="1:22" ht="27.95" customHeight="1">
      <c r="A3" s="13" t="s">
        <v>64</v>
      </c>
      <c r="B3" s="13" t="s">
        <v>23</v>
      </c>
      <c r="C3" s="13" t="s">
        <v>29</v>
      </c>
      <c r="D3" s="13" t="s">
        <v>58</v>
      </c>
      <c r="E3" s="13" t="s">
        <v>65</v>
      </c>
      <c r="F3" s="13" t="s">
        <v>66</v>
      </c>
      <c r="G3" s="13" t="s">
        <v>67</v>
      </c>
      <c r="H3" s="13" t="s">
        <v>68</v>
      </c>
      <c r="I3" s="13" t="s">
        <v>69</v>
      </c>
      <c r="J3" s="13" t="s">
        <v>70</v>
      </c>
      <c r="K3" s="13" t="s">
        <v>71</v>
      </c>
      <c r="L3" s="13" t="s">
        <v>72</v>
      </c>
      <c r="M3" s="13" t="s">
        <v>73</v>
      </c>
      <c r="N3" s="13" t="s">
        <v>74</v>
      </c>
      <c r="O3" s="13" t="s">
        <v>75</v>
      </c>
      <c r="P3" s="13" t="s">
        <v>76</v>
      </c>
      <c r="Q3" s="13" t="s">
        <v>77</v>
      </c>
      <c r="R3" s="13" t="s">
        <v>78</v>
      </c>
      <c r="S3" s="13" t="s">
        <v>79</v>
      </c>
      <c r="T3" s="13" t="s">
        <v>80</v>
      </c>
      <c r="U3" s="13" t="s">
        <v>60</v>
      </c>
      <c r="V3" s="13" t="s">
        <v>61</v>
      </c>
    </row>
    <row r="4" spans="1:22" ht="27.95" customHeight="1">
      <c r="A4" s="13" t="str">
        <f>IF('03_Tecnologie'!A4="","",'03_Tecnologie'!A4)</f>
        <v>T001</v>
      </c>
      <c r="B4" s="13" t="str">
        <f>IF($A4="","",'03_Tecnologie'!D4)</f>
        <v>Carbone</v>
      </c>
      <c r="C4" s="13" t="str">
        <f>IF($A4="","",'03_Tecnologie'!B4)</f>
        <v>Fossili</v>
      </c>
      <c r="D4" s="13" t="str">
        <f>IF($A4="","",'03_Tecnologie'!F4)</f>
        <v>Monitoraggio attivo</v>
      </c>
      <c r="E4" s="13">
        <f>IF($A4="","",COUNTIF('04_Componenti'!$B$4:$B$1000,$A4))</f>
        <v>6</v>
      </c>
      <c r="F4" s="13">
        <f>IF($A4="","",COUNTIF('05_Descrizione'!$B$4:$B$1000,$A4))</f>
        <v>6</v>
      </c>
      <c r="G4" s="13">
        <f>IF($A4="","",COUNTIF('06_Avanzamento'!$B$4:$B$1000,$A4))</f>
        <v>6</v>
      </c>
      <c r="H4" s="13">
        <f>IF($A4="","",COUNTIF('07_TRL_TLR'!$B$4:$B$1000,$A4))</f>
        <v>6</v>
      </c>
      <c r="I4" s="13">
        <f>IF($A4="","",COUNTIF('08_Costi_Compet'!$B$4:$B$1000,$A4))</f>
        <v>6</v>
      </c>
      <c r="J4" s="13">
        <f>IF($A4="","",COUNTIF('09_Settori_Impatto'!$B$4:$B$1000,$A4))</f>
        <v>6</v>
      </c>
      <c r="K4" s="13">
        <f>IF($A4="","",COUNTIF('16_Mercati_Riferimento'!$B$4:$B$1000,$A4))</f>
        <v>0</v>
      </c>
      <c r="L4" s="13">
        <f>IF($A4="","",COUNTIF('10_Sostenibilita'!$B$4:$B$1000,$A4))</f>
        <v>3</v>
      </c>
      <c r="M4" s="63">
        <f>IF($A4="","",COUNTIF('11_Best_Practice'!$B$4:$B$1000,$A4))</f>
        <v>4</v>
      </c>
      <c r="N4" s="63">
        <f>IF($A4="","",COUNTIF('12_Policy_Regolazione'!$B$4:$B$1000,$A4))</f>
        <v>5</v>
      </c>
      <c r="O4" s="63">
        <f>IF($A4="","",COUNTIF('13_Barriere_Opp'!$B$4:$B$1000,$A4))</f>
        <v>6</v>
      </c>
      <c r="P4" s="63">
        <f>IF($A4="","",COUNTIF('14_Attori_Imprese'!$B$4:$B$1000,$A4))</f>
        <v>7</v>
      </c>
      <c r="Q4" s="63">
        <f>IF($A4="","",COUNTIF('15_Prestazioni'!$B$4:$B$1000,$A4))</f>
        <v>8</v>
      </c>
      <c r="R4" s="64">
        <f t="shared" ref="R4:R67" si="0">IF($A4="","",COUNTIF(F4:Q4,"&gt;0")/12)</f>
        <v>0.91666666666666663</v>
      </c>
      <c r="S4" s="65">
        <f>IF($A4="","",IFERROR(AVERAGEIF('07_TRL_TLR'!$B$4:$B$1000,$A4,'07_TRL_TLR'!$F$4:$F$1000),""))</f>
        <v>8.1666666666666661</v>
      </c>
      <c r="T4" s="63">
        <f t="shared" ref="T4:T67" si="1">IF($A4="","",SUM(F4:Q4))</f>
        <v>63</v>
      </c>
      <c r="U4" s="66" t="str">
        <f t="shared" ref="U4:U67" si="2">IF($A4="","",IF(T4=0,"Da avviare",IF(R4&lt;0.3,"Copertura base",IF(R4&lt;0.7,"Copertura intermedia","Copertura avanzata"))))</f>
        <v>Copertura avanzata</v>
      </c>
      <c r="V4" s="66" t="str">
        <f t="shared" ref="V4:V67" si="3">IF($A4="","",IF(AND(D4="Prioritaria",R4&lt;0.5),"Alta priorita",IF(AND(D4="Monitoraggio attivo",R4&lt;0.3),"Media priorita",IF(T4=0,"Da avviare","Presidio adeguato"))))</f>
        <v>Presidio adeguato</v>
      </c>
    </row>
    <row r="5" spans="1:22" ht="27.95" customHeight="1">
      <c r="A5" s="13" t="str">
        <f>IF('03_Tecnologie'!A5="","",'03_Tecnologie'!A5)</f>
        <v>T002</v>
      </c>
      <c r="B5" s="13" t="str">
        <f>IF($A5="","",'03_Tecnologie'!D5)</f>
        <v>Olio</v>
      </c>
      <c r="C5" s="13" t="str">
        <f>IF($A5="","",'03_Tecnologie'!B5)</f>
        <v>Fossili</v>
      </c>
      <c r="D5" s="13" t="str">
        <f>IF($A5="","",'03_Tecnologie'!F5)</f>
        <v>Archiviata</v>
      </c>
      <c r="E5" s="13">
        <f>IF($A5="","",COUNTIF('04_Componenti'!$B$4:$B$1000,$A5))</f>
        <v>6</v>
      </c>
      <c r="F5" s="13">
        <f>IF($A5="","",COUNTIF('05_Descrizione'!$B$4:$B$1000,$A5))</f>
        <v>6</v>
      </c>
      <c r="G5" s="13">
        <f>IF($A5="","",COUNTIF('06_Avanzamento'!$B$4:$B$1000,$A5))</f>
        <v>6</v>
      </c>
      <c r="H5" s="13">
        <f>IF($A5="","",COUNTIF('07_TRL_TLR'!$B$4:$B$1000,$A5))</f>
        <v>6</v>
      </c>
      <c r="I5" s="13">
        <f>IF($A5="","",COUNTIF('08_Costi_Compet'!$B$4:$B$1000,$A5))</f>
        <v>6</v>
      </c>
      <c r="J5" s="13">
        <f>IF($A5="","",COUNTIF('09_Settori_Impatto'!$B$4:$B$1000,$A5))</f>
        <v>6</v>
      </c>
      <c r="K5" s="13">
        <f>IF($A5="","",COUNTIF('16_Mercati_Riferimento'!$B$4:$B$1000,$A5))</f>
        <v>0</v>
      </c>
      <c r="L5" s="13">
        <f>IF($A5="","",COUNTIF('10_Sostenibilita'!$B$4:$B$1000,$A5))</f>
        <v>3</v>
      </c>
      <c r="M5" s="63">
        <f>IF($A5="","",COUNTIF('11_Best_Practice'!$B$4:$B$1000,$A5))</f>
        <v>4</v>
      </c>
      <c r="N5" s="63">
        <f>IF($A5="","",COUNTIF('12_Policy_Regolazione'!$B$4:$B$1000,$A5))</f>
        <v>5</v>
      </c>
      <c r="O5" s="63">
        <f>IF($A5="","",COUNTIF('13_Barriere_Opp'!$B$4:$B$1000,$A5))</f>
        <v>6</v>
      </c>
      <c r="P5" s="63">
        <f>IF($A5="","",COUNTIF('14_Attori_Imprese'!$B$4:$B$1000,$A5))</f>
        <v>7</v>
      </c>
      <c r="Q5" s="63">
        <f>IF($A5="","",COUNTIF('15_Prestazioni'!$B$4:$B$1000,$A5))</f>
        <v>8</v>
      </c>
      <c r="R5" s="64">
        <f t="shared" si="0"/>
        <v>0.91666666666666663</v>
      </c>
      <c r="S5" s="65">
        <f>IF($A5="","",IFERROR(AVERAGEIF('07_TRL_TLR'!$B$4:$B$1000,$A5,'07_TRL_TLR'!$F$4:$F$1000),""))</f>
        <v>8.8333333333333339</v>
      </c>
      <c r="T5" s="63">
        <f t="shared" si="1"/>
        <v>63</v>
      </c>
      <c r="U5" s="66" t="str">
        <f t="shared" si="2"/>
        <v>Copertura avanzata</v>
      </c>
      <c r="V5" s="66" t="str">
        <f t="shared" si="3"/>
        <v>Presidio adeguato</v>
      </c>
    </row>
    <row r="6" spans="1:22" ht="27.95" customHeight="1">
      <c r="A6" s="13" t="str">
        <f>IF('03_Tecnologie'!A6="","",'03_Tecnologie'!A6)</f>
        <v>T003</v>
      </c>
      <c r="B6" s="13" t="str">
        <f>IF($A6="","",'03_Tecnologie'!D6)</f>
        <v>Gas Naturale</v>
      </c>
      <c r="C6" s="13" t="str">
        <f>IF($A6="","",'03_Tecnologie'!B6)</f>
        <v>Fossili</v>
      </c>
      <c r="D6" s="13" t="str">
        <f>IF($A6="","",'03_Tecnologie'!F6)</f>
        <v>Monitoraggio attivo</v>
      </c>
      <c r="E6" s="13">
        <f>IF($A6="","",COUNTIF('04_Componenti'!$B$4:$B$1000,$A6))</f>
        <v>6</v>
      </c>
      <c r="F6" s="13">
        <f>IF($A6="","",COUNTIF('05_Descrizione'!$B$4:$B$1000,$A6))</f>
        <v>6</v>
      </c>
      <c r="G6" s="13">
        <f>IF($A6="","",COUNTIF('06_Avanzamento'!$B$4:$B$1000,$A6))</f>
        <v>6</v>
      </c>
      <c r="H6" s="13">
        <f>IF($A6="","",COUNTIF('07_TRL_TLR'!$B$4:$B$1000,$A6))</f>
        <v>6</v>
      </c>
      <c r="I6" s="13">
        <f>IF($A6="","",COUNTIF('08_Costi_Compet'!$B$4:$B$1000,$A6))</f>
        <v>6</v>
      </c>
      <c r="J6" s="13">
        <f>IF($A6="","",COUNTIF('09_Settori_Impatto'!$B$4:$B$1000,$A6))</f>
        <v>6</v>
      </c>
      <c r="K6" s="13">
        <f>IF($A6="","",COUNTIF('16_Mercati_Riferimento'!$B$4:$B$1000,$A6))</f>
        <v>0</v>
      </c>
      <c r="L6" s="13">
        <f>IF($A6="","",COUNTIF('10_Sostenibilita'!$B$4:$B$1000,$A6))</f>
        <v>3</v>
      </c>
      <c r="M6" s="63">
        <f>IF($A6="","",COUNTIF('11_Best_Practice'!$B$4:$B$1000,$A6))</f>
        <v>4</v>
      </c>
      <c r="N6" s="63">
        <f>IF($A6="","",COUNTIF('12_Policy_Regolazione'!$B$4:$B$1000,$A6))</f>
        <v>5</v>
      </c>
      <c r="O6" s="63">
        <f>IF($A6="","",COUNTIF('13_Barriere_Opp'!$B$4:$B$1000,$A6))</f>
        <v>6</v>
      </c>
      <c r="P6" s="63">
        <f>IF($A6="","",COUNTIF('14_Attori_Imprese'!$B$4:$B$1000,$A6))</f>
        <v>7</v>
      </c>
      <c r="Q6" s="63">
        <f>IF($A6="","",COUNTIF('15_Prestazioni'!$B$4:$B$1000,$A6))</f>
        <v>8</v>
      </c>
      <c r="R6" s="64">
        <f t="shared" si="0"/>
        <v>0.91666666666666663</v>
      </c>
      <c r="S6" s="65">
        <f>IF($A6="","",IFERROR(AVERAGEIF('07_TRL_TLR'!$B$4:$B$1000,$A6,'07_TRL_TLR'!$F$4:$F$1000),""))</f>
        <v>8.5</v>
      </c>
      <c r="T6" s="63">
        <f t="shared" si="1"/>
        <v>63</v>
      </c>
      <c r="U6" s="66" t="str">
        <f t="shared" si="2"/>
        <v>Copertura avanzata</v>
      </c>
      <c r="V6" s="66" t="str">
        <f t="shared" si="3"/>
        <v>Presidio adeguato</v>
      </c>
    </row>
    <row r="7" spans="1:22" ht="27.95" customHeight="1">
      <c r="A7" s="13" t="str">
        <f>IF('03_Tecnologie'!A7="","",'03_Tecnologie'!A7)</f>
        <v>T004</v>
      </c>
      <c r="B7" s="13" t="str">
        <f>IF($A7="","",'03_Tecnologie'!D7)</f>
        <v>Fotovoltaico</v>
      </c>
      <c r="C7" s="13" t="str">
        <f>IF($A7="","",'03_Tecnologie'!B7)</f>
        <v>Rinnovabili</v>
      </c>
      <c r="D7" s="13" t="str">
        <f>IF($A7="","",'03_Tecnologie'!F7)</f>
        <v>Monitoraggio attivo</v>
      </c>
      <c r="E7" s="13">
        <f>IF($A7="","",COUNTIF('04_Componenti'!$B$4:$B$1000,$A7))</f>
        <v>7</v>
      </c>
      <c r="F7" s="13">
        <f>IF($A7="","",COUNTIF('05_Descrizione'!$B$4:$B$1000,$A7))</f>
        <v>7</v>
      </c>
      <c r="G7" s="13">
        <f>IF($A7="","",COUNTIF('06_Avanzamento'!$B$4:$B$1000,$A7))</f>
        <v>6</v>
      </c>
      <c r="H7" s="13">
        <f>IF($A7="","",COUNTIF('07_TRL_TLR'!$B$4:$B$1000,$A7))</f>
        <v>6</v>
      </c>
      <c r="I7" s="13">
        <f>IF($A7="","",COUNTIF('08_Costi_Compet'!$B$4:$B$1000,$A7))</f>
        <v>6</v>
      </c>
      <c r="J7" s="13">
        <f>IF($A7="","",COUNTIF('09_Settori_Impatto'!$B$4:$B$1000,$A7))</f>
        <v>6</v>
      </c>
      <c r="K7" s="13">
        <f>IF($A7="","",COUNTIF('16_Mercati_Riferimento'!$B$4:$B$1000,$A7))</f>
        <v>0</v>
      </c>
      <c r="L7" s="13">
        <f>IF($A7="","",COUNTIF('10_Sostenibilita'!$B$4:$B$1000,$A7))</f>
        <v>3</v>
      </c>
      <c r="M7" s="63">
        <f>IF($A7="","",COUNTIF('11_Best_Practice'!$B$4:$B$1000,$A7))</f>
        <v>4</v>
      </c>
      <c r="N7" s="63">
        <f>IF($A7="","",COUNTIF('12_Policy_Regolazione'!$B$4:$B$1000,$A7))</f>
        <v>5</v>
      </c>
      <c r="O7" s="63">
        <f>IF($A7="","",COUNTIF('13_Barriere_Opp'!$B$4:$B$1000,$A7))</f>
        <v>6</v>
      </c>
      <c r="P7" s="63">
        <f>IF($A7="","",COUNTIF('14_Attori_Imprese'!$B$4:$B$1000,$A7))</f>
        <v>7</v>
      </c>
      <c r="Q7" s="63">
        <f>IF($A7="","",COUNTIF('15_Prestazioni'!$B$4:$B$1000,$A7))</f>
        <v>8</v>
      </c>
      <c r="R7" s="64">
        <f t="shared" si="0"/>
        <v>0.91666666666666663</v>
      </c>
      <c r="S7" s="65">
        <f>IF($A7="","",IFERROR(AVERAGEIF('07_TRL_TLR'!$B$4:$B$1000,$A7,'07_TRL_TLR'!$F$4:$F$1000),""))</f>
        <v>8</v>
      </c>
      <c r="T7" s="63">
        <f t="shared" si="1"/>
        <v>64</v>
      </c>
      <c r="U7" s="66" t="str">
        <f t="shared" si="2"/>
        <v>Copertura avanzata</v>
      </c>
      <c r="V7" s="66" t="str">
        <f t="shared" si="3"/>
        <v>Presidio adeguato</v>
      </c>
    </row>
    <row r="8" spans="1:22" ht="27.95" customHeight="1">
      <c r="A8" s="13" t="str">
        <f>IF('03_Tecnologie'!A8="","",'03_Tecnologie'!A8)</f>
        <v>T005</v>
      </c>
      <c r="B8" s="13" t="str">
        <f>IF($A8="","",'03_Tecnologie'!D8)</f>
        <v>Solare Termico</v>
      </c>
      <c r="C8" s="13" t="str">
        <f>IF($A8="","",'03_Tecnologie'!B8)</f>
        <v>Rinnovabili</v>
      </c>
      <c r="D8" s="13" t="str">
        <f>IF($A8="","",'03_Tecnologie'!F8)</f>
        <v>Monitoraggio attivo</v>
      </c>
      <c r="E8" s="13">
        <f>IF($A8="","",COUNTIF('04_Componenti'!$B$4:$B$1000,$A8))</f>
        <v>6</v>
      </c>
      <c r="F8" s="13">
        <f>IF($A8="","",COUNTIF('05_Descrizione'!$B$4:$B$1000,$A8))</f>
        <v>6</v>
      </c>
      <c r="G8" s="13">
        <f>IF($A8="","",COUNTIF('06_Avanzamento'!$B$4:$B$1000,$A8))</f>
        <v>6</v>
      </c>
      <c r="H8" s="13">
        <f>IF($A8="","",COUNTIF('07_TRL_TLR'!$B$4:$B$1000,$A8))</f>
        <v>6</v>
      </c>
      <c r="I8" s="13">
        <f>IF($A8="","",COUNTIF('08_Costi_Compet'!$B$4:$B$1000,$A8))</f>
        <v>6</v>
      </c>
      <c r="J8" s="13">
        <f>IF($A8="","",COUNTIF('09_Settori_Impatto'!$B$4:$B$1000,$A8))</f>
        <v>6</v>
      </c>
      <c r="K8" s="13">
        <f>IF($A8="","",COUNTIF('16_Mercati_Riferimento'!$B$4:$B$1000,$A8))</f>
        <v>0</v>
      </c>
      <c r="L8" s="13">
        <f>IF($A8="","",COUNTIF('10_Sostenibilita'!$B$4:$B$1000,$A8))</f>
        <v>3</v>
      </c>
      <c r="M8" s="63">
        <f>IF($A8="","",COUNTIF('11_Best_Practice'!$B$4:$B$1000,$A8))</f>
        <v>4</v>
      </c>
      <c r="N8" s="63">
        <f>IF($A8="","",COUNTIF('12_Policy_Regolazione'!$B$4:$B$1000,$A8))</f>
        <v>5</v>
      </c>
      <c r="O8" s="63">
        <f>IF($A8="","",COUNTIF('13_Barriere_Opp'!$B$4:$B$1000,$A8))</f>
        <v>6</v>
      </c>
      <c r="P8" s="63">
        <f>IF($A8="","",COUNTIF('14_Attori_Imprese'!$B$4:$B$1000,$A8))</f>
        <v>7</v>
      </c>
      <c r="Q8" s="63">
        <f>IF($A8="","",COUNTIF('15_Prestazioni'!$B$4:$B$1000,$A8))</f>
        <v>8</v>
      </c>
      <c r="R8" s="64">
        <f t="shared" si="0"/>
        <v>0.91666666666666663</v>
      </c>
      <c r="S8" s="65">
        <f>IF($A8="","",IFERROR(AVERAGEIF('07_TRL_TLR'!$B$4:$B$1000,$A8,'07_TRL_TLR'!$F$4:$F$1000),""))</f>
        <v>8.1666666666666661</v>
      </c>
      <c r="T8" s="63">
        <f t="shared" si="1"/>
        <v>63</v>
      </c>
      <c r="U8" s="66" t="str">
        <f t="shared" si="2"/>
        <v>Copertura avanzata</v>
      </c>
      <c r="V8" s="66" t="str">
        <f t="shared" si="3"/>
        <v>Presidio adeguato</v>
      </c>
    </row>
    <row r="9" spans="1:22" ht="27.95" customHeight="1">
      <c r="A9" s="13" t="str">
        <f>IF('03_Tecnologie'!A9="","",'03_Tecnologie'!A9)</f>
        <v>T006</v>
      </c>
      <c r="B9" s="13" t="str">
        <f>IF($A9="","",'03_Tecnologie'!D9)</f>
        <v>Eolico</v>
      </c>
      <c r="C9" s="13" t="str">
        <f>IF($A9="","",'03_Tecnologie'!B9)</f>
        <v>Rinnovabili</v>
      </c>
      <c r="D9" s="13" t="str">
        <f>IF($A9="","",'03_Tecnologie'!F9)</f>
        <v>Monitoraggio attivo</v>
      </c>
      <c r="E9" s="13">
        <f>IF($A9="","",COUNTIF('04_Componenti'!$B$4:$B$1000,$A9))</f>
        <v>7</v>
      </c>
      <c r="F9" s="13">
        <f>IF($A9="","",COUNTIF('05_Descrizione'!$B$4:$B$1000,$A9))</f>
        <v>6</v>
      </c>
      <c r="G9" s="13">
        <f>IF($A9="","",COUNTIF('06_Avanzamento'!$B$4:$B$1000,$A9))</f>
        <v>6</v>
      </c>
      <c r="H9" s="13">
        <f>IF($A9="","",COUNTIF('07_TRL_TLR'!$B$4:$B$1000,$A9))</f>
        <v>6</v>
      </c>
      <c r="I9" s="13">
        <f>IF($A9="","",COUNTIF('08_Costi_Compet'!$B$4:$B$1000,$A9))</f>
        <v>6</v>
      </c>
      <c r="J9" s="13">
        <f>IF($A9="","",COUNTIF('09_Settori_Impatto'!$B$4:$B$1000,$A9))</f>
        <v>6</v>
      </c>
      <c r="K9" s="13">
        <f>IF($A9="","",COUNTIF('16_Mercati_Riferimento'!$B$4:$B$1000,$A9))</f>
        <v>0</v>
      </c>
      <c r="L9" s="13">
        <f>IF($A9="","",COUNTIF('10_Sostenibilita'!$B$4:$B$1000,$A9))</f>
        <v>3</v>
      </c>
      <c r="M9" s="63">
        <f>IF($A9="","",COUNTIF('11_Best_Practice'!$B$4:$B$1000,$A9))</f>
        <v>4</v>
      </c>
      <c r="N9" s="63">
        <f>IF($A9="","",COUNTIF('12_Policy_Regolazione'!$B$4:$B$1000,$A9))</f>
        <v>5</v>
      </c>
      <c r="O9" s="63">
        <f>IF($A9="","",COUNTIF('13_Barriere_Opp'!$B$4:$B$1000,$A9))</f>
        <v>6</v>
      </c>
      <c r="P9" s="63">
        <f>IF($A9="","",COUNTIF('14_Attori_Imprese'!$B$4:$B$1000,$A9))</f>
        <v>7</v>
      </c>
      <c r="Q9" s="63">
        <f>IF($A9="","",COUNTIF('15_Prestazioni'!$B$4:$B$1000,$A9))</f>
        <v>8</v>
      </c>
      <c r="R9" s="64">
        <f t="shared" si="0"/>
        <v>0.91666666666666663</v>
      </c>
      <c r="S9" s="65">
        <f>IF($A9="","",IFERROR(AVERAGEIF('07_TRL_TLR'!$B$4:$B$1000,$A9,'07_TRL_TLR'!$F$4:$F$1000),""))</f>
        <v>8.6666666666666661</v>
      </c>
      <c r="T9" s="63">
        <f t="shared" si="1"/>
        <v>63</v>
      </c>
      <c r="U9" s="66" t="str">
        <f t="shared" si="2"/>
        <v>Copertura avanzata</v>
      </c>
      <c r="V9" s="66" t="str">
        <f t="shared" si="3"/>
        <v>Presidio adeguato</v>
      </c>
    </row>
    <row r="10" spans="1:22" ht="27.95" customHeight="1">
      <c r="A10" s="13" t="str">
        <f>IF('03_Tecnologie'!A10="","",'03_Tecnologie'!A10)</f>
        <v>T007</v>
      </c>
      <c r="B10" s="13" t="str">
        <f>IF($A10="","",'03_Tecnologie'!D10)</f>
        <v>Idroelettrico</v>
      </c>
      <c r="C10" s="13" t="str">
        <f>IF($A10="","",'03_Tecnologie'!B10)</f>
        <v>Rinnovabili</v>
      </c>
      <c r="D10" s="13" t="str">
        <f>IF($A10="","",'03_Tecnologie'!F10)</f>
        <v>Monitoraggio attivo</v>
      </c>
      <c r="E10" s="13">
        <f>IF($A10="","",COUNTIF('04_Componenti'!$B$4:$B$1000,$A10))</f>
        <v>6</v>
      </c>
      <c r="F10" s="13">
        <f>IF($A10="","",COUNTIF('05_Descrizione'!$B$4:$B$1000,$A10))</f>
        <v>6</v>
      </c>
      <c r="G10" s="13">
        <f>IF($A10="","",COUNTIF('06_Avanzamento'!$B$4:$B$1000,$A10))</f>
        <v>6</v>
      </c>
      <c r="H10" s="13">
        <f>IF($A10="","",COUNTIF('07_TRL_TLR'!$B$4:$B$1000,$A10))</f>
        <v>6</v>
      </c>
      <c r="I10" s="13">
        <f>IF($A10="","",COUNTIF('08_Costi_Compet'!$B$4:$B$1000,$A10))</f>
        <v>6</v>
      </c>
      <c r="J10" s="13">
        <f>IF($A10="","",COUNTIF('09_Settori_Impatto'!$B$4:$B$1000,$A10))</f>
        <v>6</v>
      </c>
      <c r="K10" s="13">
        <f>IF($A10="","",COUNTIF('16_Mercati_Riferimento'!$B$4:$B$1000,$A10))</f>
        <v>0</v>
      </c>
      <c r="L10" s="13">
        <f>IF($A10="","",COUNTIF('10_Sostenibilita'!$B$4:$B$1000,$A10))</f>
        <v>3</v>
      </c>
      <c r="M10" s="63">
        <f>IF($A10="","",COUNTIF('11_Best_Practice'!$B$4:$B$1000,$A10))</f>
        <v>4</v>
      </c>
      <c r="N10" s="63">
        <f>IF($A10="","",COUNTIF('12_Policy_Regolazione'!$B$4:$B$1000,$A10))</f>
        <v>5</v>
      </c>
      <c r="O10" s="63">
        <f>IF($A10="","",COUNTIF('13_Barriere_Opp'!$B$4:$B$1000,$A10))</f>
        <v>6</v>
      </c>
      <c r="P10" s="63">
        <f>IF($A10="","",COUNTIF('14_Attori_Imprese'!$B$4:$B$1000,$A10))</f>
        <v>7</v>
      </c>
      <c r="Q10" s="63">
        <f>IF($A10="","",COUNTIF('15_Prestazioni'!$B$4:$B$1000,$A10))</f>
        <v>8</v>
      </c>
      <c r="R10" s="64">
        <f t="shared" si="0"/>
        <v>0.91666666666666663</v>
      </c>
      <c r="S10" s="65">
        <f>IF($A10="","",IFERROR(AVERAGEIF('07_TRL_TLR'!$B$4:$B$1000,$A10,'07_TRL_TLR'!$F$4:$F$1000),""))</f>
        <v>8.8333333333333339</v>
      </c>
      <c r="T10" s="63">
        <f t="shared" si="1"/>
        <v>63</v>
      </c>
      <c r="U10" s="66" t="str">
        <f t="shared" si="2"/>
        <v>Copertura avanzata</v>
      </c>
      <c r="V10" s="66" t="str">
        <f t="shared" si="3"/>
        <v>Presidio adeguato</v>
      </c>
    </row>
    <row r="11" spans="1:22" ht="27.95" customHeight="1">
      <c r="A11" s="13" t="str">
        <f>IF('03_Tecnologie'!A11="","",'03_Tecnologie'!A11)</f>
        <v>T008</v>
      </c>
      <c r="B11" s="13" t="str">
        <f>IF($A11="","",'03_Tecnologie'!D11)</f>
        <v>Biomasse</v>
      </c>
      <c r="C11" s="13" t="str">
        <f>IF($A11="","",'03_Tecnologie'!B11)</f>
        <v>Rinnovabili</v>
      </c>
      <c r="D11" s="13" t="str">
        <f>IF($A11="","",'03_Tecnologie'!F11)</f>
        <v>Monitoraggio attivo</v>
      </c>
      <c r="E11" s="13">
        <f>IF($A11="","",COUNTIF('04_Componenti'!$B$4:$B$1000,$A11))</f>
        <v>6</v>
      </c>
      <c r="F11" s="13">
        <f>IF($A11="","",COUNTIF('05_Descrizione'!$B$4:$B$1000,$A11))</f>
        <v>6</v>
      </c>
      <c r="G11" s="13">
        <f>IF($A11="","",COUNTIF('06_Avanzamento'!$B$4:$B$1000,$A11))</f>
        <v>6</v>
      </c>
      <c r="H11" s="13">
        <f>IF($A11="","",COUNTIF('07_TRL_TLR'!$B$4:$B$1000,$A11))</f>
        <v>6</v>
      </c>
      <c r="I11" s="13">
        <f>IF($A11="","",COUNTIF('08_Costi_Compet'!$B$4:$B$1000,$A11))</f>
        <v>6</v>
      </c>
      <c r="J11" s="13">
        <f>IF($A11="","",COUNTIF('09_Settori_Impatto'!$B$4:$B$1000,$A11))</f>
        <v>6</v>
      </c>
      <c r="K11" s="13">
        <f>IF($A11="","",COUNTIF('16_Mercati_Riferimento'!$B$4:$B$1000,$A11))</f>
        <v>0</v>
      </c>
      <c r="L11" s="13">
        <f>IF($A11="","",COUNTIF('10_Sostenibilita'!$B$4:$B$1000,$A11))</f>
        <v>3</v>
      </c>
      <c r="M11" s="63">
        <f>IF($A11="","",COUNTIF('11_Best_Practice'!$B$4:$B$1000,$A11))</f>
        <v>4</v>
      </c>
      <c r="N11" s="63">
        <f>IF($A11="","",COUNTIF('12_Policy_Regolazione'!$B$4:$B$1000,$A11))</f>
        <v>5</v>
      </c>
      <c r="O11" s="63">
        <f>IF($A11="","",COUNTIF('13_Barriere_Opp'!$B$4:$B$1000,$A11))</f>
        <v>6</v>
      </c>
      <c r="P11" s="63">
        <f>IF($A11="","",COUNTIF('14_Attori_Imprese'!$B$4:$B$1000,$A11))</f>
        <v>7</v>
      </c>
      <c r="Q11" s="63">
        <f>IF($A11="","",COUNTIF('15_Prestazioni'!$B$4:$B$1000,$A11))</f>
        <v>8</v>
      </c>
      <c r="R11" s="64">
        <f t="shared" si="0"/>
        <v>0.91666666666666663</v>
      </c>
      <c r="S11" s="65">
        <f>IF($A11="","",IFERROR(AVERAGEIF('07_TRL_TLR'!$B$4:$B$1000,$A11,'07_TRL_TLR'!$F$4:$F$1000),""))</f>
        <v>8.1666666666666661</v>
      </c>
      <c r="T11" s="63">
        <f t="shared" si="1"/>
        <v>63</v>
      </c>
      <c r="U11" s="66" t="str">
        <f t="shared" si="2"/>
        <v>Copertura avanzata</v>
      </c>
      <c r="V11" s="66" t="str">
        <f t="shared" si="3"/>
        <v>Presidio adeguato</v>
      </c>
    </row>
    <row r="12" spans="1:22" ht="27.95" customHeight="1">
      <c r="A12" s="13" t="str">
        <f>IF('03_Tecnologie'!A12="","",'03_Tecnologie'!A12)</f>
        <v>T009</v>
      </c>
      <c r="B12" s="13" t="str">
        <f>IF($A12="","",'03_Tecnologie'!D12)</f>
        <v>Geotermico</v>
      </c>
      <c r="C12" s="13" t="str">
        <f>IF($A12="","",'03_Tecnologie'!B12)</f>
        <v>Rinnovabili</v>
      </c>
      <c r="D12" s="13" t="str">
        <f>IF($A12="","",'03_Tecnologie'!F12)</f>
        <v>Monitoraggio attivo</v>
      </c>
      <c r="E12" s="13">
        <f>IF($A12="","",COUNTIF('04_Componenti'!$B$4:$B$1000,$A12))</f>
        <v>6</v>
      </c>
      <c r="F12" s="13">
        <f>IF($A12="","",COUNTIF('05_Descrizione'!$B$4:$B$1000,$A12))</f>
        <v>6</v>
      </c>
      <c r="G12" s="13">
        <f>IF($A12="","",COUNTIF('06_Avanzamento'!$B$4:$B$1000,$A12))</f>
        <v>6</v>
      </c>
      <c r="H12" s="13">
        <f>IF($A12="","",COUNTIF('07_TRL_TLR'!$B$4:$B$1000,$A12))</f>
        <v>6</v>
      </c>
      <c r="I12" s="13">
        <f>IF($A12="","",COUNTIF('08_Costi_Compet'!$B$4:$B$1000,$A12))</f>
        <v>6</v>
      </c>
      <c r="J12" s="13">
        <f>IF($A12="","",COUNTIF('09_Settori_Impatto'!$B$4:$B$1000,$A12))</f>
        <v>6</v>
      </c>
      <c r="K12" s="13">
        <f>IF($A12="","",COUNTIF('16_Mercati_Riferimento'!$B$4:$B$1000,$A12))</f>
        <v>0</v>
      </c>
      <c r="L12" s="13">
        <f>IF($A12="","",COUNTIF('10_Sostenibilita'!$B$4:$B$1000,$A12))</f>
        <v>3</v>
      </c>
      <c r="M12" s="63">
        <f>IF($A12="","",COUNTIF('11_Best_Practice'!$B$4:$B$1000,$A12))</f>
        <v>4</v>
      </c>
      <c r="N12" s="63">
        <f>IF($A12="","",COUNTIF('12_Policy_Regolazione'!$B$4:$B$1000,$A12))</f>
        <v>5</v>
      </c>
      <c r="O12" s="63">
        <f>IF($A12="","",COUNTIF('13_Barriere_Opp'!$B$4:$B$1000,$A12))</f>
        <v>6</v>
      </c>
      <c r="P12" s="63">
        <f>IF($A12="","",COUNTIF('14_Attori_Imprese'!$B$4:$B$1000,$A12))</f>
        <v>7</v>
      </c>
      <c r="Q12" s="63">
        <f>IF($A12="","",COUNTIF('15_Prestazioni'!$B$4:$B$1000,$A12))</f>
        <v>8</v>
      </c>
      <c r="R12" s="64">
        <f t="shared" si="0"/>
        <v>0.91666666666666663</v>
      </c>
      <c r="S12" s="65">
        <f>IF($A12="","",IFERROR(AVERAGEIF('07_TRL_TLR'!$B$4:$B$1000,$A12,'07_TRL_TLR'!$F$4:$F$1000),""))</f>
        <v>7.333333333333333</v>
      </c>
      <c r="T12" s="63">
        <f t="shared" si="1"/>
        <v>63</v>
      </c>
      <c r="U12" s="66" t="str">
        <f t="shared" si="2"/>
        <v>Copertura avanzata</v>
      </c>
      <c r="V12" s="66" t="str">
        <f t="shared" si="3"/>
        <v>Presidio adeguato</v>
      </c>
    </row>
    <row r="13" spans="1:22" ht="27.95" customHeight="1">
      <c r="A13" s="13" t="str">
        <f>IF('03_Tecnologie'!A13="","",'03_Tecnologie'!A13)</f>
        <v>T010</v>
      </c>
      <c r="B13" s="13" t="str">
        <f>IF($A13="","",'03_Tecnologie'!D13)</f>
        <v>Nucleare da fissione</v>
      </c>
      <c r="C13" s="13" t="str">
        <f>IF($A13="","",'03_Tecnologie'!B13)</f>
        <v>Basse emissioni / transitorie</v>
      </c>
      <c r="D13" s="13" t="str">
        <f>IF($A13="","",'03_Tecnologie'!F13)</f>
        <v>Monitoraggio attivo</v>
      </c>
      <c r="E13" s="13">
        <f>IF($A13="","",COUNTIF('04_Componenti'!$B$4:$B$1000,$A13))</f>
        <v>6</v>
      </c>
      <c r="F13" s="13">
        <f>IF($A13="","",COUNTIF('05_Descrizione'!$B$4:$B$1000,$A13))</f>
        <v>6</v>
      </c>
      <c r="G13" s="13">
        <f>IF($A13="","",COUNTIF('06_Avanzamento'!$B$4:$B$1000,$A13))</f>
        <v>6</v>
      </c>
      <c r="H13" s="13">
        <f>IF($A13="","",COUNTIF('07_TRL_TLR'!$B$4:$B$1000,$A13))</f>
        <v>6</v>
      </c>
      <c r="I13" s="13">
        <f>IF($A13="","",COUNTIF('08_Costi_Compet'!$B$4:$B$1000,$A13))</f>
        <v>6</v>
      </c>
      <c r="J13" s="13">
        <f>IF($A13="","",COUNTIF('09_Settori_Impatto'!$B$4:$B$1000,$A13))</f>
        <v>6</v>
      </c>
      <c r="K13" s="13">
        <f>IF($A13="","",COUNTIF('16_Mercati_Riferimento'!$B$4:$B$1000,$A13))</f>
        <v>0</v>
      </c>
      <c r="L13" s="13">
        <f>IF($A13="","",COUNTIF('10_Sostenibilita'!$B$4:$B$1000,$A13))</f>
        <v>3</v>
      </c>
      <c r="M13" s="63">
        <f>IF($A13="","",COUNTIF('11_Best_Practice'!$B$4:$B$1000,$A13))</f>
        <v>4</v>
      </c>
      <c r="N13" s="63">
        <f>IF($A13="","",COUNTIF('12_Policy_Regolazione'!$B$4:$B$1000,$A13))</f>
        <v>5</v>
      </c>
      <c r="O13" s="63">
        <f>IF($A13="","",COUNTIF('13_Barriere_Opp'!$B$4:$B$1000,$A13))</f>
        <v>6</v>
      </c>
      <c r="P13" s="63">
        <f>IF($A13="","",COUNTIF('14_Attori_Imprese'!$B$4:$B$1000,$A13))</f>
        <v>7</v>
      </c>
      <c r="Q13" s="63">
        <f>IF($A13="","",COUNTIF('15_Prestazioni'!$B$4:$B$1000,$A13))</f>
        <v>8</v>
      </c>
      <c r="R13" s="64">
        <f t="shared" si="0"/>
        <v>0.91666666666666663</v>
      </c>
      <c r="S13" s="65">
        <f>IF($A13="","",IFERROR(AVERAGEIF('07_TRL_TLR'!$B$4:$B$1000,$A13,'07_TRL_TLR'!$F$4:$F$1000),""))</f>
        <v>8</v>
      </c>
      <c r="T13" s="63">
        <f t="shared" si="1"/>
        <v>63</v>
      </c>
      <c r="U13" s="66" t="str">
        <f t="shared" si="2"/>
        <v>Copertura avanzata</v>
      </c>
      <c r="V13" s="66" t="str">
        <f t="shared" si="3"/>
        <v>Presidio adeguato</v>
      </c>
    </row>
    <row r="14" spans="1:22" ht="27.95" customHeight="1">
      <c r="A14" s="13" t="str">
        <f>IF('03_Tecnologie'!A14="","",'03_Tecnologie'!A14)</f>
        <v>T011</v>
      </c>
      <c r="B14" s="13" t="str">
        <f>IF($A14="","",'03_Tecnologie'!D14)</f>
        <v>Idrogeno verde</v>
      </c>
      <c r="C14" s="13" t="str">
        <f>IF($A14="","",'03_Tecnologie'!B14)</f>
        <v>Vettori innovativi</v>
      </c>
      <c r="D14" s="13" t="str">
        <f>IF($A14="","",'03_Tecnologie'!F14)</f>
        <v>Prioritaria</v>
      </c>
      <c r="E14" s="13">
        <f>IF($A14="","",COUNTIF('04_Componenti'!$B$4:$B$1000,$A14))</f>
        <v>7</v>
      </c>
      <c r="F14" s="13">
        <f>IF($A14="","",COUNTIF('05_Descrizione'!$B$4:$B$1000,$A14))</f>
        <v>6</v>
      </c>
      <c r="G14" s="13">
        <f>IF($A14="","",COUNTIF('06_Avanzamento'!$B$4:$B$1000,$A14))</f>
        <v>6</v>
      </c>
      <c r="H14" s="13">
        <f>IF($A14="","",COUNTIF('07_TRL_TLR'!$B$4:$B$1000,$A14))</f>
        <v>6</v>
      </c>
      <c r="I14" s="13">
        <f>IF($A14="","",COUNTIF('08_Costi_Compet'!$B$4:$B$1000,$A14))</f>
        <v>6</v>
      </c>
      <c r="J14" s="13">
        <f>IF($A14="","",COUNTIF('09_Settori_Impatto'!$B$4:$B$1000,$A14))</f>
        <v>6</v>
      </c>
      <c r="K14" s="13">
        <f>IF($A14="","",COUNTIF('16_Mercati_Riferimento'!$B$4:$B$1000,$A14))</f>
        <v>0</v>
      </c>
      <c r="L14" s="13">
        <f>IF($A14="","",COUNTIF('10_Sostenibilita'!$B$4:$B$1000,$A14))</f>
        <v>3</v>
      </c>
      <c r="M14" s="63">
        <f>IF($A14="","",COUNTIF('11_Best_Practice'!$B$4:$B$1000,$A14))</f>
        <v>4</v>
      </c>
      <c r="N14" s="63">
        <f>IF($A14="","",COUNTIF('12_Policy_Regolazione'!$B$4:$B$1000,$A14))</f>
        <v>5</v>
      </c>
      <c r="O14" s="63">
        <f>IF($A14="","",COUNTIF('13_Barriere_Opp'!$B$4:$B$1000,$A14))</f>
        <v>6</v>
      </c>
      <c r="P14" s="63">
        <f>IF($A14="","",COUNTIF('14_Attori_Imprese'!$B$4:$B$1000,$A14))</f>
        <v>7</v>
      </c>
      <c r="Q14" s="63">
        <f>IF($A14="","",COUNTIF('15_Prestazioni'!$B$4:$B$1000,$A14))</f>
        <v>8</v>
      </c>
      <c r="R14" s="64">
        <f t="shared" si="0"/>
        <v>0.91666666666666663</v>
      </c>
      <c r="S14" s="65">
        <f>IF($A14="","",IFERROR(AVERAGEIF('07_TRL_TLR'!$B$4:$B$1000,$A14,'07_TRL_TLR'!$F$4:$F$1000),""))</f>
        <v>7.666666666666667</v>
      </c>
      <c r="T14" s="63">
        <f t="shared" si="1"/>
        <v>63</v>
      </c>
      <c r="U14" s="66" t="str">
        <f t="shared" si="2"/>
        <v>Copertura avanzata</v>
      </c>
      <c r="V14" s="66" t="str">
        <f t="shared" si="3"/>
        <v>Presidio adeguato</v>
      </c>
    </row>
    <row r="15" spans="1:22" ht="27.95" customHeight="1">
      <c r="A15" s="13" t="str">
        <f>IF('03_Tecnologie'!A15="","",'03_Tecnologie'!A15)</f>
        <v>T012</v>
      </c>
      <c r="B15" s="13">
        <f>IF($A15="","",'03_Tecnologie'!D15)</f>
        <v>0</v>
      </c>
      <c r="C15" s="13" t="str">
        <f>IF($A15="","",'03_Tecnologie'!B15)</f>
        <v>Rinnovabili</v>
      </c>
      <c r="D15" s="13">
        <f>IF($A15="","",'03_Tecnologie'!F15)</f>
        <v>0</v>
      </c>
      <c r="E15" s="13">
        <f>IF($A15="","",COUNTIF('04_Componenti'!$B$4:$B$1000,$A15))</f>
        <v>0</v>
      </c>
      <c r="F15" s="13">
        <f>IF($A15="","",COUNTIF('05_Descrizione'!$B$4:$B$1000,$A15))</f>
        <v>0</v>
      </c>
      <c r="G15" s="13">
        <f>IF($A15="","",COUNTIF('06_Avanzamento'!$B$4:$B$1000,$A15))</f>
        <v>0</v>
      </c>
      <c r="H15" s="13">
        <f>IF($A15="","",COUNTIF('07_TRL_TLR'!$B$4:$B$1000,$A15))</f>
        <v>0</v>
      </c>
      <c r="I15" s="13">
        <f>IF($A15="","",COUNTIF('08_Costi_Compet'!$B$4:$B$1000,$A15))</f>
        <v>0</v>
      </c>
      <c r="J15" s="13">
        <f>IF($A15="","",COUNTIF('09_Settori_Impatto'!$B$4:$B$1000,$A15))</f>
        <v>0</v>
      </c>
      <c r="K15" s="13">
        <f>IF($A15="","",COUNTIF('16_Mercati_Riferimento'!$B$4:$B$1000,$A15))</f>
        <v>0</v>
      </c>
      <c r="L15" s="13">
        <f>IF($A15="","",COUNTIF('10_Sostenibilita'!$B$4:$B$1000,$A15))</f>
        <v>0</v>
      </c>
      <c r="M15" s="63">
        <f>IF($A15="","",COUNTIF('11_Best_Practice'!$B$4:$B$1000,$A15))</f>
        <v>0</v>
      </c>
      <c r="N15" s="63">
        <f>IF($A15="","",COUNTIF('12_Policy_Regolazione'!$B$4:$B$1000,$A15))</f>
        <v>0</v>
      </c>
      <c r="O15" s="63">
        <f>IF($A15="","",COUNTIF('13_Barriere_Opp'!$B$4:$B$1000,$A15))</f>
        <v>0</v>
      </c>
      <c r="P15" s="63">
        <f>IF($A15="","",COUNTIF('14_Attori_Imprese'!$B$4:$B$1000,$A15))</f>
        <v>0</v>
      </c>
      <c r="Q15" s="63">
        <f>IF($A15="","",COUNTIF('15_Prestazioni'!$B$4:$B$1000,$A15))</f>
        <v>0</v>
      </c>
      <c r="R15" s="64">
        <f t="shared" si="0"/>
        <v>0</v>
      </c>
      <c r="S15" s="65" t="str">
        <f>IF($A15="","",IFERROR(AVERAGEIF('07_TRL_TLR'!$B$4:$B$1000,$A15,'07_TRL_TLR'!$F$4:$F$1000),""))</f>
        <v/>
      </c>
      <c r="T15" s="63">
        <f t="shared" si="1"/>
        <v>0</v>
      </c>
      <c r="U15" s="66" t="str">
        <f t="shared" si="2"/>
        <v>Da avviare</v>
      </c>
      <c r="V15" s="66" t="str">
        <f t="shared" si="3"/>
        <v>Da avviare</v>
      </c>
    </row>
    <row r="16" spans="1:22">
      <c r="A16" s="67" t="str">
        <f>IF('03_Tecnologie'!A16="","",'03_Tecnologie'!A16)</f>
        <v/>
      </c>
      <c r="B16" s="67" t="str">
        <f>IF($A16="","",'03_Tecnologie'!D16)</f>
        <v/>
      </c>
      <c r="C16" s="67" t="str">
        <f>IF($A16="","",'03_Tecnologie'!B16)</f>
        <v/>
      </c>
      <c r="D16" s="67" t="str">
        <f>IF($A16="","",'03_Tecnologie'!F16)</f>
        <v/>
      </c>
      <c r="E16" s="63" t="str">
        <f>IF($A16="","",COUNTIF('04_Componenti'!$B$4:$B$1000,$A16))</f>
        <v/>
      </c>
      <c r="F16" s="63" t="str">
        <f>IF($A16="","",COUNTIF('05_Descrizione'!$B$4:$B$1000,$A16))</f>
        <v/>
      </c>
      <c r="G16" s="63" t="str">
        <f>IF($A16="","",COUNTIF('06_Avanzamento'!$B$4:$B$1000,$A16))</f>
        <v/>
      </c>
      <c r="H16" s="63" t="str">
        <f>IF($A16="","",COUNTIF('07_TRL_TLR'!$B$4:$B$1000,$A16))</f>
        <v/>
      </c>
      <c r="I16" s="63" t="str">
        <f>IF($A16="","",COUNTIF('08_Costi_Compet'!$B$4:$B$1000,$A16))</f>
        <v/>
      </c>
      <c r="J16" s="63" t="str">
        <f>IF($A16="","",COUNTIF('09_Settori_Impatto'!$B$4:$B$1000,$A16))</f>
        <v/>
      </c>
      <c r="K16" s="63" t="str">
        <f>IF($A16="","",COUNTIF('16_Mercati_Riferimento'!$B$4:$B$1000,$A16))</f>
        <v/>
      </c>
      <c r="L16" s="22" t="str">
        <f>IF($A16="","",COUNTIF('10_Sostenibilita'!$B$4:$B$1000,$A16))</f>
        <v/>
      </c>
      <c r="M16" s="63" t="str">
        <f>IF($A16="","",COUNTIF('11_Best_Practice'!$B$4:$B$1000,$A16))</f>
        <v/>
      </c>
      <c r="N16" s="63" t="str">
        <f>IF($A16="","",COUNTIF('12_Policy_Regolazione'!$B$4:$B$1000,$A16))</f>
        <v/>
      </c>
      <c r="O16" s="63" t="str">
        <f>IF($A16="","",COUNTIF('13_Barriere_Opp'!$B$4:$B$1000,$A16))</f>
        <v/>
      </c>
      <c r="P16" s="63" t="str">
        <f>IF($A16="","",COUNTIF('14_Attori_Imprese'!$B$4:$B$1000,$A16))</f>
        <v/>
      </c>
      <c r="Q16" s="63" t="str">
        <f>IF($A16="","",COUNTIF('15_Prestazioni'!$B$4:$B$1000,$A16))</f>
        <v/>
      </c>
      <c r="R16" s="64" t="str">
        <f t="shared" si="0"/>
        <v/>
      </c>
      <c r="S16" s="65" t="str">
        <f>IF($A16="","",IFERROR(AVERAGEIF('07_TRL_TLR'!$B$4:$B$1000,$A16,'07_TRL_TLR'!$F$4:$F$1000),""))</f>
        <v/>
      </c>
      <c r="T16" s="63" t="str">
        <f t="shared" si="1"/>
        <v/>
      </c>
      <c r="U16" s="66" t="str">
        <f t="shared" si="2"/>
        <v/>
      </c>
      <c r="V16" s="66" t="str">
        <f t="shared" si="3"/>
        <v/>
      </c>
    </row>
    <row r="17" spans="1:22">
      <c r="A17" s="67" t="str">
        <f>IF('03_Tecnologie'!A17="","",'03_Tecnologie'!A17)</f>
        <v/>
      </c>
      <c r="B17" s="67" t="str">
        <f>IF($A17="","",'03_Tecnologie'!D17)</f>
        <v/>
      </c>
      <c r="C17" s="67" t="str">
        <f>IF($A17="","",'03_Tecnologie'!B17)</f>
        <v/>
      </c>
      <c r="D17" s="67" t="str">
        <f>IF($A17="","",'03_Tecnologie'!F17)</f>
        <v/>
      </c>
      <c r="E17" s="63" t="str">
        <f>IF($A17="","",COUNTIF('04_Componenti'!$B$4:$B$1000,$A17))</f>
        <v/>
      </c>
      <c r="F17" s="63" t="str">
        <f>IF($A17="","",COUNTIF('05_Descrizione'!$B$4:$B$1000,$A17))</f>
        <v/>
      </c>
      <c r="G17" s="63" t="str">
        <f>IF($A17="","",COUNTIF('06_Avanzamento'!$B$4:$B$1000,$A17))</f>
        <v/>
      </c>
      <c r="H17" s="63" t="str">
        <f>IF($A17="","",COUNTIF('07_TRL_TLR'!$B$4:$B$1000,$A17))</f>
        <v/>
      </c>
      <c r="I17" s="63" t="str">
        <f>IF($A17="","",COUNTIF('08_Costi_Compet'!$B$4:$B$1000,$A17))</f>
        <v/>
      </c>
      <c r="J17" s="63" t="str">
        <f>IF($A17="","",COUNTIF('09_Settori_Impatto'!$B$4:$B$1000,$A17))</f>
        <v/>
      </c>
      <c r="K17" s="63" t="str">
        <f>IF($A17="","",COUNTIF('16_Mercati_Riferimento'!$B$4:$B$1000,$A17))</f>
        <v/>
      </c>
      <c r="L17" s="22" t="str">
        <f>IF($A17="","",COUNTIF('10_Sostenibilita'!$B$4:$B$1000,$A17))</f>
        <v/>
      </c>
      <c r="M17" s="63" t="str">
        <f>IF($A17="","",COUNTIF('11_Best_Practice'!$B$4:$B$1000,$A17))</f>
        <v/>
      </c>
      <c r="N17" s="63" t="str">
        <f>IF($A17="","",COUNTIF('12_Policy_Regolazione'!$B$4:$B$1000,$A17))</f>
        <v/>
      </c>
      <c r="O17" s="63" t="str">
        <f>IF($A17="","",COUNTIF('13_Barriere_Opp'!$B$4:$B$1000,$A17))</f>
        <v/>
      </c>
      <c r="P17" s="63" t="str">
        <f>IF($A17="","",COUNTIF('14_Attori_Imprese'!$B$4:$B$1000,$A17))</f>
        <v/>
      </c>
      <c r="Q17" s="63" t="str">
        <f>IF($A17="","",COUNTIF('15_Prestazioni'!$B$4:$B$1000,$A17))</f>
        <v/>
      </c>
      <c r="R17" s="64" t="str">
        <f t="shared" si="0"/>
        <v/>
      </c>
      <c r="S17" s="65" t="str">
        <f>IF($A17="","",IFERROR(AVERAGEIF('07_TRL_TLR'!$B$4:$B$1000,$A17,'07_TRL_TLR'!$F$4:$F$1000),""))</f>
        <v/>
      </c>
      <c r="T17" s="63" t="str">
        <f t="shared" si="1"/>
        <v/>
      </c>
      <c r="U17" s="66" t="str">
        <f t="shared" si="2"/>
        <v/>
      </c>
      <c r="V17" s="66" t="str">
        <f t="shared" si="3"/>
        <v/>
      </c>
    </row>
    <row r="18" spans="1:22">
      <c r="A18" s="67" t="str">
        <f>IF('03_Tecnologie'!A18="","",'03_Tecnologie'!A18)</f>
        <v/>
      </c>
      <c r="B18" s="67" t="str">
        <f>IF($A18="","",'03_Tecnologie'!D18)</f>
        <v/>
      </c>
      <c r="C18" s="67" t="str">
        <f>IF($A18="","",'03_Tecnologie'!B18)</f>
        <v/>
      </c>
      <c r="D18" s="67" t="str">
        <f>IF($A18="","",'03_Tecnologie'!F18)</f>
        <v/>
      </c>
      <c r="E18" s="63" t="str">
        <f>IF($A18="","",COUNTIF('04_Componenti'!$B$4:$B$1000,$A18))</f>
        <v/>
      </c>
      <c r="F18" s="63" t="str">
        <f>IF($A18="","",COUNTIF('05_Descrizione'!$B$4:$B$1000,$A18))</f>
        <v/>
      </c>
      <c r="G18" s="63" t="str">
        <f>IF($A18="","",COUNTIF('06_Avanzamento'!$B$4:$B$1000,$A18))</f>
        <v/>
      </c>
      <c r="H18" s="63" t="str">
        <f>IF($A18="","",COUNTIF('07_TRL_TLR'!$B$4:$B$1000,$A18))</f>
        <v/>
      </c>
      <c r="I18" s="63" t="str">
        <f>IF($A18="","",COUNTIF('08_Costi_Compet'!$B$4:$B$1000,$A18))</f>
        <v/>
      </c>
      <c r="J18" s="63" t="str">
        <f>IF($A18="","",COUNTIF('09_Settori_Impatto'!$B$4:$B$1000,$A18))</f>
        <v/>
      </c>
      <c r="K18" s="63" t="str">
        <f>IF($A18="","",COUNTIF('16_Mercati_Riferimento'!$B$4:$B$1000,$A18))</f>
        <v/>
      </c>
      <c r="L18" s="22" t="str">
        <f>IF($A18="","",COUNTIF('10_Sostenibilita'!$B$4:$B$1000,$A18))</f>
        <v/>
      </c>
      <c r="M18" s="63" t="str">
        <f>IF($A18="","",COUNTIF('11_Best_Practice'!$B$4:$B$1000,$A18))</f>
        <v/>
      </c>
      <c r="N18" s="63" t="str">
        <f>IF($A18="","",COUNTIF('12_Policy_Regolazione'!$B$4:$B$1000,$A18))</f>
        <v/>
      </c>
      <c r="O18" s="63" t="str">
        <f>IF($A18="","",COUNTIF('13_Barriere_Opp'!$B$4:$B$1000,$A18))</f>
        <v/>
      </c>
      <c r="P18" s="63" t="str">
        <f>IF($A18="","",COUNTIF('14_Attori_Imprese'!$B$4:$B$1000,$A18))</f>
        <v/>
      </c>
      <c r="Q18" s="63" t="str">
        <f>IF($A18="","",COUNTIF('15_Prestazioni'!$B$4:$B$1000,$A18))</f>
        <v/>
      </c>
      <c r="R18" s="64" t="str">
        <f t="shared" si="0"/>
        <v/>
      </c>
      <c r="S18" s="65" t="str">
        <f>IF($A18="","",IFERROR(AVERAGEIF('07_TRL_TLR'!$B$4:$B$1000,$A18,'07_TRL_TLR'!$F$4:$F$1000),""))</f>
        <v/>
      </c>
      <c r="T18" s="63" t="str">
        <f t="shared" si="1"/>
        <v/>
      </c>
      <c r="U18" s="66" t="str">
        <f t="shared" si="2"/>
        <v/>
      </c>
      <c r="V18" s="66" t="str">
        <f t="shared" si="3"/>
        <v/>
      </c>
    </row>
    <row r="19" spans="1:22">
      <c r="A19" s="67" t="str">
        <f>IF('03_Tecnologie'!A19="","",'03_Tecnologie'!A19)</f>
        <v/>
      </c>
      <c r="B19" s="67" t="str">
        <f>IF($A19="","",'03_Tecnologie'!D19)</f>
        <v/>
      </c>
      <c r="C19" s="67" t="str">
        <f>IF($A19="","",'03_Tecnologie'!B19)</f>
        <v/>
      </c>
      <c r="D19" s="67" t="str">
        <f>IF($A19="","",'03_Tecnologie'!F19)</f>
        <v/>
      </c>
      <c r="E19" s="63" t="str">
        <f>IF($A19="","",COUNTIF('04_Componenti'!$B$4:$B$1000,$A19))</f>
        <v/>
      </c>
      <c r="F19" s="63" t="str">
        <f>IF($A19="","",COUNTIF('05_Descrizione'!$B$4:$B$1000,$A19))</f>
        <v/>
      </c>
      <c r="G19" s="63" t="str">
        <f>IF($A19="","",COUNTIF('06_Avanzamento'!$B$4:$B$1000,$A19))</f>
        <v/>
      </c>
      <c r="H19" s="63" t="str">
        <f>IF($A19="","",COUNTIF('07_TRL_TLR'!$B$4:$B$1000,$A19))</f>
        <v/>
      </c>
      <c r="I19" s="63" t="str">
        <f>IF($A19="","",COUNTIF('08_Costi_Compet'!$B$4:$B$1000,$A19))</f>
        <v/>
      </c>
      <c r="J19" s="63" t="str">
        <f>IF($A19="","",COUNTIF('09_Settori_Impatto'!$B$4:$B$1000,$A19))</f>
        <v/>
      </c>
      <c r="K19" s="63" t="str">
        <f>IF($A19="","",COUNTIF('16_Mercati_Riferimento'!$B$4:$B$1000,$A19))</f>
        <v/>
      </c>
      <c r="L19" s="22" t="str">
        <f>IF($A19="","",COUNTIF('10_Sostenibilita'!$B$4:$B$1000,$A19))</f>
        <v/>
      </c>
      <c r="M19" s="63" t="str">
        <f>IF($A19="","",COUNTIF('11_Best_Practice'!$B$4:$B$1000,$A19))</f>
        <v/>
      </c>
      <c r="N19" s="63" t="str">
        <f>IF($A19="","",COUNTIF('12_Policy_Regolazione'!$B$4:$B$1000,$A19))</f>
        <v/>
      </c>
      <c r="O19" s="63" t="str">
        <f>IF($A19="","",COUNTIF('13_Barriere_Opp'!$B$4:$B$1000,$A19))</f>
        <v/>
      </c>
      <c r="P19" s="63" t="str">
        <f>IF($A19="","",COUNTIF('14_Attori_Imprese'!$B$4:$B$1000,$A19))</f>
        <v/>
      </c>
      <c r="Q19" s="63" t="str">
        <f>IF($A19="","",COUNTIF('15_Prestazioni'!$B$4:$B$1000,$A19))</f>
        <v/>
      </c>
      <c r="R19" s="64" t="str">
        <f t="shared" si="0"/>
        <v/>
      </c>
      <c r="S19" s="65" t="str">
        <f>IF($A19="","",IFERROR(AVERAGEIF('07_TRL_TLR'!$B$4:$B$1000,$A19,'07_TRL_TLR'!$F$4:$F$1000),""))</f>
        <v/>
      </c>
      <c r="T19" s="63" t="str">
        <f t="shared" si="1"/>
        <v/>
      </c>
      <c r="U19" s="66" t="str">
        <f t="shared" si="2"/>
        <v/>
      </c>
      <c r="V19" s="66" t="str">
        <f t="shared" si="3"/>
        <v/>
      </c>
    </row>
    <row r="20" spans="1:22">
      <c r="A20" s="67" t="str">
        <f>IF('03_Tecnologie'!A20="","",'03_Tecnologie'!A20)</f>
        <v/>
      </c>
      <c r="B20" s="67" t="str">
        <f>IF($A20="","",'03_Tecnologie'!D20)</f>
        <v/>
      </c>
      <c r="C20" s="67" t="str">
        <f>IF($A20="","",'03_Tecnologie'!B20)</f>
        <v/>
      </c>
      <c r="D20" s="67" t="str">
        <f>IF($A20="","",'03_Tecnologie'!F20)</f>
        <v/>
      </c>
      <c r="E20" s="63" t="str">
        <f>IF($A20="","",COUNTIF('04_Componenti'!$B$4:$B$1000,$A20))</f>
        <v/>
      </c>
      <c r="F20" s="63" t="str">
        <f>IF($A20="","",COUNTIF('05_Descrizione'!$B$4:$B$1000,$A20))</f>
        <v/>
      </c>
      <c r="G20" s="63" t="str">
        <f>IF($A20="","",COUNTIF('06_Avanzamento'!$B$4:$B$1000,$A20))</f>
        <v/>
      </c>
      <c r="H20" s="63" t="str">
        <f>IF($A20="","",COUNTIF('07_TRL_TLR'!$B$4:$B$1000,$A20))</f>
        <v/>
      </c>
      <c r="I20" s="63" t="str">
        <f>IF($A20="","",COUNTIF('08_Costi_Compet'!$B$4:$B$1000,$A20))</f>
        <v/>
      </c>
      <c r="J20" s="63" t="str">
        <f>IF($A20="","",COUNTIF('09_Settori_Impatto'!$B$4:$B$1000,$A20))</f>
        <v/>
      </c>
      <c r="K20" s="63" t="str">
        <f>IF($A20="","",COUNTIF('16_Mercati_Riferimento'!$B$4:$B$1000,$A20))</f>
        <v/>
      </c>
      <c r="L20" s="22" t="str">
        <f>IF($A20="","",COUNTIF('10_Sostenibilita'!$B$4:$B$1000,$A20))</f>
        <v/>
      </c>
      <c r="M20" s="63" t="str">
        <f>IF($A20="","",COUNTIF('11_Best_Practice'!$B$4:$B$1000,$A20))</f>
        <v/>
      </c>
      <c r="N20" s="63" t="str">
        <f>IF($A20="","",COUNTIF('12_Policy_Regolazione'!$B$4:$B$1000,$A20))</f>
        <v/>
      </c>
      <c r="O20" s="63" t="str">
        <f>IF($A20="","",COUNTIF('13_Barriere_Opp'!$B$4:$B$1000,$A20))</f>
        <v/>
      </c>
      <c r="P20" s="63" t="str">
        <f>IF($A20="","",COUNTIF('14_Attori_Imprese'!$B$4:$B$1000,$A20))</f>
        <v/>
      </c>
      <c r="Q20" s="63" t="str">
        <f>IF($A20="","",COUNTIF('15_Prestazioni'!$B$4:$B$1000,$A20))</f>
        <v/>
      </c>
      <c r="R20" s="64" t="str">
        <f t="shared" si="0"/>
        <v/>
      </c>
      <c r="S20" s="65" t="str">
        <f>IF($A20="","",IFERROR(AVERAGEIF('07_TRL_TLR'!$B$4:$B$1000,$A20,'07_TRL_TLR'!$F$4:$F$1000),""))</f>
        <v/>
      </c>
      <c r="T20" s="63" t="str">
        <f t="shared" si="1"/>
        <v/>
      </c>
      <c r="U20" s="66" t="str">
        <f t="shared" si="2"/>
        <v/>
      </c>
      <c r="V20" s="66" t="str">
        <f t="shared" si="3"/>
        <v/>
      </c>
    </row>
    <row r="21" spans="1:22">
      <c r="A21" s="67" t="str">
        <f>IF('03_Tecnologie'!A21="","",'03_Tecnologie'!A21)</f>
        <v/>
      </c>
      <c r="B21" s="67" t="str">
        <f>IF($A21="","",'03_Tecnologie'!D21)</f>
        <v/>
      </c>
      <c r="C21" s="67" t="str">
        <f>IF($A21="","",'03_Tecnologie'!B21)</f>
        <v/>
      </c>
      <c r="D21" s="67" t="str">
        <f>IF($A21="","",'03_Tecnologie'!F21)</f>
        <v/>
      </c>
      <c r="E21" s="63" t="str">
        <f>IF($A21="","",COUNTIF('04_Componenti'!$B$4:$B$1000,$A21))</f>
        <v/>
      </c>
      <c r="F21" s="63" t="str">
        <f>IF($A21="","",COUNTIF('05_Descrizione'!$B$4:$B$1000,$A21))</f>
        <v/>
      </c>
      <c r="G21" s="63" t="str">
        <f>IF($A21="","",COUNTIF('06_Avanzamento'!$B$4:$B$1000,$A21))</f>
        <v/>
      </c>
      <c r="H21" s="63" t="str">
        <f>IF($A21="","",COUNTIF('07_TRL_TLR'!$B$4:$B$1000,$A21))</f>
        <v/>
      </c>
      <c r="I21" s="63" t="str">
        <f>IF($A21="","",COUNTIF('08_Costi_Compet'!$B$4:$B$1000,$A21))</f>
        <v/>
      </c>
      <c r="J21" s="63" t="str">
        <f>IF($A21="","",COUNTIF('09_Settori_Impatto'!$B$4:$B$1000,$A21))</f>
        <v/>
      </c>
      <c r="K21" s="63" t="str">
        <f>IF($A21="","",COUNTIF('16_Mercati_Riferimento'!$B$4:$B$1000,$A21))</f>
        <v/>
      </c>
      <c r="L21" s="22" t="str">
        <f>IF($A21="","",COUNTIF('10_Sostenibilita'!$B$4:$B$1000,$A21))</f>
        <v/>
      </c>
      <c r="M21" s="63" t="str">
        <f>IF($A21="","",COUNTIF('11_Best_Practice'!$B$4:$B$1000,$A21))</f>
        <v/>
      </c>
      <c r="N21" s="63" t="str">
        <f>IF($A21="","",COUNTIF('12_Policy_Regolazione'!$B$4:$B$1000,$A21))</f>
        <v/>
      </c>
      <c r="O21" s="63" t="str">
        <f>IF($A21="","",COUNTIF('13_Barriere_Opp'!$B$4:$B$1000,$A21))</f>
        <v/>
      </c>
      <c r="P21" s="63" t="str">
        <f>IF($A21="","",COUNTIF('14_Attori_Imprese'!$B$4:$B$1000,$A21))</f>
        <v/>
      </c>
      <c r="Q21" s="63" t="str">
        <f>IF($A21="","",COUNTIF('15_Prestazioni'!$B$4:$B$1000,$A21))</f>
        <v/>
      </c>
      <c r="R21" s="64" t="str">
        <f t="shared" si="0"/>
        <v/>
      </c>
      <c r="S21" s="65" t="str">
        <f>IF($A21="","",IFERROR(AVERAGEIF('07_TRL_TLR'!$B$4:$B$1000,$A21,'07_TRL_TLR'!$F$4:$F$1000),""))</f>
        <v/>
      </c>
      <c r="T21" s="63" t="str">
        <f t="shared" si="1"/>
        <v/>
      </c>
      <c r="U21" s="66" t="str">
        <f t="shared" si="2"/>
        <v/>
      </c>
      <c r="V21" s="66" t="str">
        <f t="shared" si="3"/>
        <v/>
      </c>
    </row>
    <row r="22" spans="1:22">
      <c r="A22" s="67" t="str">
        <f>IF('03_Tecnologie'!A22="","",'03_Tecnologie'!A22)</f>
        <v/>
      </c>
      <c r="B22" s="67" t="str">
        <f>IF($A22="","",'03_Tecnologie'!D22)</f>
        <v/>
      </c>
      <c r="C22" s="67" t="str">
        <f>IF($A22="","",'03_Tecnologie'!B22)</f>
        <v/>
      </c>
      <c r="D22" s="67" t="str">
        <f>IF($A22="","",'03_Tecnologie'!F22)</f>
        <v/>
      </c>
      <c r="E22" s="63" t="str">
        <f>IF($A22="","",COUNTIF('04_Componenti'!$B$4:$B$1000,$A22))</f>
        <v/>
      </c>
      <c r="F22" s="63" t="str">
        <f>IF($A22="","",COUNTIF('05_Descrizione'!$B$4:$B$1000,$A22))</f>
        <v/>
      </c>
      <c r="G22" s="63" t="str">
        <f>IF($A22="","",COUNTIF('06_Avanzamento'!$B$4:$B$1000,$A22))</f>
        <v/>
      </c>
      <c r="H22" s="63" t="str">
        <f>IF($A22="","",COUNTIF('07_TRL_TLR'!$B$4:$B$1000,$A22))</f>
        <v/>
      </c>
      <c r="I22" s="63" t="str">
        <f>IF($A22="","",COUNTIF('08_Costi_Compet'!$B$4:$B$1000,$A22))</f>
        <v/>
      </c>
      <c r="J22" s="63" t="str">
        <f>IF($A22="","",COUNTIF('09_Settori_Impatto'!$B$4:$B$1000,$A22))</f>
        <v/>
      </c>
      <c r="K22" s="63" t="str">
        <f>IF($A22="","",COUNTIF('16_Mercati_Riferimento'!$B$4:$B$1000,$A22))</f>
        <v/>
      </c>
      <c r="L22" s="22" t="str">
        <f>IF($A22="","",COUNTIF('10_Sostenibilita'!$B$4:$B$1000,$A22))</f>
        <v/>
      </c>
      <c r="M22" s="63" t="str">
        <f>IF($A22="","",COUNTIF('11_Best_Practice'!$B$4:$B$1000,$A22))</f>
        <v/>
      </c>
      <c r="N22" s="63" t="str">
        <f>IF($A22="","",COUNTIF('12_Policy_Regolazione'!$B$4:$B$1000,$A22))</f>
        <v/>
      </c>
      <c r="O22" s="63" t="str">
        <f>IF($A22="","",COUNTIF('13_Barriere_Opp'!$B$4:$B$1000,$A22))</f>
        <v/>
      </c>
      <c r="P22" s="63" t="str">
        <f>IF($A22="","",COUNTIF('14_Attori_Imprese'!$B$4:$B$1000,$A22))</f>
        <v/>
      </c>
      <c r="Q22" s="63" t="str">
        <f>IF($A22="","",COUNTIF('15_Prestazioni'!$B$4:$B$1000,$A22))</f>
        <v/>
      </c>
      <c r="R22" s="64" t="str">
        <f t="shared" si="0"/>
        <v/>
      </c>
      <c r="S22" s="65" t="str">
        <f>IF($A22="","",IFERROR(AVERAGEIF('07_TRL_TLR'!$B$4:$B$1000,$A22,'07_TRL_TLR'!$F$4:$F$1000),""))</f>
        <v/>
      </c>
      <c r="T22" s="63" t="str">
        <f t="shared" si="1"/>
        <v/>
      </c>
      <c r="U22" s="66" t="str">
        <f t="shared" si="2"/>
        <v/>
      </c>
      <c r="V22" s="66" t="str">
        <f t="shared" si="3"/>
        <v/>
      </c>
    </row>
    <row r="23" spans="1:22">
      <c r="A23" s="67" t="str">
        <f>IF('03_Tecnologie'!A23="","",'03_Tecnologie'!A23)</f>
        <v/>
      </c>
      <c r="B23" s="67" t="str">
        <f>IF($A23="","",'03_Tecnologie'!D23)</f>
        <v/>
      </c>
      <c r="C23" s="67" t="str">
        <f>IF($A23="","",'03_Tecnologie'!B23)</f>
        <v/>
      </c>
      <c r="D23" s="67" t="str">
        <f>IF($A23="","",'03_Tecnologie'!F23)</f>
        <v/>
      </c>
      <c r="E23" s="63" t="str">
        <f>IF($A23="","",COUNTIF('04_Componenti'!$B$4:$B$1000,$A23))</f>
        <v/>
      </c>
      <c r="F23" s="63" t="str">
        <f>IF($A23="","",COUNTIF('05_Descrizione'!$B$4:$B$1000,$A23))</f>
        <v/>
      </c>
      <c r="G23" s="63" t="str">
        <f>IF($A23="","",COUNTIF('06_Avanzamento'!$B$4:$B$1000,$A23))</f>
        <v/>
      </c>
      <c r="H23" s="63" t="str">
        <f>IF($A23="","",COUNTIF('07_TRL_TLR'!$B$4:$B$1000,$A23))</f>
        <v/>
      </c>
      <c r="I23" s="63" t="str">
        <f>IF($A23="","",COUNTIF('08_Costi_Compet'!$B$4:$B$1000,$A23))</f>
        <v/>
      </c>
      <c r="J23" s="63" t="str">
        <f>IF($A23="","",COUNTIF('09_Settori_Impatto'!$B$4:$B$1000,$A23))</f>
        <v/>
      </c>
      <c r="K23" s="63" t="str">
        <f>IF($A23="","",COUNTIF('16_Mercati_Riferimento'!$B$4:$B$1000,$A23))</f>
        <v/>
      </c>
      <c r="L23" s="22" t="str">
        <f>IF($A23="","",COUNTIF('10_Sostenibilita'!$B$4:$B$1000,$A23))</f>
        <v/>
      </c>
      <c r="M23" s="63" t="str">
        <f>IF($A23="","",COUNTIF('11_Best_Practice'!$B$4:$B$1000,$A23))</f>
        <v/>
      </c>
      <c r="N23" s="63" t="str">
        <f>IF($A23="","",COUNTIF('12_Policy_Regolazione'!$B$4:$B$1000,$A23))</f>
        <v/>
      </c>
      <c r="O23" s="63" t="str">
        <f>IF($A23="","",COUNTIF('13_Barriere_Opp'!$B$4:$B$1000,$A23))</f>
        <v/>
      </c>
      <c r="P23" s="63" t="str">
        <f>IF($A23="","",COUNTIF('14_Attori_Imprese'!$B$4:$B$1000,$A23))</f>
        <v/>
      </c>
      <c r="Q23" s="63" t="str">
        <f>IF($A23="","",COUNTIF('15_Prestazioni'!$B$4:$B$1000,$A23))</f>
        <v/>
      </c>
      <c r="R23" s="64" t="str">
        <f t="shared" si="0"/>
        <v/>
      </c>
      <c r="S23" s="65" t="str">
        <f>IF($A23="","",IFERROR(AVERAGEIF('07_TRL_TLR'!$B$4:$B$1000,$A23,'07_TRL_TLR'!$F$4:$F$1000),""))</f>
        <v/>
      </c>
      <c r="T23" s="63" t="str">
        <f t="shared" si="1"/>
        <v/>
      </c>
      <c r="U23" s="66" t="str">
        <f t="shared" si="2"/>
        <v/>
      </c>
      <c r="V23" s="66" t="str">
        <f t="shared" si="3"/>
        <v/>
      </c>
    </row>
    <row r="24" spans="1:22">
      <c r="A24" s="67" t="str">
        <f>IF('03_Tecnologie'!A24="","",'03_Tecnologie'!A24)</f>
        <v/>
      </c>
      <c r="B24" s="67" t="str">
        <f>IF($A24="","",'03_Tecnologie'!D24)</f>
        <v/>
      </c>
      <c r="C24" s="67" t="str">
        <f>IF($A24="","",'03_Tecnologie'!B24)</f>
        <v/>
      </c>
      <c r="D24" s="67" t="str">
        <f>IF($A24="","",'03_Tecnologie'!F24)</f>
        <v/>
      </c>
      <c r="E24" s="63" t="str">
        <f>IF($A24="","",COUNTIF('04_Componenti'!$B$4:$B$1000,$A24))</f>
        <v/>
      </c>
      <c r="F24" s="63" t="str">
        <f>IF($A24="","",COUNTIF('05_Descrizione'!$B$4:$B$1000,$A24))</f>
        <v/>
      </c>
      <c r="G24" s="63" t="str">
        <f>IF($A24="","",COUNTIF('06_Avanzamento'!$B$4:$B$1000,$A24))</f>
        <v/>
      </c>
      <c r="H24" s="63" t="str">
        <f>IF($A24="","",COUNTIF('07_TRL_TLR'!$B$4:$B$1000,$A24))</f>
        <v/>
      </c>
      <c r="I24" s="63" t="str">
        <f>IF($A24="","",COUNTIF('08_Costi_Compet'!$B$4:$B$1000,$A24))</f>
        <v/>
      </c>
      <c r="J24" s="63" t="str">
        <f>IF($A24="","",COUNTIF('09_Settori_Impatto'!$B$4:$B$1000,$A24))</f>
        <v/>
      </c>
      <c r="K24" s="63" t="str">
        <f>IF($A24="","",COUNTIF('16_Mercati_Riferimento'!$B$4:$B$1000,$A24))</f>
        <v/>
      </c>
      <c r="L24" s="22" t="str">
        <f>IF($A24="","",COUNTIF('10_Sostenibilita'!$B$4:$B$1000,$A24))</f>
        <v/>
      </c>
      <c r="M24" s="63" t="str">
        <f>IF($A24="","",COUNTIF('11_Best_Practice'!$B$4:$B$1000,$A24))</f>
        <v/>
      </c>
      <c r="N24" s="63" t="str">
        <f>IF($A24="","",COUNTIF('12_Policy_Regolazione'!$B$4:$B$1000,$A24))</f>
        <v/>
      </c>
      <c r="O24" s="63" t="str">
        <f>IF($A24="","",COUNTIF('13_Barriere_Opp'!$B$4:$B$1000,$A24))</f>
        <v/>
      </c>
      <c r="P24" s="63" t="str">
        <f>IF($A24="","",COUNTIF('14_Attori_Imprese'!$B$4:$B$1000,$A24))</f>
        <v/>
      </c>
      <c r="Q24" s="63" t="str">
        <f>IF($A24="","",COUNTIF('15_Prestazioni'!$B$4:$B$1000,$A24))</f>
        <v/>
      </c>
      <c r="R24" s="64" t="str">
        <f t="shared" si="0"/>
        <v/>
      </c>
      <c r="S24" s="65" t="str">
        <f>IF($A24="","",IFERROR(AVERAGEIF('07_TRL_TLR'!$B$4:$B$1000,$A24,'07_TRL_TLR'!$F$4:$F$1000),""))</f>
        <v/>
      </c>
      <c r="T24" s="63" t="str">
        <f t="shared" si="1"/>
        <v/>
      </c>
      <c r="U24" s="66" t="str">
        <f t="shared" si="2"/>
        <v/>
      </c>
      <c r="V24" s="66" t="str">
        <f t="shared" si="3"/>
        <v/>
      </c>
    </row>
    <row r="25" spans="1:22">
      <c r="A25" s="67" t="str">
        <f>IF('03_Tecnologie'!A25="","",'03_Tecnologie'!A25)</f>
        <v/>
      </c>
      <c r="B25" s="67" t="str">
        <f>IF($A25="","",'03_Tecnologie'!D25)</f>
        <v/>
      </c>
      <c r="C25" s="67" t="str">
        <f>IF($A25="","",'03_Tecnologie'!B25)</f>
        <v/>
      </c>
      <c r="D25" s="67" t="str">
        <f>IF($A25="","",'03_Tecnologie'!F25)</f>
        <v/>
      </c>
      <c r="E25" s="63" t="str">
        <f>IF($A25="","",COUNTIF('04_Componenti'!$B$4:$B$1000,$A25))</f>
        <v/>
      </c>
      <c r="F25" s="63" t="str">
        <f>IF($A25="","",COUNTIF('05_Descrizione'!$B$4:$B$1000,$A25))</f>
        <v/>
      </c>
      <c r="G25" s="63" t="str">
        <f>IF($A25="","",COUNTIF('06_Avanzamento'!$B$4:$B$1000,$A25))</f>
        <v/>
      </c>
      <c r="H25" s="63" t="str">
        <f>IF($A25="","",COUNTIF('07_TRL_TLR'!$B$4:$B$1000,$A25))</f>
        <v/>
      </c>
      <c r="I25" s="63" t="str">
        <f>IF($A25="","",COUNTIF('08_Costi_Compet'!$B$4:$B$1000,$A25))</f>
        <v/>
      </c>
      <c r="J25" s="63" t="str">
        <f>IF($A25="","",COUNTIF('09_Settori_Impatto'!$B$4:$B$1000,$A25))</f>
        <v/>
      </c>
      <c r="K25" s="63" t="str">
        <f>IF($A25="","",COUNTIF('16_Mercati_Riferimento'!$B$4:$B$1000,$A25))</f>
        <v/>
      </c>
      <c r="L25" s="22" t="str">
        <f>IF($A25="","",COUNTIF('10_Sostenibilita'!$B$4:$B$1000,$A25))</f>
        <v/>
      </c>
      <c r="M25" s="63" t="str">
        <f>IF($A25="","",COUNTIF('11_Best_Practice'!$B$4:$B$1000,$A25))</f>
        <v/>
      </c>
      <c r="N25" s="63" t="str">
        <f>IF($A25="","",COUNTIF('12_Policy_Regolazione'!$B$4:$B$1000,$A25))</f>
        <v/>
      </c>
      <c r="O25" s="63" t="str">
        <f>IF($A25="","",COUNTIF('13_Barriere_Opp'!$B$4:$B$1000,$A25))</f>
        <v/>
      </c>
      <c r="P25" s="63" t="str">
        <f>IF($A25="","",COUNTIF('14_Attori_Imprese'!$B$4:$B$1000,$A25))</f>
        <v/>
      </c>
      <c r="Q25" s="63" t="str">
        <f>IF($A25="","",COUNTIF('15_Prestazioni'!$B$4:$B$1000,$A25))</f>
        <v/>
      </c>
      <c r="R25" s="64" t="str">
        <f t="shared" si="0"/>
        <v/>
      </c>
      <c r="S25" s="65" t="str">
        <f>IF($A25="","",IFERROR(AVERAGEIF('07_TRL_TLR'!$B$4:$B$1000,$A25,'07_TRL_TLR'!$F$4:$F$1000),""))</f>
        <v/>
      </c>
      <c r="T25" s="63" t="str">
        <f t="shared" si="1"/>
        <v/>
      </c>
      <c r="U25" s="66" t="str">
        <f t="shared" si="2"/>
        <v/>
      </c>
      <c r="V25" s="66" t="str">
        <f t="shared" si="3"/>
        <v/>
      </c>
    </row>
    <row r="26" spans="1:22">
      <c r="A26" s="67" t="str">
        <f>IF('03_Tecnologie'!A26="","",'03_Tecnologie'!A26)</f>
        <v/>
      </c>
      <c r="B26" s="67" t="str">
        <f>IF($A26="","",'03_Tecnologie'!D26)</f>
        <v/>
      </c>
      <c r="C26" s="67" t="str">
        <f>IF($A26="","",'03_Tecnologie'!B26)</f>
        <v/>
      </c>
      <c r="D26" s="67" t="str">
        <f>IF($A26="","",'03_Tecnologie'!F26)</f>
        <v/>
      </c>
      <c r="E26" s="63" t="str">
        <f>IF($A26="","",COUNTIF('04_Componenti'!$B$4:$B$1000,$A26))</f>
        <v/>
      </c>
      <c r="F26" s="63" t="str">
        <f>IF($A26="","",COUNTIF('05_Descrizione'!$B$4:$B$1000,$A26))</f>
        <v/>
      </c>
      <c r="G26" s="63" t="str">
        <f>IF($A26="","",COUNTIF('06_Avanzamento'!$B$4:$B$1000,$A26))</f>
        <v/>
      </c>
      <c r="H26" s="63" t="str">
        <f>IF($A26="","",COUNTIF('07_TRL_TLR'!$B$4:$B$1000,$A26))</f>
        <v/>
      </c>
      <c r="I26" s="63" t="str">
        <f>IF($A26="","",COUNTIF('08_Costi_Compet'!$B$4:$B$1000,$A26))</f>
        <v/>
      </c>
      <c r="J26" s="63" t="str">
        <f>IF($A26="","",COUNTIF('09_Settori_Impatto'!$B$4:$B$1000,$A26))</f>
        <v/>
      </c>
      <c r="K26" s="63" t="str">
        <f>IF($A26="","",COUNTIF('16_Mercati_Riferimento'!$B$4:$B$1000,$A26))</f>
        <v/>
      </c>
      <c r="L26" s="22" t="str">
        <f>IF($A26="","",COUNTIF('10_Sostenibilita'!$B$4:$B$1000,$A26))</f>
        <v/>
      </c>
      <c r="M26" s="63" t="str">
        <f>IF($A26="","",COUNTIF('11_Best_Practice'!$B$4:$B$1000,$A26))</f>
        <v/>
      </c>
      <c r="N26" s="63" t="str">
        <f>IF($A26="","",COUNTIF('12_Policy_Regolazione'!$B$4:$B$1000,$A26))</f>
        <v/>
      </c>
      <c r="O26" s="63" t="str">
        <f>IF($A26="","",COUNTIF('13_Barriere_Opp'!$B$4:$B$1000,$A26))</f>
        <v/>
      </c>
      <c r="P26" s="63" t="str">
        <f>IF($A26="","",COUNTIF('14_Attori_Imprese'!$B$4:$B$1000,$A26))</f>
        <v/>
      </c>
      <c r="Q26" s="63" t="str">
        <f>IF($A26="","",COUNTIF('15_Prestazioni'!$B$4:$B$1000,$A26))</f>
        <v/>
      </c>
      <c r="R26" s="64" t="str">
        <f t="shared" si="0"/>
        <v/>
      </c>
      <c r="S26" s="65" t="str">
        <f>IF($A26="","",IFERROR(AVERAGEIF('07_TRL_TLR'!$B$4:$B$1000,$A26,'07_TRL_TLR'!$F$4:$F$1000),""))</f>
        <v/>
      </c>
      <c r="T26" s="63" t="str">
        <f t="shared" si="1"/>
        <v/>
      </c>
      <c r="U26" s="66" t="str">
        <f t="shared" si="2"/>
        <v/>
      </c>
      <c r="V26" s="66" t="str">
        <f t="shared" si="3"/>
        <v/>
      </c>
    </row>
    <row r="27" spans="1:22">
      <c r="A27" s="67" t="str">
        <f>IF('03_Tecnologie'!A27="","",'03_Tecnologie'!A27)</f>
        <v/>
      </c>
      <c r="B27" s="67" t="str">
        <f>IF($A27="","",'03_Tecnologie'!D27)</f>
        <v/>
      </c>
      <c r="C27" s="67" t="str">
        <f>IF($A27="","",'03_Tecnologie'!B27)</f>
        <v/>
      </c>
      <c r="D27" s="67" t="str">
        <f>IF($A27="","",'03_Tecnologie'!F27)</f>
        <v/>
      </c>
      <c r="E27" s="63" t="str">
        <f>IF($A27="","",COUNTIF('04_Componenti'!$B$4:$B$1000,$A27))</f>
        <v/>
      </c>
      <c r="F27" s="63" t="str">
        <f>IF($A27="","",COUNTIF('05_Descrizione'!$B$4:$B$1000,$A27))</f>
        <v/>
      </c>
      <c r="G27" s="63" t="str">
        <f>IF($A27="","",COUNTIF('06_Avanzamento'!$B$4:$B$1000,$A27))</f>
        <v/>
      </c>
      <c r="H27" s="63" t="str">
        <f>IF($A27="","",COUNTIF('07_TRL_TLR'!$B$4:$B$1000,$A27))</f>
        <v/>
      </c>
      <c r="I27" s="63" t="str">
        <f>IF($A27="","",COUNTIF('08_Costi_Compet'!$B$4:$B$1000,$A27))</f>
        <v/>
      </c>
      <c r="J27" s="63" t="str">
        <f>IF($A27="","",COUNTIF('09_Settori_Impatto'!$B$4:$B$1000,$A27))</f>
        <v/>
      </c>
      <c r="K27" s="63" t="str">
        <f>IF($A27="","",COUNTIF('16_Mercati_Riferimento'!$B$4:$B$1000,$A27))</f>
        <v/>
      </c>
      <c r="L27" s="22" t="str">
        <f>IF($A27="","",COUNTIF('10_Sostenibilita'!$B$4:$B$1000,$A27))</f>
        <v/>
      </c>
      <c r="M27" s="63" t="str">
        <f>IF($A27="","",COUNTIF('11_Best_Practice'!$B$4:$B$1000,$A27))</f>
        <v/>
      </c>
      <c r="N27" s="63" t="str">
        <f>IF($A27="","",COUNTIF('12_Policy_Regolazione'!$B$4:$B$1000,$A27))</f>
        <v/>
      </c>
      <c r="O27" s="63" t="str">
        <f>IF($A27="","",COUNTIF('13_Barriere_Opp'!$B$4:$B$1000,$A27))</f>
        <v/>
      </c>
      <c r="P27" s="63" t="str">
        <f>IF($A27="","",COUNTIF('14_Attori_Imprese'!$B$4:$B$1000,$A27))</f>
        <v/>
      </c>
      <c r="Q27" s="63" t="str">
        <f>IF($A27="","",COUNTIF('15_Prestazioni'!$B$4:$B$1000,$A27))</f>
        <v/>
      </c>
      <c r="R27" s="64" t="str">
        <f t="shared" si="0"/>
        <v/>
      </c>
      <c r="S27" s="65" t="str">
        <f>IF($A27="","",IFERROR(AVERAGEIF('07_TRL_TLR'!$B$4:$B$1000,$A27,'07_TRL_TLR'!$F$4:$F$1000),""))</f>
        <v/>
      </c>
      <c r="T27" s="63" t="str">
        <f t="shared" si="1"/>
        <v/>
      </c>
      <c r="U27" s="66" t="str">
        <f t="shared" si="2"/>
        <v/>
      </c>
      <c r="V27" s="66" t="str">
        <f t="shared" si="3"/>
        <v/>
      </c>
    </row>
    <row r="28" spans="1:22">
      <c r="A28" s="67" t="str">
        <f>IF('03_Tecnologie'!A28="","",'03_Tecnologie'!A28)</f>
        <v/>
      </c>
      <c r="B28" s="67" t="str">
        <f>IF($A28="","",'03_Tecnologie'!D28)</f>
        <v/>
      </c>
      <c r="C28" s="67" t="str">
        <f>IF($A28="","",'03_Tecnologie'!B28)</f>
        <v/>
      </c>
      <c r="D28" s="67" t="str">
        <f>IF($A28="","",'03_Tecnologie'!F28)</f>
        <v/>
      </c>
      <c r="E28" s="63" t="str">
        <f>IF($A28="","",COUNTIF('04_Componenti'!$B$4:$B$1000,$A28))</f>
        <v/>
      </c>
      <c r="F28" s="63" t="str">
        <f>IF($A28="","",COUNTIF('05_Descrizione'!$B$4:$B$1000,$A28))</f>
        <v/>
      </c>
      <c r="G28" s="63" t="str">
        <f>IF($A28="","",COUNTIF('06_Avanzamento'!$B$4:$B$1000,$A28))</f>
        <v/>
      </c>
      <c r="H28" s="63" t="str">
        <f>IF($A28="","",COUNTIF('07_TRL_TLR'!$B$4:$B$1000,$A28))</f>
        <v/>
      </c>
      <c r="I28" s="63" t="str">
        <f>IF($A28="","",COUNTIF('08_Costi_Compet'!$B$4:$B$1000,$A28))</f>
        <v/>
      </c>
      <c r="J28" s="63" t="str">
        <f>IF($A28="","",COUNTIF('09_Settori_Impatto'!$B$4:$B$1000,$A28))</f>
        <v/>
      </c>
      <c r="K28" s="63" t="str">
        <f>IF($A28="","",COUNTIF('16_Mercati_Riferimento'!$B$4:$B$1000,$A28))</f>
        <v/>
      </c>
      <c r="L28" s="22" t="str">
        <f>IF($A28="","",COUNTIF('10_Sostenibilita'!$B$4:$B$1000,$A28))</f>
        <v/>
      </c>
      <c r="M28" s="63" t="str">
        <f>IF($A28="","",COUNTIF('11_Best_Practice'!$B$4:$B$1000,$A28))</f>
        <v/>
      </c>
      <c r="N28" s="63" t="str">
        <f>IF($A28="","",COUNTIF('12_Policy_Regolazione'!$B$4:$B$1000,$A28))</f>
        <v/>
      </c>
      <c r="O28" s="63" t="str">
        <f>IF($A28="","",COUNTIF('13_Barriere_Opp'!$B$4:$B$1000,$A28))</f>
        <v/>
      </c>
      <c r="P28" s="63" t="str">
        <f>IF($A28="","",COUNTIF('14_Attori_Imprese'!$B$4:$B$1000,$A28))</f>
        <v/>
      </c>
      <c r="Q28" s="63" t="str">
        <f>IF($A28="","",COUNTIF('15_Prestazioni'!$B$4:$B$1000,$A28))</f>
        <v/>
      </c>
      <c r="R28" s="64" t="str">
        <f t="shared" si="0"/>
        <v/>
      </c>
      <c r="S28" s="65" t="str">
        <f>IF($A28="","",IFERROR(AVERAGEIF('07_TRL_TLR'!$B$4:$B$1000,$A28,'07_TRL_TLR'!$F$4:$F$1000),""))</f>
        <v/>
      </c>
      <c r="T28" s="63" t="str">
        <f t="shared" si="1"/>
        <v/>
      </c>
      <c r="U28" s="66" t="str">
        <f t="shared" si="2"/>
        <v/>
      </c>
      <c r="V28" s="66" t="str">
        <f t="shared" si="3"/>
        <v/>
      </c>
    </row>
    <row r="29" spans="1:22">
      <c r="A29" s="67" t="str">
        <f>IF('03_Tecnologie'!A29="","",'03_Tecnologie'!A29)</f>
        <v/>
      </c>
      <c r="B29" s="67" t="str">
        <f>IF($A29="","",'03_Tecnologie'!D29)</f>
        <v/>
      </c>
      <c r="C29" s="67" t="str">
        <f>IF($A29="","",'03_Tecnologie'!B29)</f>
        <v/>
      </c>
      <c r="D29" s="67" t="str">
        <f>IF($A29="","",'03_Tecnologie'!F29)</f>
        <v/>
      </c>
      <c r="E29" s="63" t="str">
        <f>IF($A29="","",COUNTIF('04_Componenti'!$B$4:$B$1000,$A29))</f>
        <v/>
      </c>
      <c r="F29" s="63" t="str">
        <f>IF($A29="","",COUNTIF('05_Descrizione'!$B$4:$B$1000,$A29))</f>
        <v/>
      </c>
      <c r="G29" s="63" t="str">
        <f>IF($A29="","",COUNTIF('06_Avanzamento'!$B$4:$B$1000,$A29))</f>
        <v/>
      </c>
      <c r="H29" s="63" t="str">
        <f>IF($A29="","",COUNTIF('07_TRL_TLR'!$B$4:$B$1000,$A29))</f>
        <v/>
      </c>
      <c r="I29" s="63" t="str">
        <f>IF($A29="","",COUNTIF('08_Costi_Compet'!$B$4:$B$1000,$A29))</f>
        <v/>
      </c>
      <c r="J29" s="63" t="str">
        <f>IF($A29="","",COUNTIF('09_Settori_Impatto'!$B$4:$B$1000,$A29))</f>
        <v/>
      </c>
      <c r="K29" s="63" t="str">
        <f>IF($A29="","",COUNTIF('16_Mercati_Riferimento'!$B$4:$B$1000,$A29))</f>
        <v/>
      </c>
      <c r="L29" s="22" t="str">
        <f>IF($A29="","",COUNTIF('10_Sostenibilita'!$B$4:$B$1000,$A29))</f>
        <v/>
      </c>
      <c r="M29" s="63" t="str">
        <f>IF($A29="","",COUNTIF('11_Best_Practice'!$B$4:$B$1000,$A29))</f>
        <v/>
      </c>
      <c r="N29" s="63" t="str">
        <f>IF($A29="","",COUNTIF('12_Policy_Regolazione'!$B$4:$B$1000,$A29))</f>
        <v/>
      </c>
      <c r="O29" s="63" t="str">
        <f>IF($A29="","",COUNTIF('13_Barriere_Opp'!$B$4:$B$1000,$A29))</f>
        <v/>
      </c>
      <c r="P29" s="63" t="str">
        <f>IF($A29="","",COUNTIF('14_Attori_Imprese'!$B$4:$B$1000,$A29))</f>
        <v/>
      </c>
      <c r="Q29" s="63" t="str">
        <f>IF($A29="","",COUNTIF('15_Prestazioni'!$B$4:$B$1000,$A29))</f>
        <v/>
      </c>
      <c r="R29" s="64" t="str">
        <f t="shared" si="0"/>
        <v/>
      </c>
      <c r="S29" s="65" t="str">
        <f>IF($A29="","",IFERROR(AVERAGEIF('07_TRL_TLR'!$B$4:$B$1000,$A29,'07_TRL_TLR'!$F$4:$F$1000),""))</f>
        <v/>
      </c>
      <c r="T29" s="63" t="str">
        <f t="shared" si="1"/>
        <v/>
      </c>
      <c r="U29" s="66" t="str">
        <f t="shared" si="2"/>
        <v/>
      </c>
      <c r="V29" s="66" t="str">
        <f t="shared" si="3"/>
        <v/>
      </c>
    </row>
    <row r="30" spans="1:22">
      <c r="A30" s="67" t="str">
        <f>IF('03_Tecnologie'!A30="","",'03_Tecnologie'!A30)</f>
        <v/>
      </c>
      <c r="B30" s="67" t="str">
        <f>IF($A30="","",'03_Tecnologie'!D30)</f>
        <v/>
      </c>
      <c r="C30" s="67" t="str">
        <f>IF($A30="","",'03_Tecnologie'!B30)</f>
        <v/>
      </c>
      <c r="D30" s="67" t="str">
        <f>IF($A30="","",'03_Tecnologie'!F30)</f>
        <v/>
      </c>
      <c r="E30" s="63" t="str">
        <f>IF($A30="","",COUNTIF('04_Componenti'!$B$4:$B$1000,$A30))</f>
        <v/>
      </c>
      <c r="F30" s="63" t="str">
        <f>IF($A30="","",COUNTIF('05_Descrizione'!$B$4:$B$1000,$A30))</f>
        <v/>
      </c>
      <c r="G30" s="63" t="str">
        <f>IF($A30="","",COUNTIF('06_Avanzamento'!$B$4:$B$1000,$A30))</f>
        <v/>
      </c>
      <c r="H30" s="63" t="str">
        <f>IF($A30="","",COUNTIF('07_TRL_TLR'!$B$4:$B$1000,$A30))</f>
        <v/>
      </c>
      <c r="I30" s="63" t="str">
        <f>IF($A30="","",COUNTIF('08_Costi_Compet'!$B$4:$B$1000,$A30))</f>
        <v/>
      </c>
      <c r="J30" s="63" t="str">
        <f>IF($A30="","",COUNTIF('09_Settori_Impatto'!$B$4:$B$1000,$A30))</f>
        <v/>
      </c>
      <c r="K30" s="63" t="str">
        <f>IF($A30="","",COUNTIF('16_Mercati_Riferimento'!$B$4:$B$1000,$A30))</f>
        <v/>
      </c>
      <c r="L30" s="22" t="str">
        <f>IF($A30="","",COUNTIF('10_Sostenibilita'!$B$4:$B$1000,$A30))</f>
        <v/>
      </c>
      <c r="M30" s="63" t="str">
        <f>IF($A30="","",COUNTIF('11_Best_Practice'!$B$4:$B$1000,$A30))</f>
        <v/>
      </c>
      <c r="N30" s="63" t="str">
        <f>IF($A30="","",COUNTIF('12_Policy_Regolazione'!$B$4:$B$1000,$A30))</f>
        <v/>
      </c>
      <c r="O30" s="63" t="str">
        <f>IF($A30="","",COUNTIF('13_Barriere_Opp'!$B$4:$B$1000,$A30))</f>
        <v/>
      </c>
      <c r="P30" s="63" t="str">
        <f>IF($A30="","",COUNTIF('14_Attori_Imprese'!$B$4:$B$1000,$A30))</f>
        <v/>
      </c>
      <c r="Q30" s="63" t="str">
        <f>IF($A30="","",COUNTIF('15_Prestazioni'!$B$4:$B$1000,$A30))</f>
        <v/>
      </c>
      <c r="R30" s="64" t="str">
        <f t="shared" si="0"/>
        <v/>
      </c>
      <c r="S30" s="65" t="str">
        <f>IF($A30="","",IFERROR(AVERAGEIF('07_TRL_TLR'!$B$4:$B$1000,$A30,'07_TRL_TLR'!$F$4:$F$1000),""))</f>
        <v/>
      </c>
      <c r="T30" s="63" t="str">
        <f t="shared" si="1"/>
        <v/>
      </c>
      <c r="U30" s="66" t="str">
        <f t="shared" si="2"/>
        <v/>
      </c>
      <c r="V30" s="66" t="str">
        <f t="shared" si="3"/>
        <v/>
      </c>
    </row>
    <row r="31" spans="1:22">
      <c r="A31" s="67" t="str">
        <f>IF('03_Tecnologie'!A31="","",'03_Tecnologie'!A31)</f>
        <v/>
      </c>
      <c r="B31" s="67" t="str">
        <f>IF($A31="","",'03_Tecnologie'!D31)</f>
        <v/>
      </c>
      <c r="C31" s="67" t="str">
        <f>IF($A31="","",'03_Tecnologie'!B31)</f>
        <v/>
      </c>
      <c r="D31" s="67" t="str">
        <f>IF($A31="","",'03_Tecnologie'!F31)</f>
        <v/>
      </c>
      <c r="E31" s="63" t="str">
        <f>IF($A31="","",COUNTIF('04_Componenti'!$B$4:$B$1000,$A31))</f>
        <v/>
      </c>
      <c r="F31" s="63" t="str">
        <f>IF($A31="","",COUNTIF('05_Descrizione'!$B$4:$B$1000,$A31))</f>
        <v/>
      </c>
      <c r="G31" s="63" t="str">
        <f>IF($A31="","",COUNTIF('06_Avanzamento'!$B$4:$B$1000,$A31))</f>
        <v/>
      </c>
      <c r="H31" s="63" t="str">
        <f>IF($A31="","",COUNTIF('07_TRL_TLR'!$B$4:$B$1000,$A31))</f>
        <v/>
      </c>
      <c r="I31" s="63" t="str">
        <f>IF($A31="","",COUNTIF('08_Costi_Compet'!$B$4:$B$1000,$A31))</f>
        <v/>
      </c>
      <c r="J31" s="63" t="str">
        <f>IF($A31="","",COUNTIF('09_Settori_Impatto'!$B$4:$B$1000,$A31))</f>
        <v/>
      </c>
      <c r="K31" s="63" t="str">
        <f>IF($A31="","",COUNTIF('16_Mercati_Riferimento'!$B$4:$B$1000,$A31))</f>
        <v/>
      </c>
      <c r="L31" s="22" t="str">
        <f>IF($A31="","",COUNTIF('10_Sostenibilita'!$B$4:$B$1000,$A31))</f>
        <v/>
      </c>
      <c r="M31" s="63" t="str">
        <f>IF($A31="","",COUNTIF('11_Best_Practice'!$B$4:$B$1000,$A31))</f>
        <v/>
      </c>
      <c r="N31" s="63" t="str">
        <f>IF($A31="","",COUNTIF('12_Policy_Regolazione'!$B$4:$B$1000,$A31))</f>
        <v/>
      </c>
      <c r="O31" s="63" t="str">
        <f>IF($A31="","",COUNTIF('13_Barriere_Opp'!$B$4:$B$1000,$A31))</f>
        <v/>
      </c>
      <c r="P31" s="63" t="str">
        <f>IF($A31="","",COUNTIF('14_Attori_Imprese'!$B$4:$B$1000,$A31))</f>
        <v/>
      </c>
      <c r="Q31" s="63" t="str">
        <f>IF($A31="","",COUNTIF('15_Prestazioni'!$B$4:$B$1000,$A31))</f>
        <v/>
      </c>
      <c r="R31" s="64" t="str">
        <f t="shared" si="0"/>
        <v/>
      </c>
      <c r="S31" s="65" t="str">
        <f>IF($A31="","",IFERROR(AVERAGEIF('07_TRL_TLR'!$B$4:$B$1000,$A31,'07_TRL_TLR'!$F$4:$F$1000),""))</f>
        <v/>
      </c>
      <c r="T31" s="63" t="str">
        <f t="shared" si="1"/>
        <v/>
      </c>
      <c r="U31" s="66" t="str">
        <f t="shared" si="2"/>
        <v/>
      </c>
      <c r="V31" s="66" t="str">
        <f t="shared" si="3"/>
        <v/>
      </c>
    </row>
    <row r="32" spans="1:22">
      <c r="A32" s="67" t="str">
        <f>IF('03_Tecnologie'!A32="","",'03_Tecnologie'!A32)</f>
        <v/>
      </c>
      <c r="B32" s="67" t="str">
        <f>IF($A32="","",'03_Tecnologie'!D32)</f>
        <v/>
      </c>
      <c r="C32" s="67" t="str">
        <f>IF($A32="","",'03_Tecnologie'!B32)</f>
        <v/>
      </c>
      <c r="D32" s="67" t="str">
        <f>IF($A32="","",'03_Tecnologie'!F32)</f>
        <v/>
      </c>
      <c r="E32" s="63" t="str">
        <f>IF($A32="","",COUNTIF('04_Componenti'!$B$4:$B$1000,$A32))</f>
        <v/>
      </c>
      <c r="F32" s="63" t="str">
        <f>IF($A32="","",COUNTIF('05_Descrizione'!$B$4:$B$1000,$A32))</f>
        <v/>
      </c>
      <c r="G32" s="63" t="str">
        <f>IF($A32="","",COUNTIF('06_Avanzamento'!$B$4:$B$1000,$A32))</f>
        <v/>
      </c>
      <c r="H32" s="63" t="str">
        <f>IF($A32="","",COUNTIF('07_TRL_TLR'!$B$4:$B$1000,$A32))</f>
        <v/>
      </c>
      <c r="I32" s="63" t="str">
        <f>IF($A32="","",COUNTIF('08_Costi_Compet'!$B$4:$B$1000,$A32))</f>
        <v/>
      </c>
      <c r="J32" s="63" t="str">
        <f>IF($A32="","",COUNTIF('09_Settori_Impatto'!$B$4:$B$1000,$A32))</f>
        <v/>
      </c>
      <c r="K32" s="63" t="str">
        <f>IF($A32="","",COUNTIF('16_Mercati_Riferimento'!$B$4:$B$1000,$A32))</f>
        <v/>
      </c>
      <c r="L32" s="22" t="str">
        <f>IF($A32="","",COUNTIF('10_Sostenibilita'!$B$4:$B$1000,$A32))</f>
        <v/>
      </c>
      <c r="M32" s="63" t="str">
        <f>IF($A32="","",COUNTIF('11_Best_Practice'!$B$4:$B$1000,$A32))</f>
        <v/>
      </c>
      <c r="N32" s="63" t="str">
        <f>IF($A32="","",COUNTIF('12_Policy_Regolazione'!$B$4:$B$1000,$A32))</f>
        <v/>
      </c>
      <c r="O32" s="63" t="str">
        <f>IF($A32="","",COUNTIF('13_Barriere_Opp'!$B$4:$B$1000,$A32))</f>
        <v/>
      </c>
      <c r="P32" s="63" t="str">
        <f>IF($A32="","",COUNTIF('14_Attori_Imprese'!$B$4:$B$1000,$A32))</f>
        <v/>
      </c>
      <c r="Q32" s="63" t="str">
        <f>IF($A32="","",COUNTIF('15_Prestazioni'!$B$4:$B$1000,$A32))</f>
        <v/>
      </c>
      <c r="R32" s="64" t="str">
        <f t="shared" si="0"/>
        <v/>
      </c>
      <c r="S32" s="65" t="str">
        <f>IF($A32="","",IFERROR(AVERAGEIF('07_TRL_TLR'!$B$4:$B$1000,$A32,'07_TRL_TLR'!$F$4:$F$1000),""))</f>
        <v/>
      </c>
      <c r="T32" s="63" t="str">
        <f t="shared" si="1"/>
        <v/>
      </c>
      <c r="U32" s="66" t="str">
        <f t="shared" si="2"/>
        <v/>
      </c>
      <c r="V32" s="66" t="str">
        <f t="shared" si="3"/>
        <v/>
      </c>
    </row>
    <row r="33" spans="1:22">
      <c r="A33" s="67" t="str">
        <f>IF('03_Tecnologie'!A33="","",'03_Tecnologie'!A33)</f>
        <v/>
      </c>
      <c r="B33" s="67" t="str">
        <f>IF($A33="","",'03_Tecnologie'!D33)</f>
        <v/>
      </c>
      <c r="C33" s="67" t="str">
        <f>IF($A33="","",'03_Tecnologie'!B33)</f>
        <v/>
      </c>
      <c r="D33" s="67" t="str">
        <f>IF($A33="","",'03_Tecnologie'!F33)</f>
        <v/>
      </c>
      <c r="E33" s="63" t="str">
        <f>IF($A33="","",COUNTIF('04_Componenti'!$B$4:$B$1000,$A33))</f>
        <v/>
      </c>
      <c r="F33" s="63" t="str">
        <f>IF($A33="","",COUNTIF('05_Descrizione'!$B$4:$B$1000,$A33))</f>
        <v/>
      </c>
      <c r="G33" s="63" t="str">
        <f>IF($A33="","",COUNTIF('06_Avanzamento'!$B$4:$B$1000,$A33))</f>
        <v/>
      </c>
      <c r="H33" s="63" t="str">
        <f>IF($A33="","",COUNTIF('07_TRL_TLR'!$B$4:$B$1000,$A33))</f>
        <v/>
      </c>
      <c r="I33" s="63" t="str">
        <f>IF($A33="","",COUNTIF('08_Costi_Compet'!$B$4:$B$1000,$A33))</f>
        <v/>
      </c>
      <c r="J33" s="63" t="str">
        <f>IF($A33="","",COUNTIF('09_Settori_Impatto'!$B$4:$B$1000,$A33))</f>
        <v/>
      </c>
      <c r="K33" s="63" t="str">
        <f>IF($A33="","",COUNTIF('16_Mercati_Riferimento'!$B$4:$B$1000,$A33))</f>
        <v/>
      </c>
      <c r="L33" s="22" t="str">
        <f>IF($A33="","",COUNTIF('10_Sostenibilita'!$B$4:$B$1000,$A33))</f>
        <v/>
      </c>
      <c r="M33" s="63" t="str">
        <f>IF($A33="","",COUNTIF('11_Best_Practice'!$B$4:$B$1000,$A33))</f>
        <v/>
      </c>
      <c r="N33" s="63" t="str">
        <f>IF($A33="","",COUNTIF('12_Policy_Regolazione'!$B$4:$B$1000,$A33))</f>
        <v/>
      </c>
      <c r="O33" s="63" t="str">
        <f>IF($A33="","",COUNTIF('13_Barriere_Opp'!$B$4:$B$1000,$A33))</f>
        <v/>
      </c>
      <c r="P33" s="63" t="str">
        <f>IF($A33="","",COUNTIF('14_Attori_Imprese'!$B$4:$B$1000,$A33))</f>
        <v/>
      </c>
      <c r="Q33" s="63" t="str">
        <f>IF($A33="","",COUNTIF('15_Prestazioni'!$B$4:$B$1000,$A33))</f>
        <v/>
      </c>
      <c r="R33" s="64" t="str">
        <f t="shared" si="0"/>
        <v/>
      </c>
      <c r="S33" s="65" t="str">
        <f>IF($A33="","",IFERROR(AVERAGEIF('07_TRL_TLR'!$B$4:$B$1000,$A33,'07_TRL_TLR'!$F$4:$F$1000),""))</f>
        <v/>
      </c>
      <c r="T33" s="63" t="str">
        <f t="shared" si="1"/>
        <v/>
      </c>
      <c r="U33" s="66" t="str">
        <f t="shared" si="2"/>
        <v/>
      </c>
      <c r="V33" s="66" t="str">
        <f t="shared" si="3"/>
        <v/>
      </c>
    </row>
    <row r="34" spans="1:22">
      <c r="A34" s="67" t="str">
        <f>IF('03_Tecnologie'!A34="","",'03_Tecnologie'!A34)</f>
        <v/>
      </c>
      <c r="B34" s="67" t="str">
        <f>IF($A34="","",'03_Tecnologie'!D34)</f>
        <v/>
      </c>
      <c r="C34" s="67" t="str">
        <f>IF($A34="","",'03_Tecnologie'!B34)</f>
        <v/>
      </c>
      <c r="D34" s="67" t="str">
        <f>IF($A34="","",'03_Tecnologie'!F34)</f>
        <v/>
      </c>
      <c r="E34" s="63" t="str">
        <f>IF($A34="","",COUNTIF('04_Componenti'!$B$4:$B$1000,$A34))</f>
        <v/>
      </c>
      <c r="F34" s="63" t="str">
        <f>IF($A34="","",COUNTIF('05_Descrizione'!$B$4:$B$1000,$A34))</f>
        <v/>
      </c>
      <c r="G34" s="63" t="str">
        <f>IF($A34="","",COUNTIF('06_Avanzamento'!$B$4:$B$1000,$A34))</f>
        <v/>
      </c>
      <c r="H34" s="63" t="str">
        <f>IF($A34="","",COUNTIF('07_TRL_TLR'!$B$4:$B$1000,$A34))</f>
        <v/>
      </c>
      <c r="I34" s="63" t="str">
        <f>IF($A34="","",COUNTIF('08_Costi_Compet'!$B$4:$B$1000,$A34))</f>
        <v/>
      </c>
      <c r="J34" s="63" t="str">
        <f>IF($A34="","",COUNTIF('09_Settori_Impatto'!$B$4:$B$1000,$A34))</f>
        <v/>
      </c>
      <c r="K34" s="63" t="str">
        <f>IF($A34="","",COUNTIF('16_Mercati_Riferimento'!$B$4:$B$1000,$A34))</f>
        <v/>
      </c>
      <c r="L34" s="22" t="str">
        <f>IF($A34="","",COUNTIF('10_Sostenibilita'!$B$4:$B$1000,$A34))</f>
        <v/>
      </c>
      <c r="M34" s="63" t="str">
        <f>IF($A34="","",COUNTIF('11_Best_Practice'!$B$4:$B$1000,$A34))</f>
        <v/>
      </c>
      <c r="N34" s="63" t="str">
        <f>IF($A34="","",COUNTIF('12_Policy_Regolazione'!$B$4:$B$1000,$A34))</f>
        <v/>
      </c>
      <c r="O34" s="63" t="str">
        <f>IF($A34="","",COUNTIF('13_Barriere_Opp'!$B$4:$B$1000,$A34))</f>
        <v/>
      </c>
      <c r="P34" s="63" t="str">
        <f>IF($A34="","",COUNTIF('14_Attori_Imprese'!$B$4:$B$1000,$A34))</f>
        <v/>
      </c>
      <c r="Q34" s="63" t="str">
        <f>IF($A34="","",COUNTIF('15_Prestazioni'!$B$4:$B$1000,$A34))</f>
        <v/>
      </c>
      <c r="R34" s="64" t="str">
        <f t="shared" si="0"/>
        <v/>
      </c>
      <c r="S34" s="65" t="str">
        <f>IF($A34="","",IFERROR(AVERAGEIF('07_TRL_TLR'!$B$4:$B$1000,$A34,'07_TRL_TLR'!$F$4:$F$1000),""))</f>
        <v/>
      </c>
      <c r="T34" s="63" t="str">
        <f t="shared" si="1"/>
        <v/>
      </c>
      <c r="U34" s="66" t="str">
        <f t="shared" si="2"/>
        <v/>
      </c>
      <c r="V34" s="66" t="str">
        <f t="shared" si="3"/>
        <v/>
      </c>
    </row>
    <row r="35" spans="1:22">
      <c r="A35" s="67" t="str">
        <f>IF('03_Tecnologie'!A35="","",'03_Tecnologie'!A35)</f>
        <v/>
      </c>
      <c r="B35" s="67" t="str">
        <f>IF($A35="","",'03_Tecnologie'!D35)</f>
        <v/>
      </c>
      <c r="C35" s="67" t="str">
        <f>IF($A35="","",'03_Tecnologie'!B35)</f>
        <v/>
      </c>
      <c r="D35" s="67" t="str">
        <f>IF($A35="","",'03_Tecnologie'!F35)</f>
        <v/>
      </c>
      <c r="E35" s="63" t="str">
        <f>IF($A35="","",COUNTIF('04_Componenti'!$B$4:$B$1000,$A35))</f>
        <v/>
      </c>
      <c r="F35" s="63" t="str">
        <f>IF($A35="","",COUNTIF('05_Descrizione'!$B$4:$B$1000,$A35))</f>
        <v/>
      </c>
      <c r="G35" s="63" t="str">
        <f>IF($A35="","",COUNTIF('06_Avanzamento'!$B$4:$B$1000,$A35))</f>
        <v/>
      </c>
      <c r="H35" s="63" t="str">
        <f>IF($A35="","",COUNTIF('07_TRL_TLR'!$B$4:$B$1000,$A35))</f>
        <v/>
      </c>
      <c r="I35" s="63" t="str">
        <f>IF($A35="","",COUNTIF('08_Costi_Compet'!$B$4:$B$1000,$A35))</f>
        <v/>
      </c>
      <c r="J35" s="63" t="str">
        <f>IF($A35="","",COUNTIF('09_Settori_Impatto'!$B$4:$B$1000,$A35))</f>
        <v/>
      </c>
      <c r="K35" s="63" t="str">
        <f>IF($A35="","",COUNTIF('16_Mercati_Riferimento'!$B$4:$B$1000,$A35))</f>
        <v/>
      </c>
      <c r="L35" s="22" t="str">
        <f>IF($A35="","",COUNTIF('10_Sostenibilita'!$B$4:$B$1000,$A35))</f>
        <v/>
      </c>
      <c r="M35" s="63" t="str">
        <f>IF($A35="","",COUNTIF('11_Best_Practice'!$B$4:$B$1000,$A35))</f>
        <v/>
      </c>
      <c r="N35" s="63" t="str">
        <f>IF($A35="","",COUNTIF('12_Policy_Regolazione'!$B$4:$B$1000,$A35))</f>
        <v/>
      </c>
      <c r="O35" s="63" t="str">
        <f>IF($A35="","",COUNTIF('13_Barriere_Opp'!$B$4:$B$1000,$A35))</f>
        <v/>
      </c>
      <c r="P35" s="63" t="str">
        <f>IF($A35="","",COUNTIF('14_Attori_Imprese'!$B$4:$B$1000,$A35))</f>
        <v/>
      </c>
      <c r="Q35" s="63" t="str">
        <f>IF($A35="","",COUNTIF('15_Prestazioni'!$B$4:$B$1000,$A35))</f>
        <v/>
      </c>
      <c r="R35" s="64" t="str">
        <f t="shared" si="0"/>
        <v/>
      </c>
      <c r="S35" s="65" t="str">
        <f>IF($A35="","",IFERROR(AVERAGEIF('07_TRL_TLR'!$B$4:$B$1000,$A35,'07_TRL_TLR'!$F$4:$F$1000),""))</f>
        <v/>
      </c>
      <c r="T35" s="63" t="str">
        <f t="shared" si="1"/>
        <v/>
      </c>
      <c r="U35" s="66" t="str">
        <f t="shared" si="2"/>
        <v/>
      </c>
      <c r="V35" s="66" t="str">
        <f t="shared" si="3"/>
        <v/>
      </c>
    </row>
    <row r="36" spans="1:22">
      <c r="A36" s="67" t="str">
        <f>IF('03_Tecnologie'!A36="","",'03_Tecnologie'!A36)</f>
        <v/>
      </c>
      <c r="B36" s="67" t="str">
        <f>IF($A36="","",'03_Tecnologie'!D36)</f>
        <v/>
      </c>
      <c r="C36" s="67" t="str">
        <f>IF($A36="","",'03_Tecnologie'!B36)</f>
        <v/>
      </c>
      <c r="D36" s="67" t="str">
        <f>IF($A36="","",'03_Tecnologie'!F36)</f>
        <v/>
      </c>
      <c r="E36" s="63" t="str">
        <f>IF($A36="","",COUNTIF('04_Componenti'!$B$4:$B$1000,$A36))</f>
        <v/>
      </c>
      <c r="F36" s="63" t="str">
        <f>IF($A36="","",COUNTIF('05_Descrizione'!$B$4:$B$1000,$A36))</f>
        <v/>
      </c>
      <c r="G36" s="63" t="str">
        <f>IF($A36="","",COUNTIF('06_Avanzamento'!$B$4:$B$1000,$A36))</f>
        <v/>
      </c>
      <c r="H36" s="63" t="str">
        <f>IF($A36="","",COUNTIF('07_TRL_TLR'!$B$4:$B$1000,$A36))</f>
        <v/>
      </c>
      <c r="I36" s="63" t="str">
        <f>IF($A36="","",COUNTIF('08_Costi_Compet'!$B$4:$B$1000,$A36))</f>
        <v/>
      </c>
      <c r="J36" s="63" t="str">
        <f>IF($A36="","",COUNTIF('09_Settori_Impatto'!$B$4:$B$1000,$A36))</f>
        <v/>
      </c>
      <c r="K36" s="63" t="str">
        <f>IF($A36="","",COUNTIF('16_Mercati_Riferimento'!$B$4:$B$1000,$A36))</f>
        <v/>
      </c>
      <c r="L36" s="22" t="str">
        <f>IF($A36="","",COUNTIF('10_Sostenibilita'!$B$4:$B$1000,$A36))</f>
        <v/>
      </c>
      <c r="M36" s="63" t="str">
        <f>IF($A36="","",COUNTIF('11_Best_Practice'!$B$4:$B$1000,$A36))</f>
        <v/>
      </c>
      <c r="N36" s="63" t="str">
        <f>IF($A36="","",COUNTIF('12_Policy_Regolazione'!$B$4:$B$1000,$A36))</f>
        <v/>
      </c>
      <c r="O36" s="63" t="str">
        <f>IF($A36="","",COUNTIF('13_Barriere_Opp'!$B$4:$B$1000,$A36))</f>
        <v/>
      </c>
      <c r="P36" s="63" t="str">
        <f>IF($A36="","",COUNTIF('14_Attori_Imprese'!$B$4:$B$1000,$A36))</f>
        <v/>
      </c>
      <c r="Q36" s="63" t="str">
        <f>IF($A36="","",COUNTIF('15_Prestazioni'!$B$4:$B$1000,$A36))</f>
        <v/>
      </c>
      <c r="R36" s="64" t="str">
        <f t="shared" si="0"/>
        <v/>
      </c>
      <c r="S36" s="65" t="str">
        <f>IF($A36="","",IFERROR(AVERAGEIF('07_TRL_TLR'!$B$4:$B$1000,$A36,'07_TRL_TLR'!$F$4:$F$1000),""))</f>
        <v/>
      </c>
      <c r="T36" s="63" t="str">
        <f t="shared" si="1"/>
        <v/>
      </c>
      <c r="U36" s="66" t="str">
        <f t="shared" si="2"/>
        <v/>
      </c>
      <c r="V36" s="66" t="str">
        <f t="shared" si="3"/>
        <v/>
      </c>
    </row>
    <row r="37" spans="1:22">
      <c r="A37" s="67" t="str">
        <f>IF('03_Tecnologie'!A37="","",'03_Tecnologie'!A37)</f>
        <v/>
      </c>
      <c r="B37" s="67" t="str">
        <f>IF($A37="","",'03_Tecnologie'!D37)</f>
        <v/>
      </c>
      <c r="C37" s="67" t="str">
        <f>IF($A37="","",'03_Tecnologie'!B37)</f>
        <v/>
      </c>
      <c r="D37" s="67" t="str">
        <f>IF($A37="","",'03_Tecnologie'!F37)</f>
        <v/>
      </c>
      <c r="E37" s="63" t="str">
        <f>IF($A37="","",COUNTIF('04_Componenti'!$B$4:$B$1000,$A37))</f>
        <v/>
      </c>
      <c r="F37" s="63" t="str">
        <f>IF($A37="","",COUNTIF('05_Descrizione'!$B$4:$B$1000,$A37))</f>
        <v/>
      </c>
      <c r="G37" s="63" t="str">
        <f>IF($A37="","",COUNTIF('06_Avanzamento'!$B$4:$B$1000,$A37))</f>
        <v/>
      </c>
      <c r="H37" s="63" t="str">
        <f>IF($A37="","",COUNTIF('07_TRL_TLR'!$B$4:$B$1000,$A37))</f>
        <v/>
      </c>
      <c r="I37" s="63" t="str">
        <f>IF($A37="","",COUNTIF('08_Costi_Compet'!$B$4:$B$1000,$A37))</f>
        <v/>
      </c>
      <c r="J37" s="63" t="str">
        <f>IF($A37="","",COUNTIF('09_Settori_Impatto'!$B$4:$B$1000,$A37))</f>
        <v/>
      </c>
      <c r="K37" s="63" t="str">
        <f>IF($A37="","",COUNTIF('16_Mercati_Riferimento'!$B$4:$B$1000,$A37))</f>
        <v/>
      </c>
      <c r="L37" s="22" t="str">
        <f>IF($A37="","",COUNTIF('10_Sostenibilita'!$B$4:$B$1000,$A37))</f>
        <v/>
      </c>
      <c r="M37" s="63" t="str">
        <f>IF($A37="","",COUNTIF('11_Best_Practice'!$B$4:$B$1000,$A37))</f>
        <v/>
      </c>
      <c r="N37" s="63" t="str">
        <f>IF($A37="","",COUNTIF('12_Policy_Regolazione'!$B$4:$B$1000,$A37))</f>
        <v/>
      </c>
      <c r="O37" s="63" t="str">
        <f>IF($A37="","",COUNTIF('13_Barriere_Opp'!$B$4:$B$1000,$A37))</f>
        <v/>
      </c>
      <c r="P37" s="63" t="str">
        <f>IF($A37="","",COUNTIF('14_Attori_Imprese'!$B$4:$B$1000,$A37))</f>
        <v/>
      </c>
      <c r="Q37" s="63" t="str">
        <f>IF($A37="","",COUNTIF('15_Prestazioni'!$B$4:$B$1000,$A37))</f>
        <v/>
      </c>
      <c r="R37" s="64" t="str">
        <f t="shared" si="0"/>
        <v/>
      </c>
      <c r="S37" s="65" t="str">
        <f>IF($A37="","",IFERROR(AVERAGEIF('07_TRL_TLR'!$B$4:$B$1000,$A37,'07_TRL_TLR'!$F$4:$F$1000),""))</f>
        <v/>
      </c>
      <c r="T37" s="63" t="str">
        <f t="shared" si="1"/>
        <v/>
      </c>
      <c r="U37" s="66" t="str">
        <f t="shared" si="2"/>
        <v/>
      </c>
      <c r="V37" s="66" t="str">
        <f t="shared" si="3"/>
        <v/>
      </c>
    </row>
    <row r="38" spans="1:22">
      <c r="A38" s="67" t="str">
        <f>IF('03_Tecnologie'!A38="","",'03_Tecnologie'!A38)</f>
        <v/>
      </c>
      <c r="B38" s="67" t="str">
        <f>IF($A38="","",'03_Tecnologie'!D38)</f>
        <v/>
      </c>
      <c r="C38" s="67" t="str">
        <f>IF($A38="","",'03_Tecnologie'!B38)</f>
        <v/>
      </c>
      <c r="D38" s="67" t="str">
        <f>IF($A38="","",'03_Tecnologie'!F38)</f>
        <v/>
      </c>
      <c r="E38" s="63" t="str">
        <f>IF($A38="","",COUNTIF('04_Componenti'!$B$4:$B$1000,$A38))</f>
        <v/>
      </c>
      <c r="F38" s="63" t="str">
        <f>IF($A38="","",COUNTIF('05_Descrizione'!$B$4:$B$1000,$A38))</f>
        <v/>
      </c>
      <c r="G38" s="63" t="str">
        <f>IF($A38="","",COUNTIF('06_Avanzamento'!$B$4:$B$1000,$A38))</f>
        <v/>
      </c>
      <c r="H38" s="63" t="str">
        <f>IF($A38="","",COUNTIF('07_TRL_TLR'!$B$4:$B$1000,$A38))</f>
        <v/>
      </c>
      <c r="I38" s="63" t="str">
        <f>IF($A38="","",COUNTIF('08_Costi_Compet'!$B$4:$B$1000,$A38))</f>
        <v/>
      </c>
      <c r="J38" s="63" t="str">
        <f>IF($A38="","",COUNTIF('09_Settori_Impatto'!$B$4:$B$1000,$A38))</f>
        <v/>
      </c>
      <c r="K38" s="63" t="str">
        <f>IF($A38="","",COUNTIF('16_Mercati_Riferimento'!$B$4:$B$1000,$A38))</f>
        <v/>
      </c>
      <c r="L38" s="22" t="str">
        <f>IF($A38="","",COUNTIF('10_Sostenibilita'!$B$4:$B$1000,$A38))</f>
        <v/>
      </c>
      <c r="M38" s="63" t="str">
        <f>IF($A38="","",COUNTIF('11_Best_Practice'!$B$4:$B$1000,$A38))</f>
        <v/>
      </c>
      <c r="N38" s="63" t="str">
        <f>IF($A38="","",COUNTIF('12_Policy_Regolazione'!$B$4:$B$1000,$A38))</f>
        <v/>
      </c>
      <c r="O38" s="63" t="str">
        <f>IF($A38="","",COUNTIF('13_Barriere_Opp'!$B$4:$B$1000,$A38))</f>
        <v/>
      </c>
      <c r="P38" s="63" t="str">
        <f>IF($A38="","",COUNTIF('14_Attori_Imprese'!$B$4:$B$1000,$A38))</f>
        <v/>
      </c>
      <c r="Q38" s="63" t="str">
        <f>IF($A38="","",COUNTIF('15_Prestazioni'!$B$4:$B$1000,$A38))</f>
        <v/>
      </c>
      <c r="R38" s="64" t="str">
        <f t="shared" si="0"/>
        <v/>
      </c>
      <c r="S38" s="65" t="str">
        <f>IF($A38="","",IFERROR(AVERAGEIF('07_TRL_TLR'!$B$4:$B$1000,$A38,'07_TRL_TLR'!$F$4:$F$1000),""))</f>
        <v/>
      </c>
      <c r="T38" s="63" t="str">
        <f t="shared" si="1"/>
        <v/>
      </c>
      <c r="U38" s="66" t="str">
        <f t="shared" si="2"/>
        <v/>
      </c>
      <c r="V38" s="66" t="str">
        <f t="shared" si="3"/>
        <v/>
      </c>
    </row>
    <row r="39" spans="1:22">
      <c r="A39" s="67" t="str">
        <f>IF('03_Tecnologie'!A39="","",'03_Tecnologie'!A39)</f>
        <v/>
      </c>
      <c r="B39" s="67" t="str">
        <f>IF($A39="","",'03_Tecnologie'!D39)</f>
        <v/>
      </c>
      <c r="C39" s="67" t="str">
        <f>IF($A39="","",'03_Tecnologie'!B39)</f>
        <v/>
      </c>
      <c r="D39" s="67" t="str">
        <f>IF($A39="","",'03_Tecnologie'!F39)</f>
        <v/>
      </c>
      <c r="E39" s="63" t="str">
        <f>IF($A39="","",COUNTIF('04_Componenti'!$B$4:$B$1000,$A39))</f>
        <v/>
      </c>
      <c r="F39" s="63" t="str">
        <f>IF($A39="","",COUNTIF('05_Descrizione'!$B$4:$B$1000,$A39))</f>
        <v/>
      </c>
      <c r="G39" s="63" t="str">
        <f>IF($A39="","",COUNTIF('06_Avanzamento'!$B$4:$B$1000,$A39))</f>
        <v/>
      </c>
      <c r="H39" s="63" t="str">
        <f>IF($A39="","",COUNTIF('07_TRL_TLR'!$B$4:$B$1000,$A39))</f>
        <v/>
      </c>
      <c r="I39" s="63" t="str">
        <f>IF($A39="","",COUNTIF('08_Costi_Compet'!$B$4:$B$1000,$A39))</f>
        <v/>
      </c>
      <c r="J39" s="63" t="str">
        <f>IF($A39="","",COUNTIF('09_Settori_Impatto'!$B$4:$B$1000,$A39))</f>
        <v/>
      </c>
      <c r="K39" s="63" t="str">
        <f>IF($A39="","",COUNTIF('16_Mercati_Riferimento'!$B$4:$B$1000,$A39))</f>
        <v/>
      </c>
      <c r="L39" s="22" t="str">
        <f>IF($A39="","",COUNTIF('10_Sostenibilita'!$B$4:$B$1000,$A39))</f>
        <v/>
      </c>
      <c r="M39" s="63" t="str">
        <f>IF($A39="","",COUNTIF('11_Best_Practice'!$B$4:$B$1000,$A39))</f>
        <v/>
      </c>
      <c r="N39" s="63" t="str">
        <f>IF($A39="","",COUNTIF('12_Policy_Regolazione'!$B$4:$B$1000,$A39))</f>
        <v/>
      </c>
      <c r="O39" s="63" t="str">
        <f>IF($A39="","",COUNTIF('13_Barriere_Opp'!$B$4:$B$1000,$A39))</f>
        <v/>
      </c>
      <c r="P39" s="63" t="str">
        <f>IF($A39="","",COUNTIF('14_Attori_Imprese'!$B$4:$B$1000,$A39))</f>
        <v/>
      </c>
      <c r="Q39" s="63" t="str">
        <f>IF($A39="","",COUNTIF('15_Prestazioni'!$B$4:$B$1000,$A39))</f>
        <v/>
      </c>
      <c r="R39" s="64" t="str">
        <f t="shared" si="0"/>
        <v/>
      </c>
      <c r="S39" s="65" t="str">
        <f>IF($A39="","",IFERROR(AVERAGEIF('07_TRL_TLR'!$B$4:$B$1000,$A39,'07_TRL_TLR'!$F$4:$F$1000),""))</f>
        <v/>
      </c>
      <c r="T39" s="63" t="str">
        <f t="shared" si="1"/>
        <v/>
      </c>
      <c r="U39" s="66" t="str">
        <f t="shared" si="2"/>
        <v/>
      </c>
      <c r="V39" s="66" t="str">
        <f t="shared" si="3"/>
        <v/>
      </c>
    </row>
    <row r="40" spans="1:22">
      <c r="A40" s="67" t="str">
        <f>IF('03_Tecnologie'!A40="","",'03_Tecnologie'!A40)</f>
        <v/>
      </c>
      <c r="B40" s="67" t="str">
        <f>IF($A40="","",'03_Tecnologie'!D40)</f>
        <v/>
      </c>
      <c r="C40" s="67" t="str">
        <f>IF($A40="","",'03_Tecnologie'!B40)</f>
        <v/>
      </c>
      <c r="D40" s="67" t="str">
        <f>IF($A40="","",'03_Tecnologie'!F40)</f>
        <v/>
      </c>
      <c r="E40" s="63" t="str">
        <f>IF($A40="","",COUNTIF('04_Componenti'!$B$4:$B$1000,$A40))</f>
        <v/>
      </c>
      <c r="F40" s="63" t="str">
        <f>IF($A40="","",COUNTIF('05_Descrizione'!$B$4:$B$1000,$A40))</f>
        <v/>
      </c>
      <c r="G40" s="63" t="str">
        <f>IF($A40="","",COUNTIF('06_Avanzamento'!$B$4:$B$1000,$A40))</f>
        <v/>
      </c>
      <c r="H40" s="63" t="str">
        <f>IF($A40="","",COUNTIF('07_TRL_TLR'!$B$4:$B$1000,$A40))</f>
        <v/>
      </c>
      <c r="I40" s="63" t="str">
        <f>IF($A40="","",COUNTIF('08_Costi_Compet'!$B$4:$B$1000,$A40))</f>
        <v/>
      </c>
      <c r="J40" s="63" t="str">
        <f>IF($A40="","",COUNTIF('09_Settori_Impatto'!$B$4:$B$1000,$A40))</f>
        <v/>
      </c>
      <c r="K40" s="63" t="str">
        <f>IF($A40="","",COUNTIF('16_Mercati_Riferimento'!$B$4:$B$1000,$A40))</f>
        <v/>
      </c>
      <c r="L40" s="22" t="str">
        <f>IF($A40="","",COUNTIF('10_Sostenibilita'!$B$4:$B$1000,$A40))</f>
        <v/>
      </c>
      <c r="M40" s="63" t="str">
        <f>IF($A40="","",COUNTIF('11_Best_Practice'!$B$4:$B$1000,$A40))</f>
        <v/>
      </c>
      <c r="N40" s="63" t="str">
        <f>IF($A40="","",COUNTIF('12_Policy_Regolazione'!$B$4:$B$1000,$A40))</f>
        <v/>
      </c>
      <c r="O40" s="63" t="str">
        <f>IF($A40="","",COUNTIF('13_Barriere_Opp'!$B$4:$B$1000,$A40))</f>
        <v/>
      </c>
      <c r="P40" s="63" t="str">
        <f>IF($A40="","",COUNTIF('14_Attori_Imprese'!$B$4:$B$1000,$A40))</f>
        <v/>
      </c>
      <c r="Q40" s="63" t="str">
        <f>IF($A40="","",COUNTIF('15_Prestazioni'!$B$4:$B$1000,$A40))</f>
        <v/>
      </c>
      <c r="R40" s="64" t="str">
        <f t="shared" si="0"/>
        <v/>
      </c>
      <c r="S40" s="65" t="str">
        <f>IF($A40="","",IFERROR(AVERAGEIF('07_TRL_TLR'!$B$4:$B$1000,$A40,'07_TRL_TLR'!$F$4:$F$1000),""))</f>
        <v/>
      </c>
      <c r="T40" s="63" t="str">
        <f t="shared" si="1"/>
        <v/>
      </c>
      <c r="U40" s="66" t="str">
        <f t="shared" si="2"/>
        <v/>
      </c>
      <c r="V40" s="66" t="str">
        <f t="shared" si="3"/>
        <v/>
      </c>
    </row>
    <row r="41" spans="1:22">
      <c r="A41" s="67" t="str">
        <f>IF('03_Tecnologie'!A41="","",'03_Tecnologie'!A41)</f>
        <v/>
      </c>
      <c r="B41" s="67" t="str">
        <f>IF($A41="","",'03_Tecnologie'!D41)</f>
        <v/>
      </c>
      <c r="C41" s="67" t="str">
        <f>IF($A41="","",'03_Tecnologie'!B41)</f>
        <v/>
      </c>
      <c r="D41" s="67" t="str">
        <f>IF($A41="","",'03_Tecnologie'!F41)</f>
        <v/>
      </c>
      <c r="E41" s="63" t="str">
        <f>IF($A41="","",COUNTIF('04_Componenti'!$B$4:$B$1000,$A41))</f>
        <v/>
      </c>
      <c r="F41" s="63" t="str">
        <f>IF($A41="","",COUNTIF('05_Descrizione'!$B$4:$B$1000,$A41))</f>
        <v/>
      </c>
      <c r="G41" s="63" t="str">
        <f>IF($A41="","",COUNTIF('06_Avanzamento'!$B$4:$B$1000,$A41))</f>
        <v/>
      </c>
      <c r="H41" s="63" t="str">
        <f>IF($A41="","",COUNTIF('07_TRL_TLR'!$B$4:$B$1000,$A41))</f>
        <v/>
      </c>
      <c r="I41" s="63" t="str">
        <f>IF($A41="","",COUNTIF('08_Costi_Compet'!$B$4:$B$1000,$A41))</f>
        <v/>
      </c>
      <c r="J41" s="63" t="str">
        <f>IF($A41="","",COUNTIF('09_Settori_Impatto'!$B$4:$B$1000,$A41))</f>
        <v/>
      </c>
      <c r="K41" s="63" t="str">
        <f>IF($A41="","",COUNTIF('16_Mercati_Riferimento'!$B$4:$B$1000,$A41))</f>
        <v/>
      </c>
      <c r="L41" s="22" t="str">
        <f>IF($A41="","",COUNTIF('10_Sostenibilita'!$B$4:$B$1000,$A41))</f>
        <v/>
      </c>
      <c r="M41" s="63" t="str">
        <f>IF($A41="","",COUNTIF('11_Best_Practice'!$B$4:$B$1000,$A41))</f>
        <v/>
      </c>
      <c r="N41" s="63" t="str">
        <f>IF($A41="","",COUNTIF('12_Policy_Regolazione'!$B$4:$B$1000,$A41))</f>
        <v/>
      </c>
      <c r="O41" s="63" t="str">
        <f>IF($A41="","",COUNTIF('13_Barriere_Opp'!$B$4:$B$1000,$A41))</f>
        <v/>
      </c>
      <c r="P41" s="63" t="str">
        <f>IF($A41="","",COUNTIF('14_Attori_Imprese'!$B$4:$B$1000,$A41))</f>
        <v/>
      </c>
      <c r="Q41" s="63" t="str">
        <f>IF($A41="","",COUNTIF('15_Prestazioni'!$B$4:$B$1000,$A41))</f>
        <v/>
      </c>
      <c r="R41" s="64" t="str">
        <f t="shared" si="0"/>
        <v/>
      </c>
      <c r="S41" s="65" t="str">
        <f>IF($A41="","",IFERROR(AVERAGEIF('07_TRL_TLR'!$B$4:$B$1000,$A41,'07_TRL_TLR'!$F$4:$F$1000),""))</f>
        <v/>
      </c>
      <c r="T41" s="63" t="str">
        <f t="shared" si="1"/>
        <v/>
      </c>
      <c r="U41" s="66" t="str">
        <f t="shared" si="2"/>
        <v/>
      </c>
      <c r="V41" s="66" t="str">
        <f t="shared" si="3"/>
        <v/>
      </c>
    </row>
    <row r="42" spans="1:22">
      <c r="A42" s="67" t="str">
        <f>IF('03_Tecnologie'!A42="","",'03_Tecnologie'!A42)</f>
        <v/>
      </c>
      <c r="B42" s="67" t="str">
        <f>IF($A42="","",'03_Tecnologie'!D42)</f>
        <v/>
      </c>
      <c r="C42" s="67" t="str">
        <f>IF($A42="","",'03_Tecnologie'!B42)</f>
        <v/>
      </c>
      <c r="D42" s="67" t="str">
        <f>IF($A42="","",'03_Tecnologie'!F42)</f>
        <v/>
      </c>
      <c r="E42" s="63" t="str">
        <f>IF($A42="","",COUNTIF('04_Componenti'!$B$4:$B$1000,$A42))</f>
        <v/>
      </c>
      <c r="F42" s="63" t="str">
        <f>IF($A42="","",COUNTIF('05_Descrizione'!$B$4:$B$1000,$A42))</f>
        <v/>
      </c>
      <c r="G42" s="63" t="str">
        <f>IF($A42="","",COUNTIF('06_Avanzamento'!$B$4:$B$1000,$A42))</f>
        <v/>
      </c>
      <c r="H42" s="63" t="str">
        <f>IF($A42="","",COUNTIF('07_TRL_TLR'!$B$4:$B$1000,$A42))</f>
        <v/>
      </c>
      <c r="I42" s="63" t="str">
        <f>IF($A42="","",COUNTIF('08_Costi_Compet'!$B$4:$B$1000,$A42))</f>
        <v/>
      </c>
      <c r="J42" s="63" t="str">
        <f>IF($A42="","",COUNTIF('09_Settori_Impatto'!$B$4:$B$1000,$A42))</f>
        <v/>
      </c>
      <c r="K42" s="63" t="str">
        <f>IF($A42="","",COUNTIF('16_Mercati_Riferimento'!$B$4:$B$1000,$A42))</f>
        <v/>
      </c>
      <c r="L42" s="22" t="str">
        <f>IF($A42="","",COUNTIF('10_Sostenibilita'!$B$4:$B$1000,$A42))</f>
        <v/>
      </c>
      <c r="M42" s="63" t="str">
        <f>IF($A42="","",COUNTIF('11_Best_Practice'!$B$4:$B$1000,$A42))</f>
        <v/>
      </c>
      <c r="N42" s="63" t="str">
        <f>IF($A42="","",COUNTIF('12_Policy_Regolazione'!$B$4:$B$1000,$A42))</f>
        <v/>
      </c>
      <c r="O42" s="63" t="str">
        <f>IF($A42="","",COUNTIF('13_Barriere_Opp'!$B$4:$B$1000,$A42))</f>
        <v/>
      </c>
      <c r="P42" s="63" t="str">
        <f>IF($A42="","",COUNTIF('14_Attori_Imprese'!$B$4:$B$1000,$A42))</f>
        <v/>
      </c>
      <c r="Q42" s="63" t="str">
        <f>IF($A42="","",COUNTIF('15_Prestazioni'!$B$4:$B$1000,$A42))</f>
        <v/>
      </c>
      <c r="R42" s="64" t="str">
        <f t="shared" si="0"/>
        <v/>
      </c>
      <c r="S42" s="65" t="str">
        <f>IF($A42="","",IFERROR(AVERAGEIF('07_TRL_TLR'!$B$4:$B$1000,$A42,'07_TRL_TLR'!$F$4:$F$1000),""))</f>
        <v/>
      </c>
      <c r="T42" s="63" t="str">
        <f t="shared" si="1"/>
        <v/>
      </c>
      <c r="U42" s="66" t="str">
        <f t="shared" si="2"/>
        <v/>
      </c>
      <c r="V42" s="66" t="str">
        <f t="shared" si="3"/>
        <v/>
      </c>
    </row>
    <row r="43" spans="1:22">
      <c r="A43" s="67" t="str">
        <f>IF('03_Tecnologie'!A43="","",'03_Tecnologie'!A43)</f>
        <v/>
      </c>
      <c r="B43" s="67" t="str">
        <f>IF($A43="","",'03_Tecnologie'!D43)</f>
        <v/>
      </c>
      <c r="C43" s="67" t="str">
        <f>IF($A43="","",'03_Tecnologie'!B43)</f>
        <v/>
      </c>
      <c r="D43" s="67" t="str">
        <f>IF($A43="","",'03_Tecnologie'!F43)</f>
        <v/>
      </c>
      <c r="E43" s="63" t="str">
        <f>IF($A43="","",COUNTIF('04_Componenti'!$B$4:$B$1000,$A43))</f>
        <v/>
      </c>
      <c r="F43" s="63" t="str">
        <f>IF($A43="","",COUNTIF('05_Descrizione'!$B$4:$B$1000,$A43))</f>
        <v/>
      </c>
      <c r="G43" s="63" t="str">
        <f>IF($A43="","",COUNTIF('06_Avanzamento'!$B$4:$B$1000,$A43))</f>
        <v/>
      </c>
      <c r="H43" s="63" t="str">
        <f>IF($A43="","",COUNTIF('07_TRL_TLR'!$B$4:$B$1000,$A43))</f>
        <v/>
      </c>
      <c r="I43" s="63" t="str">
        <f>IF($A43="","",COUNTIF('08_Costi_Compet'!$B$4:$B$1000,$A43))</f>
        <v/>
      </c>
      <c r="J43" s="63" t="str">
        <f>IF($A43="","",COUNTIF('09_Settori_Impatto'!$B$4:$B$1000,$A43))</f>
        <v/>
      </c>
      <c r="K43" s="63" t="str">
        <f>IF($A43="","",COUNTIF('16_Mercati_Riferimento'!$B$4:$B$1000,$A43))</f>
        <v/>
      </c>
      <c r="L43" s="22" t="str">
        <f>IF($A43="","",COUNTIF('10_Sostenibilita'!$B$4:$B$1000,$A43))</f>
        <v/>
      </c>
      <c r="M43" s="63" t="str">
        <f>IF($A43="","",COUNTIF('11_Best_Practice'!$B$4:$B$1000,$A43))</f>
        <v/>
      </c>
      <c r="N43" s="63" t="str">
        <f>IF($A43="","",COUNTIF('12_Policy_Regolazione'!$B$4:$B$1000,$A43))</f>
        <v/>
      </c>
      <c r="O43" s="63" t="str">
        <f>IF($A43="","",COUNTIF('13_Barriere_Opp'!$B$4:$B$1000,$A43))</f>
        <v/>
      </c>
      <c r="P43" s="63" t="str">
        <f>IF($A43="","",COUNTIF('14_Attori_Imprese'!$B$4:$B$1000,$A43))</f>
        <v/>
      </c>
      <c r="Q43" s="63" t="str">
        <f>IF($A43="","",COUNTIF('15_Prestazioni'!$B$4:$B$1000,$A43))</f>
        <v/>
      </c>
      <c r="R43" s="64" t="str">
        <f t="shared" si="0"/>
        <v/>
      </c>
      <c r="S43" s="65" t="str">
        <f>IF($A43="","",IFERROR(AVERAGEIF('07_TRL_TLR'!$B$4:$B$1000,$A43,'07_TRL_TLR'!$F$4:$F$1000),""))</f>
        <v/>
      </c>
      <c r="T43" s="63" t="str">
        <f t="shared" si="1"/>
        <v/>
      </c>
      <c r="U43" s="66" t="str">
        <f t="shared" si="2"/>
        <v/>
      </c>
      <c r="V43" s="66" t="str">
        <f t="shared" si="3"/>
        <v/>
      </c>
    </row>
    <row r="44" spans="1:22">
      <c r="A44" s="67" t="str">
        <f>IF('03_Tecnologie'!A44="","",'03_Tecnologie'!A44)</f>
        <v/>
      </c>
      <c r="B44" s="67" t="str">
        <f>IF($A44="","",'03_Tecnologie'!D44)</f>
        <v/>
      </c>
      <c r="C44" s="67" t="str">
        <f>IF($A44="","",'03_Tecnologie'!B44)</f>
        <v/>
      </c>
      <c r="D44" s="67" t="str">
        <f>IF($A44="","",'03_Tecnologie'!F44)</f>
        <v/>
      </c>
      <c r="E44" s="63" t="str">
        <f>IF($A44="","",COUNTIF('04_Componenti'!$B$4:$B$1000,$A44))</f>
        <v/>
      </c>
      <c r="F44" s="63" t="str">
        <f>IF($A44="","",COUNTIF('05_Descrizione'!$B$4:$B$1000,$A44))</f>
        <v/>
      </c>
      <c r="G44" s="63" t="str">
        <f>IF($A44="","",COUNTIF('06_Avanzamento'!$B$4:$B$1000,$A44))</f>
        <v/>
      </c>
      <c r="H44" s="63" t="str">
        <f>IF($A44="","",COUNTIF('07_TRL_TLR'!$B$4:$B$1000,$A44))</f>
        <v/>
      </c>
      <c r="I44" s="63" t="str">
        <f>IF($A44="","",COUNTIF('08_Costi_Compet'!$B$4:$B$1000,$A44))</f>
        <v/>
      </c>
      <c r="J44" s="63" t="str">
        <f>IF($A44="","",COUNTIF('09_Settori_Impatto'!$B$4:$B$1000,$A44))</f>
        <v/>
      </c>
      <c r="K44" s="63" t="str">
        <f>IF($A44="","",COUNTIF('16_Mercati_Riferimento'!$B$4:$B$1000,$A44))</f>
        <v/>
      </c>
      <c r="L44" s="22" t="str">
        <f>IF($A44="","",COUNTIF('10_Sostenibilita'!$B$4:$B$1000,$A44))</f>
        <v/>
      </c>
      <c r="M44" s="63" t="str">
        <f>IF($A44="","",COUNTIF('11_Best_Practice'!$B$4:$B$1000,$A44))</f>
        <v/>
      </c>
      <c r="N44" s="63" t="str">
        <f>IF($A44="","",COUNTIF('12_Policy_Regolazione'!$B$4:$B$1000,$A44))</f>
        <v/>
      </c>
      <c r="O44" s="63" t="str">
        <f>IF($A44="","",COUNTIF('13_Barriere_Opp'!$B$4:$B$1000,$A44))</f>
        <v/>
      </c>
      <c r="P44" s="63" t="str">
        <f>IF($A44="","",COUNTIF('14_Attori_Imprese'!$B$4:$B$1000,$A44))</f>
        <v/>
      </c>
      <c r="Q44" s="63" t="str">
        <f>IF($A44="","",COUNTIF('15_Prestazioni'!$B$4:$B$1000,$A44))</f>
        <v/>
      </c>
      <c r="R44" s="64" t="str">
        <f t="shared" si="0"/>
        <v/>
      </c>
      <c r="S44" s="65" t="str">
        <f>IF($A44="","",IFERROR(AVERAGEIF('07_TRL_TLR'!$B$4:$B$1000,$A44,'07_TRL_TLR'!$F$4:$F$1000),""))</f>
        <v/>
      </c>
      <c r="T44" s="63" t="str">
        <f t="shared" si="1"/>
        <v/>
      </c>
      <c r="U44" s="66" t="str">
        <f t="shared" si="2"/>
        <v/>
      </c>
      <c r="V44" s="66" t="str">
        <f t="shared" si="3"/>
        <v/>
      </c>
    </row>
    <row r="45" spans="1:22">
      <c r="A45" s="67" t="str">
        <f>IF('03_Tecnologie'!A45="","",'03_Tecnologie'!A45)</f>
        <v/>
      </c>
      <c r="B45" s="67" t="str">
        <f>IF($A45="","",'03_Tecnologie'!D45)</f>
        <v/>
      </c>
      <c r="C45" s="67" t="str">
        <f>IF($A45="","",'03_Tecnologie'!B45)</f>
        <v/>
      </c>
      <c r="D45" s="67" t="str">
        <f>IF($A45="","",'03_Tecnologie'!F45)</f>
        <v/>
      </c>
      <c r="E45" s="63" t="str">
        <f>IF($A45="","",COUNTIF('04_Componenti'!$B$4:$B$1000,$A45))</f>
        <v/>
      </c>
      <c r="F45" s="63" t="str">
        <f>IF($A45="","",COUNTIF('05_Descrizione'!$B$4:$B$1000,$A45))</f>
        <v/>
      </c>
      <c r="G45" s="63" t="str">
        <f>IF($A45="","",COUNTIF('06_Avanzamento'!$B$4:$B$1000,$A45))</f>
        <v/>
      </c>
      <c r="H45" s="63" t="str">
        <f>IF($A45="","",COUNTIF('07_TRL_TLR'!$B$4:$B$1000,$A45))</f>
        <v/>
      </c>
      <c r="I45" s="63" t="str">
        <f>IF($A45="","",COUNTIF('08_Costi_Compet'!$B$4:$B$1000,$A45))</f>
        <v/>
      </c>
      <c r="J45" s="63" t="str">
        <f>IF($A45="","",COUNTIF('09_Settori_Impatto'!$B$4:$B$1000,$A45))</f>
        <v/>
      </c>
      <c r="K45" s="63" t="str">
        <f>IF($A45="","",COUNTIF('16_Mercati_Riferimento'!$B$4:$B$1000,$A45))</f>
        <v/>
      </c>
      <c r="L45" s="22" t="str">
        <f>IF($A45="","",COUNTIF('10_Sostenibilita'!$B$4:$B$1000,$A45))</f>
        <v/>
      </c>
      <c r="M45" s="63" t="str">
        <f>IF($A45="","",COUNTIF('11_Best_Practice'!$B$4:$B$1000,$A45))</f>
        <v/>
      </c>
      <c r="N45" s="63" t="str">
        <f>IF($A45="","",COUNTIF('12_Policy_Regolazione'!$B$4:$B$1000,$A45))</f>
        <v/>
      </c>
      <c r="O45" s="63" t="str">
        <f>IF($A45="","",COUNTIF('13_Barriere_Opp'!$B$4:$B$1000,$A45))</f>
        <v/>
      </c>
      <c r="P45" s="63" t="str">
        <f>IF($A45="","",COUNTIF('14_Attori_Imprese'!$B$4:$B$1000,$A45))</f>
        <v/>
      </c>
      <c r="Q45" s="63" t="str">
        <f>IF($A45="","",COUNTIF('15_Prestazioni'!$B$4:$B$1000,$A45))</f>
        <v/>
      </c>
      <c r="R45" s="64" t="str">
        <f t="shared" si="0"/>
        <v/>
      </c>
      <c r="S45" s="65" t="str">
        <f>IF($A45="","",IFERROR(AVERAGEIF('07_TRL_TLR'!$B$4:$B$1000,$A45,'07_TRL_TLR'!$F$4:$F$1000),""))</f>
        <v/>
      </c>
      <c r="T45" s="63" t="str">
        <f t="shared" si="1"/>
        <v/>
      </c>
      <c r="U45" s="66" t="str">
        <f t="shared" si="2"/>
        <v/>
      </c>
      <c r="V45" s="66" t="str">
        <f t="shared" si="3"/>
        <v/>
      </c>
    </row>
    <row r="46" spans="1:22">
      <c r="A46" s="67" t="str">
        <f>IF('03_Tecnologie'!A46="","",'03_Tecnologie'!A46)</f>
        <v/>
      </c>
      <c r="B46" s="67" t="str">
        <f>IF($A46="","",'03_Tecnologie'!D46)</f>
        <v/>
      </c>
      <c r="C46" s="67" t="str">
        <f>IF($A46="","",'03_Tecnologie'!B46)</f>
        <v/>
      </c>
      <c r="D46" s="67" t="str">
        <f>IF($A46="","",'03_Tecnologie'!F46)</f>
        <v/>
      </c>
      <c r="E46" s="63" t="str">
        <f>IF($A46="","",COUNTIF('04_Componenti'!$B$4:$B$1000,$A46))</f>
        <v/>
      </c>
      <c r="F46" s="63" t="str">
        <f>IF($A46="","",COUNTIF('05_Descrizione'!$B$4:$B$1000,$A46))</f>
        <v/>
      </c>
      <c r="G46" s="63" t="str">
        <f>IF($A46="","",COUNTIF('06_Avanzamento'!$B$4:$B$1000,$A46))</f>
        <v/>
      </c>
      <c r="H46" s="63" t="str">
        <f>IF($A46="","",COUNTIF('07_TRL_TLR'!$B$4:$B$1000,$A46))</f>
        <v/>
      </c>
      <c r="I46" s="63" t="str">
        <f>IF($A46="","",COUNTIF('08_Costi_Compet'!$B$4:$B$1000,$A46))</f>
        <v/>
      </c>
      <c r="J46" s="63" t="str">
        <f>IF($A46="","",COUNTIF('09_Settori_Impatto'!$B$4:$B$1000,$A46))</f>
        <v/>
      </c>
      <c r="K46" s="63" t="str">
        <f>IF($A46="","",COUNTIF('16_Mercati_Riferimento'!$B$4:$B$1000,$A46))</f>
        <v/>
      </c>
      <c r="L46" s="22" t="str">
        <f>IF($A46="","",COUNTIF('10_Sostenibilita'!$B$4:$B$1000,$A46))</f>
        <v/>
      </c>
      <c r="M46" s="63" t="str">
        <f>IF($A46="","",COUNTIF('11_Best_Practice'!$B$4:$B$1000,$A46))</f>
        <v/>
      </c>
      <c r="N46" s="63" t="str">
        <f>IF($A46="","",COUNTIF('12_Policy_Regolazione'!$B$4:$B$1000,$A46))</f>
        <v/>
      </c>
      <c r="O46" s="63" t="str">
        <f>IF($A46="","",COUNTIF('13_Barriere_Opp'!$B$4:$B$1000,$A46))</f>
        <v/>
      </c>
      <c r="P46" s="63" t="str">
        <f>IF($A46="","",COUNTIF('14_Attori_Imprese'!$B$4:$B$1000,$A46))</f>
        <v/>
      </c>
      <c r="Q46" s="63" t="str">
        <f>IF($A46="","",COUNTIF('15_Prestazioni'!$B$4:$B$1000,$A46))</f>
        <v/>
      </c>
      <c r="R46" s="64" t="str">
        <f t="shared" si="0"/>
        <v/>
      </c>
      <c r="S46" s="65" t="str">
        <f>IF($A46="","",IFERROR(AVERAGEIF('07_TRL_TLR'!$B$4:$B$1000,$A46,'07_TRL_TLR'!$F$4:$F$1000),""))</f>
        <v/>
      </c>
      <c r="T46" s="63" t="str">
        <f t="shared" si="1"/>
        <v/>
      </c>
      <c r="U46" s="66" t="str">
        <f t="shared" si="2"/>
        <v/>
      </c>
      <c r="V46" s="66" t="str">
        <f t="shared" si="3"/>
        <v/>
      </c>
    </row>
    <row r="47" spans="1:22">
      <c r="A47" s="67" t="str">
        <f>IF('03_Tecnologie'!A47="","",'03_Tecnologie'!A47)</f>
        <v/>
      </c>
      <c r="B47" s="67" t="str">
        <f>IF($A47="","",'03_Tecnologie'!D47)</f>
        <v/>
      </c>
      <c r="C47" s="67" t="str">
        <f>IF($A47="","",'03_Tecnologie'!B47)</f>
        <v/>
      </c>
      <c r="D47" s="67" t="str">
        <f>IF($A47="","",'03_Tecnologie'!F47)</f>
        <v/>
      </c>
      <c r="E47" s="63" t="str">
        <f>IF($A47="","",COUNTIF('04_Componenti'!$B$4:$B$1000,$A47))</f>
        <v/>
      </c>
      <c r="F47" s="63" t="str">
        <f>IF($A47="","",COUNTIF('05_Descrizione'!$B$4:$B$1000,$A47))</f>
        <v/>
      </c>
      <c r="G47" s="63" t="str">
        <f>IF($A47="","",COUNTIF('06_Avanzamento'!$B$4:$B$1000,$A47))</f>
        <v/>
      </c>
      <c r="H47" s="63" t="str">
        <f>IF($A47="","",COUNTIF('07_TRL_TLR'!$B$4:$B$1000,$A47))</f>
        <v/>
      </c>
      <c r="I47" s="63" t="str">
        <f>IF($A47="","",COUNTIF('08_Costi_Compet'!$B$4:$B$1000,$A47))</f>
        <v/>
      </c>
      <c r="J47" s="63" t="str">
        <f>IF($A47="","",COUNTIF('09_Settori_Impatto'!$B$4:$B$1000,$A47))</f>
        <v/>
      </c>
      <c r="K47" s="63" t="str">
        <f>IF($A47="","",COUNTIF('16_Mercati_Riferimento'!$B$4:$B$1000,$A47))</f>
        <v/>
      </c>
      <c r="L47" s="22" t="str">
        <f>IF($A47="","",COUNTIF('10_Sostenibilita'!$B$4:$B$1000,$A47))</f>
        <v/>
      </c>
      <c r="M47" s="63" t="str">
        <f>IF($A47="","",COUNTIF('11_Best_Practice'!$B$4:$B$1000,$A47))</f>
        <v/>
      </c>
      <c r="N47" s="63" t="str">
        <f>IF($A47="","",COUNTIF('12_Policy_Regolazione'!$B$4:$B$1000,$A47))</f>
        <v/>
      </c>
      <c r="O47" s="63" t="str">
        <f>IF($A47="","",COUNTIF('13_Barriere_Opp'!$B$4:$B$1000,$A47))</f>
        <v/>
      </c>
      <c r="P47" s="63" t="str">
        <f>IF($A47="","",COUNTIF('14_Attori_Imprese'!$B$4:$B$1000,$A47))</f>
        <v/>
      </c>
      <c r="Q47" s="63" t="str">
        <f>IF($A47="","",COUNTIF('15_Prestazioni'!$B$4:$B$1000,$A47))</f>
        <v/>
      </c>
      <c r="R47" s="64" t="str">
        <f t="shared" si="0"/>
        <v/>
      </c>
      <c r="S47" s="65" t="str">
        <f>IF($A47="","",IFERROR(AVERAGEIF('07_TRL_TLR'!$B$4:$B$1000,$A47,'07_TRL_TLR'!$F$4:$F$1000),""))</f>
        <v/>
      </c>
      <c r="T47" s="63" t="str">
        <f t="shared" si="1"/>
        <v/>
      </c>
      <c r="U47" s="66" t="str">
        <f t="shared" si="2"/>
        <v/>
      </c>
      <c r="V47" s="66" t="str">
        <f t="shared" si="3"/>
        <v/>
      </c>
    </row>
    <row r="48" spans="1:22">
      <c r="A48" s="67" t="str">
        <f>IF('03_Tecnologie'!A48="","",'03_Tecnologie'!A48)</f>
        <v/>
      </c>
      <c r="B48" s="67" t="str">
        <f>IF($A48="","",'03_Tecnologie'!D48)</f>
        <v/>
      </c>
      <c r="C48" s="67" t="str">
        <f>IF($A48="","",'03_Tecnologie'!B48)</f>
        <v/>
      </c>
      <c r="D48" s="67" t="str">
        <f>IF($A48="","",'03_Tecnologie'!F48)</f>
        <v/>
      </c>
      <c r="E48" s="63" t="str">
        <f>IF($A48="","",COUNTIF('04_Componenti'!$B$4:$B$1000,$A48))</f>
        <v/>
      </c>
      <c r="F48" s="63" t="str">
        <f>IF($A48="","",COUNTIF('05_Descrizione'!$B$4:$B$1000,$A48))</f>
        <v/>
      </c>
      <c r="G48" s="63" t="str">
        <f>IF($A48="","",COUNTIF('06_Avanzamento'!$B$4:$B$1000,$A48))</f>
        <v/>
      </c>
      <c r="H48" s="63" t="str">
        <f>IF($A48="","",COUNTIF('07_TRL_TLR'!$B$4:$B$1000,$A48))</f>
        <v/>
      </c>
      <c r="I48" s="63" t="str">
        <f>IF($A48="","",COUNTIF('08_Costi_Compet'!$B$4:$B$1000,$A48))</f>
        <v/>
      </c>
      <c r="J48" s="63" t="str">
        <f>IF($A48="","",COUNTIF('09_Settori_Impatto'!$B$4:$B$1000,$A48))</f>
        <v/>
      </c>
      <c r="K48" s="63" t="str">
        <f>IF($A48="","",COUNTIF('16_Mercati_Riferimento'!$B$4:$B$1000,$A48))</f>
        <v/>
      </c>
      <c r="L48" s="22" t="str">
        <f>IF($A48="","",COUNTIF('10_Sostenibilita'!$B$4:$B$1000,$A48))</f>
        <v/>
      </c>
      <c r="M48" s="63" t="str">
        <f>IF($A48="","",COUNTIF('11_Best_Practice'!$B$4:$B$1000,$A48))</f>
        <v/>
      </c>
      <c r="N48" s="63" t="str">
        <f>IF($A48="","",COUNTIF('12_Policy_Regolazione'!$B$4:$B$1000,$A48))</f>
        <v/>
      </c>
      <c r="O48" s="63" t="str">
        <f>IF($A48="","",COUNTIF('13_Barriere_Opp'!$B$4:$B$1000,$A48))</f>
        <v/>
      </c>
      <c r="P48" s="63" t="str">
        <f>IF($A48="","",COUNTIF('14_Attori_Imprese'!$B$4:$B$1000,$A48))</f>
        <v/>
      </c>
      <c r="Q48" s="63" t="str">
        <f>IF($A48="","",COUNTIF('15_Prestazioni'!$B$4:$B$1000,$A48))</f>
        <v/>
      </c>
      <c r="R48" s="64" t="str">
        <f t="shared" si="0"/>
        <v/>
      </c>
      <c r="S48" s="65" t="str">
        <f>IF($A48="","",IFERROR(AVERAGEIF('07_TRL_TLR'!$B$4:$B$1000,$A48,'07_TRL_TLR'!$F$4:$F$1000),""))</f>
        <v/>
      </c>
      <c r="T48" s="63" t="str">
        <f t="shared" si="1"/>
        <v/>
      </c>
      <c r="U48" s="66" t="str">
        <f t="shared" si="2"/>
        <v/>
      </c>
      <c r="V48" s="66" t="str">
        <f t="shared" si="3"/>
        <v/>
      </c>
    </row>
    <row r="49" spans="1:22">
      <c r="A49" s="67" t="str">
        <f>IF('03_Tecnologie'!A49="","",'03_Tecnologie'!A49)</f>
        <v/>
      </c>
      <c r="B49" s="67" t="str">
        <f>IF($A49="","",'03_Tecnologie'!D49)</f>
        <v/>
      </c>
      <c r="C49" s="67" t="str">
        <f>IF($A49="","",'03_Tecnologie'!B49)</f>
        <v/>
      </c>
      <c r="D49" s="67" t="str">
        <f>IF($A49="","",'03_Tecnologie'!F49)</f>
        <v/>
      </c>
      <c r="E49" s="63" t="str">
        <f>IF($A49="","",COUNTIF('04_Componenti'!$B$4:$B$1000,$A49))</f>
        <v/>
      </c>
      <c r="F49" s="63" t="str">
        <f>IF($A49="","",COUNTIF('05_Descrizione'!$B$4:$B$1000,$A49))</f>
        <v/>
      </c>
      <c r="G49" s="63" t="str">
        <f>IF($A49="","",COUNTIF('06_Avanzamento'!$B$4:$B$1000,$A49))</f>
        <v/>
      </c>
      <c r="H49" s="63" t="str">
        <f>IF($A49="","",COUNTIF('07_TRL_TLR'!$B$4:$B$1000,$A49))</f>
        <v/>
      </c>
      <c r="I49" s="63" t="str">
        <f>IF($A49="","",COUNTIF('08_Costi_Compet'!$B$4:$B$1000,$A49))</f>
        <v/>
      </c>
      <c r="J49" s="63" t="str">
        <f>IF($A49="","",COUNTIF('09_Settori_Impatto'!$B$4:$B$1000,$A49))</f>
        <v/>
      </c>
      <c r="K49" s="63" t="str">
        <f>IF($A49="","",COUNTIF('16_Mercati_Riferimento'!$B$4:$B$1000,$A49))</f>
        <v/>
      </c>
      <c r="L49" s="22" t="str">
        <f>IF($A49="","",COUNTIF('10_Sostenibilita'!$B$4:$B$1000,$A49))</f>
        <v/>
      </c>
      <c r="M49" s="63" t="str">
        <f>IF($A49="","",COUNTIF('11_Best_Practice'!$B$4:$B$1000,$A49))</f>
        <v/>
      </c>
      <c r="N49" s="63" t="str">
        <f>IF($A49="","",COUNTIF('12_Policy_Regolazione'!$B$4:$B$1000,$A49))</f>
        <v/>
      </c>
      <c r="O49" s="63" t="str">
        <f>IF($A49="","",COUNTIF('13_Barriere_Opp'!$B$4:$B$1000,$A49))</f>
        <v/>
      </c>
      <c r="P49" s="63" t="str">
        <f>IF($A49="","",COUNTIF('14_Attori_Imprese'!$B$4:$B$1000,$A49))</f>
        <v/>
      </c>
      <c r="Q49" s="63" t="str">
        <f>IF($A49="","",COUNTIF('15_Prestazioni'!$B$4:$B$1000,$A49))</f>
        <v/>
      </c>
      <c r="R49" s="64" t="str">
        <f t="shared" si="0"/>
        <v/>
      </c>
      <c r="S49" s="65" t="str">
        <f>IF($A49="","",IFERROR(AVERAGEIF('07_TRL_TLR'!$B$4:$B$1000,$A49,'07_TRL_TLR'!$F$4:$F$1000),""))</f>
        <v/>
      </c>
      <c r="T49" s="63" t="str">
        <f t="shared" si="1"/>
        <v/>
      </c>
      <c r="U49" s="66" t="str">
        <f t="shared" si="2"/>
        <v/>
      </c>
      <c r="V49" s="66" t="str">
        <f t="shared" si="3"/>
        <v/>
      </c>
    </row>
    <row r="50" spans="1:22">
      <c r="A50" s="67" t="str">
        <f>IF('03_Tecnologie'!A50="","",'03_Tecnologie'!A50)</f>
        <v/>
      </c>
      <c r="B50" s="67" t="str">
        <f>IF($A50="","",'03_Tecnologie'!D50)</f>
        <v/>
      </c>
      <c r="C50" s="67" t="str">
        <f>IF($A50="","",'03_Tecnologie'!B50)</f>
        <v/>
      </c>
      <c r="D50" s="67" t="str">
        <f>IF($A50="","",'03_Tecnologie'!F50)</f>
        <v/>
      </c>
      <c r="E50" s="63" t="str">
        <f>IF($A50="","",COUNTIF('04_Componenti'!$B$4:$B$1000,$A50))</f>
        <v/>
      </c>
      <c r="F50" s="63" t="str">
        <f>IF($A50="","",COUNTIF('05_Descrizione'!$B$4:$B$1000,$A50))</f>
        <v/>
      </c>
      <c r="G50" s="63" t="str">
        <f>IF($A50="","",COUNTIF('06_Avanzamento'!$B$4:$B$1000,$A50))</f>
        <v/>
      </c>
      <c r="H50" s="63" t="str">
        <f>IF($A50="","",COUNTIF('07_TRL_TLR'!$B$4:$B$1000,$A50))</f>
        <v/>
      </c>
      <c r="I50" s="63" t="str">
        <f>IF($A50="","",COUNTIF('08_Costi_Compet'!$B$4:$B$1000,$A50))</f>
        <v/>
      </c>
      <c r="J50" s="63" t="str">
        <f>IF($A50="","",COUNTIF('09_Settori_Impatto'!$B$4:$B$1000,$A50))</f>
        <v/>
      </c>
      <c r="K50" s="63" t="str">
        <f>IF($A50="","",COUNTIF('16_Mercati_Riferimento'!$B$4:$B$1000,$A50))</f>
        <v/>
      </c>
      <c r="L50" s="22" t="str">
        <f>IF($A50="","",COUNTIF('10_Sostenibilita'!$B$4:$B$1000,$A50))</f>
        <v/>
      </c>
      <c r="M50" s="63" t="str">
        <f>IF($A50="","",COUNTIF('11_Best_Practice'!$B$4:$B$1000,$A50))</f>
        <v/>
      </c>
      <c r="N50" s="63" t="str">
        <f>IF($A50="","",COUNTIF('12_Policy_Regolazione'!$B$4:$B$1000,$A50))</f>
        <v/>
      </c>
      <c r="O50" s="63" t="str">
        <f>IF($A50="","",COUNTIF('13_Barriere_Opp'!$B$4:$B$1000,$A50))</f>
        <v/>
      </c>
      <c r="P50" s="63" t="str">
        <f>IF($A50="","",COUNTIF('14_Attori_Imprese'!$B$4:$B$1000,$A50))</f>
        <v/>
      </c>
      <c r="Q50" s="63" t="str">
        <f>IF($A50="","",COUNTIF('15_Prestazioni'!$B$4:$B$1000,$A50))</f>
        <v/>
      </c>
      <c r="R50" s="64" t="str">
        <f t="shared" si="0"/>
        <v/>
      </c>
      <c r="S50" s="65" t="str">
        <f>IF($A50="","",IFERROR(AVERAGEIF('07_TRL_TLR'!$B$4:$B$1000,$A50,'07_TRL_TLR'!$F$4:$F$1000),""))</f>
        <v/>
      </c>
      <c r="T50" s="63" t="str">
        <f t="shared" si="1"/>
        <v/>
      </c>
      <c r="U50" s="66" t="str">
        <f t="shared" si="2"/>
        <v/>
      </c>
      <c r="V50" s="66" t="str">
        <f t="shared" si="3"/>
        <v/>
      </c>
    </row>
    <row r="51" spans="1:22">
      <c r="A51" s="67" t="str">
        <f>IF('03_Tecnologie'!A51="","",'03_Tecnologie'!A51)</f>
        <v/>
      </c>
      <c r="B51" s="67" t="str">
        <f>IF($A51="","",'03_Tecnologie'!D51)</f>
        <v/>
      </c>
      <c r="C51" s="67" t="str">
        <f>IF($A51="","",'03_Tecnologie'!B51)</f>
        <v/>
      </c>
      <c r="D51" s="67" t="str">
        <f>IF($A51="","",'03_Tecnologie'!F51)</f>
        <v/>
      </c>
      <c r="E51" s="63" t="str">
        <f>IF($A51="","",COUNTIF('04_Componenti'!$B$4:$B$1000,$A51))</f>
        <v/>
      </c>
      <c r="F51" s="63" t="str">
        <f>IF($A51="","",COUNTIF('05_Descrizione'!$B$4:$B$1000,$A51))</f>
        <v/>
      </c>
      <c r="G51" s="63" t="str">
        <f>IF($A51="","",COUNTIF('06_Avanzamento'!$B$4:$B$1000,$A51))</f>
        <v/>
      </c>
      <c r="H51" s="63" t="str">
        <f>IF($A51="","",COUNTIF('07_TRL_TLR'!$B$4:$B$1000,$A51))</f>
        <v/>
      </c>
      <c r="I51" s="63" t="str">
        <f>IF($A51="","",COUNTIF('08_Costi_Compet'!$B$4:$B$1000,$A51))</f>
        <v/>
      </c>
      <c r="J51" s="63" t="str">
        <f>IF($A51="","",COUNTIF('09_Settori_Impatto'!$B$4:$B$1000,$A51))</f>
        <v/>
      </c>
      <c r="K51" s="63" t="str">
        <f>IF($A51="","",COUNTIF('16_Mercati_Riferimento'!$B$4:$B$1000,$A51))</f>
        <v/>
      </c>
      <c r="L51" s="22" t="str">
        <f>IF($A51="","",COUNTIF('10_Sostenibilita'!$B$4:$B$1000,$A51))</f>
        <v/>
      </c>
      <c r="M51" s="63" t="str">
        <f>IF($A51="","",COUNTIF('11_Best_Practice'!$B$4:$B$1000,$A51))</f>
        <v/>
      </c>
      <c r="N51" s="63" t="str">
        <f>IF($A51="","",COUNTIF('12_Policy_Regolazione'!$B$4:$B$1000,$A51))</f>
        <v/>
      </c>
      <c r="O51" s="63" t="str">
        <f>IF($A51="","",COUNTIF('13_Barriere_Opp'!$B$4:$B$1000,$A51))</f>
        <v/>
      </c>
      <c r="P51" s="63" t="str">
        <f>IF($A51="","",COUNTIF('14_Attori_Imprese'!$B$4:$B$1000,$A51))</f>
        <v/>
      </c>
      <c r="Q51" s="63" t="str">
        <f>IF($A51="","",COUNTIF('15_Prestazioni'!$B$4:$B$1000,$A51))</f>
        <v/>
      </c>
      <c r="R51" s="64" t="str">
        <f t="shared" si="0"/>
        <v/>
      </c>
      <c r="S51" s="65" t="str">
        <f>IF($A51="","",IFERROR(AVERAGEIF('07_TRL_TLR'!$B$4:$B$1000,$A51,'07_TRL_TLR'!$F$4:$F$1000),""))</f>
        <v/>
      </c>
      <c r="T51" s="63" t="str">
        <f t="shared" si="1"/>
        <v/>
      </c>
      <c r="U51" s="66" t="str">
        <f t="shared" si="2"/>
        <v/>
      </c>
      <c r="V51" s="66" t="str">
        <f t="shared" si="3"/>
        <v/>
      </c>
    </row>
    <row r="52" spans="1:22">
      <c r="A52" s="67" t="str">
        <f>IF('03_Tecnologie'!A52="","",'03_Tecnologie'!A52)</f>
        <v/>
      </c>
      <c r="B52" s="67" t="str">
        <f>IF($A52="","",'03_Tecnologie'!D52)</f>
        <v/>
      </c>
      <c r="C52" s="67" t="str">
        <f>IF($A52="","",'03_Tecnologie'!B52)</f>
        <v/>
      </c>
      <c r="D52" s="67" t="str">
        <f>IF($A52="","",'03_Tecnologie'!F52)</f>
        <v/>
      </c>
      <c r="E52" s="63" t="str">
        <f>IF($A52="","",COUNTIF('04_Componenti'!$B$4:$B$1000,$A52))</f>
        <v/>
      </c>
      <c r="F52" s="63" t="str">
        <f>IF($A52="","",COUNTIF('05_Descrizione'!$B$4:$B$1000,$A52))</f>
        <v/>
      </c>
      <c r="G52" s="63" t="str">
        <f>IF($A52="","",COUNTIF('06_Avanzamento'!$B$4:$B$1000,$A52))</f>
        <v/>
      </c>
      <c r="H52" s="63" t="str">
        <f>IF($A52="","",COUNTIF('07_TRL_TLR'!$B$4:$B$1000,$A52))</f>
        <v/>
      </c>
      <c r="I52" s="63" t="str">
        <f>IF($A52="","",COUNTIF('08_Costi_Compet'!$B$4:$B$1000,$A52))</f>
        <v/>
      </c>
      <c r="J52" s="63" t="str">
        <f>IF($A52="","",COUNTIF('09_Settori_Impatto'!$B$4:$B$1000,$A52))</f>
        <v/>
      </c>
      <c r="K52" s="63" t="str">
        <f>IF($A52="","",COUNTIF('16_Mercati_Riferimento'!$B$4:$B$1000,$A52))</f>
        <v/>
      </c>
      <c r="L52" s="22" t="str">
        <f>IF($A52="","",COUNTIF('10_Sostenibilita'!$B$4:$B$1000,$A52))</f>
        <v/>
      </c>
      <c r="M52" s="63" t="str">
        <f>IF($A52="","",COUNTIF('11_Best_Practice'!$B$4:$B$1000,$A52))</f>
        <v/>
      </c>
      <c r="N52" s="63" t="str">
        <f>IF($A52="","",COUNTIF('12_Policy_Regolazione'!$B$4:$B$1000,$A52))</f>
        <v/>
      </c>
      <c r="O52" s="63" t="str">
        <f>IF($A52="","",COUNTIF('13_Barriere_Opp'!$B$4:$B$1000,$A52))</f>
        <v/>
      </c>
      <c r="P52" s="63" t="str">
        <f>IF($A52="","",COUNTIF('14_Attori_Imprese'!$B$4:$B$1000,$A52))</f>
        <v/>
      </c>
      <c r="Q52" s="63" t="str">
        <f>IF($A52="","",COUNTIF('15_Prestazioni'!$B$4:$B$1000,$A52))</f>
        <v/>
      </c>
      <c r="R52" s="64" t="str">
        <f t="shared" si="0"/>
        <v/>
      </c>
      <c r="S52" s="65" t="str">
        <f>IF($A52="","",IFERROR(AVERAGEIF('07_TRL_TLR'!$B$4:$B$1000,$A52,'07_TRL_TLR'!$F$4:$F$1000),""))</f>
        <v/>
      </c>
      <c r="T52" s="63" t="str">
        <f t="shared" si="1"/>
        <v/>
      </c>
      <c r="U52" s="66" t="str">
        <f t="shared" si="2"/>
        <v/>
      </c>
      <c r="V52" s="66" t="str">
        <f t="shared" si="3"/>
        <v/>
      </c>
    </row>
    <row r="53" spans="1:22">
      <c r="A53" s="67" t="str">
        <f>IF('03_Tecnologie'!A53="","",'03_Tecnologie'!A53)</f>
        <v/>
      </c>
      <c r="B53" s="67" t="str">
        <f>IF($A53="","",'03_Tecnologie'!D53)</f>
        <v/>
      </c>
      <c r="C53" s="67" t="str">
        <f>IF($A53="","",'03_Tecnologie'!B53)</f>
        <v/>
      </c>
      <c r="D53" s="67" t="str">
        <f>IF($A53="","",'03_Tecnologie'!F53)</f>
        <v/>
      </c>
      <c r="E53" s="63" t="str">
        <f>IF($A53="","",COUNTIF('04_Componenti'!$B$4:$B$1000,$A53))</f>
        <v/>
      </c>
      <c r="F53" s="63" t="str">
        <f>IF($A53="","",COUNTIF('05_Descrizione'!$B$4:$B$1000,$A53))</f>
        <v/>
      </c>
      <c r="G53" s="63" t="str">
        <f>IF($A53="","",COUNTIF('06_Avanzamento'!$B$4:$B$1000,$A53))</f>
        <v/>
      </c>
      <c r="H53" s="63" t="str">
        <f>IF($A53="","",COUNTIF('07_TRL_TLR'!$B$4:$B$1000,$A53))</f>
        <v/>
      </c>
      <c r="I53" s="63" t="str">
        <f>IF($A53="","",COUNTIF('08_Costi_Compet'!$B$4:$B$1000,$A53))</f>
        <v/>
      </c>
      <c r="J53" s="63" t="str">
        <f>IF($A53="","",COUNTIF('09_Settori_Impatto'!$B$4:$B$1000,$A53))</f>
        <v/>
      </c>
      <c r="K53" s="63" t="str">
        <f>IF($A53="","",COUNTIF('16_Mercati_Riferimento'!$B$4:$B$1000,$A53))</f>
        <v/>
      </c>
      <c r="L53" s="22" t="str">
        <f>IF($A53="","",COUNTIF('10_Sostenibilita'!$B$4:$B$1000,$A53))</f>
        <v/>
      </c>
      <c r="M53" s="63" t="str">
        <f>IF($A53="","",COUNTIF('11_Best_Practice'!$B$4:$B$1000,$A53))</f>
        <v/>
      </c>
      <c r="N53" s="63" t="str">
        <f>IF($A53="","",COUNTIF('12_Policy_Regolazione'!$B$4:$B$1000,$A53))</f>
        <v/>
      </c>
      <c r="O53" s="63" t="str">
        <f>IF($A53="","",COUNTIF('13_Barriere_Opp'!$B$4:$B$1000,$A53))</f>
        <v/>
      </c>
      <c r="P53" s="63" t="str">
        <f>IF($A53="","",COUNTIF('14_Attori_Imprese'!$B$4:$B$1000,$A53))</f>
        <v/>
      </c>
      <c r="Q53" s="63" t="str">
        <f>IF($A53="","",COUNTIF('15_Prestazioni'!$B$4:$B$1000,$A53))</f>
        <v/>
      </c>
      <c r="R53" s="64" t="str">
        <f t="shared" si="0"/>
        <v/>
      </c>
      <c r="S53" s="65" t="str">
        <f>IF($A53="","",IFERROR(AVERAGEIF('07_TRL_TLR'!$B$4:$B$1000,$A53,'07_TRL_TLR'!$F$4:$F$1000),""))</f>
        <v/>
      </c>
      <c r="T53" s="63" t="str">
        <f t="shared" si="1"/>
        <v/>
      </c>
      <c r="U53" s="66" t="str">
        <f t="shared" si="2"/>
        <v/>
      </c>
      <c r="V53" s="66" t="str">
        <f t="shared" si="3"/>
        <v/>
      </c>
    </row>
    <row r="54" spans="1:22">
      <c r="A54" s="67" t="str">
        <f>IF('03_Tecnologie'!A54="","",'03_Tecnologie'!A54)</f>
        <v/>
      </c>
      <c r="B54" s="67" t="str">
        <f>IF($A54="","",'03_Tecnologie'!D54)</f>
        <v/>
      </c>
      <c r="C54" s="67" t="str">
        <f>IF($A54="","",'03_Tecnologie'!B54)</f>
        <v/>
      </c>
      <c r="D54" s="67" t="str">
        <f>IF($A54="","",'03_Tecnologie'!F54)</f>
        <v/>
      </c>
      <c r="E54" s="63" t="str">
        <f>IF($A54="","",COUNTIF('04_Componenti'!$B$4:$B$1000,$A54))</f>
        <v/>
      </c>
      <c r="F54" s="63" t="str">
        <f>IF($A54="","",COUNTIF('05_Descrizione'!$B$4:$B$1000,$A54))</f>
        <v/>
      </c>
      <c r="G54" s="63" t="str">
        <f>IF($A54="","",COUNTIF('06_Avanzamento'!$B$4:$B$1000,$A54))</f>
        <v/>
      </c>
      <c r="H54" s="63" t="str">
        <f>IF($A54="","",COUNTIF('07_TRL_TLR'!$B$4:$B$1000,$A54))</f>
        <v/>
      </c>
      <c r="I54" s="63" t="str">
        <f>IF($A54="","",COUNTIF('08_Costi_Compet'!$B$4:$B$1000,$A54))</f>
        <v/>
      </c>
      <c r="J54" s="63" t="str">
        <f>IF($A54="","",COUNTIF('09_Settori_Impatto'!$B$4:$B$1000,$A54))</f>
        <v/>
      </c>
      <c r="K54" s="63" t="str">
        <f>IF($A54="","",COUNTIF('16_Mercati_Riferimento'!$B$4:$B$1000,$A54))</f>
        <v/>
      </c>
      <c r="L54" s="22" t="str">
        <f>IF($A54="","",COUNTIF('10_Sostenibilita'!$B$4:$B$1000,$A54))</f>
        <v/>
      </c>
      <c r="M54" s="63" t="str">
        <f>IF($A54="","",COUNTIF('11_Best_Practice'!$B$4:$B$1000,$A54))</f>
        <v/>
      </c>
      <c r="N54" s="63" t="str">
        <f>IF($A54="","",COUNTIF('12_Policy_Regolazione'!$B$4:$B$1000,$A54))</f>
        <v/>
      </c>
      <c r="O54" s="63" t="str">
        <f>IF($A54="","",COUNTIF('13_Barriere_Opp'!$B$4:$B$1000,$A54))</f>
        <v/>
      </c>
      <c r="P54" s="63" t="str">
        <f>IF($A54="","",COUNTIF('14_Attori_Imprese'!$B$4:$B$1000,$A54))</f>
        <v/>
      </c>
      <c r="Q54" s="63" t="str">
        <f>IF($A54="","",COUNTIF('15_Prestazioni'!$B$4:$B$1000,$A54))</f>
        <v/>
      </c>
      <c r="R54" s="64" t="str">
        <f t="shared" si="0"/>
        <v/>
      </c>
      <c r="S54" s="65" t="str">
        <f>IF($A54="","",IFERROR(AVERAGEIF('07_TRL_TLR'!$B$4:$B$1000,$A54,'07_TRL_TLR'!$F$4:$F$1000),""))</f>
        <v/>
      </c>
      <c r="T54" s="63" t="str">
        <f t="shared" si="1"/>
        <v/>
      </c>
      <c r="U54" s="66" t="str">
        <f t="shared" si="2"/>
        <v/>
      </c>
      <c r="V54" s="66" t="str">
        <f t="shared" si="3"/>
        <v/>
      </c>
    </row>
    <row r="55" spans="1:22">
      <c r="A55" s="67" t="str">
        <f>IF('03_Tecnologie'!A55="","",'03_Tecnologie'!A55)</f>
        <v/>
      </c>
      <c r="B55" s="67" t="str">
        <f>IF($A55="","",'03_Tecnologie'!D55)</f>
        <v/>
      </c>
      <c r="C55" s="67" t="str">
        <f>IF($A55="","",'03_Tecnologie'!B55)</f>
        <v/>
      </c>
      <c r="D55" s="67" t="str">
        <f>IF($A55="","",'03_Tecnologie'!F55)</f>
        <v/>
      </c>
      <c r="E55" s="63" t="str">
        <f>IF($A55="","",COUNTIF('04_Componenti'!$B$4:$B$1000,$A55))</f>
        <v/>
      </c>
      <c r="F55" s="63" t="str">
        <f>IF($A55="","",COUNTIF('05_Descrizione'!$B$4:$B$1000,$A55))</f>
        <v/>
      </c>
      <c r="G55" s="63" t="str">
        <f>IF($A55="","",COUNTIF('06_Avanzamento'!$B$4:$B$1000,$A55))</f>
        <v/>
      </c>
      <c r="H55" s="63" t="str">
        <f>IF($A55="","",COUNTIF('07_TRL_TLR'!$B$4:$B$1000,$A55))</f>
        <v/>
      </c>
      <c r="I55" s="63" t="str">
        <f>IF($A55="","",COUNTIF('08_Costi_Compet'!$B$4:$B$1000,$A55))</f>
        <v/>
      </c>
      <c r="J55" s="63" t="str">
        <f>IF($A55="","",COUNTIF('09_Settori_Impatto'!$B$4:$B$1000,$A55))</f>
        <v/>
      </c>
      <c r="K55" s="63" t="str">
        <f>IF($A55="","",COUNTIF('16_Mercati_Riferimento'!$B$4:$B$1000,$A55))</f>
        <v/>
      </c>
      <c r="L55" s="22" t="str">
        <f>IF($A55="","",COUNTIF('10_Sostenibilita'!$B$4:$B$1000,$A55))</f>
        <v/>
      </c>
      <c r="M55" s="63" t="str">
        <f>IF($A55="","",COUNTIF('11_Best_Practice'!$B$4:$B$1000,$A55))</f>
        <v/>
      </c>
      <c r="N55" s="63" t="str">
        <f>IF($A55="","",COUNTIF('12_Policy_Regolazione'!$B$4:$B$1000,$A55))</f>
        <v/>
      </c>
      <c r="O55" s="63" t="str">
        <f>IF($A55="","",COUNTIF('13_Barriere_Opp'!$B$4:$B$1000,$A55))</f>
        <v/>
      </c>
      <c r="P55" s="63" t="str">
        <f>IF($A55="","",COUNTIF('14_Attori_Imprese'!$B$4:$B$1000,$A55))</f>
        <v/>
      </c>
      <c r="Q55" s="63" t="str">
        <f>IF($A55="","",COUNTIF('15_Prestazioni'!$B$4:$B$1000,$A55))</f>
        <v/>
      </c>
      <c r="R55" s="64" t="str">
        <f t="shared" si="0"/>
        <v/>
      </c>
      <c r="S55" s="65" t="str">
        <f>IF($A55="","",IFERROR(AVERAGEIF('07_TRL_TLR'!$B$4:$B$1000,$A55,'07_TRL_TLR'!$F$4:$F$1000),""))</f>
        <v/>
      </c>
      <c r="T55" s="63" t="str">
        <f t="shared" si="1"/>
        <v/>
      </c>
      <c r="U55" s="66" t="str">
        <f t="shared" si="2"/>
        <v/>
      </c>
      <c r="V55" s="66" t="str">
        <f t="shared" si="3"/>
        <v/>
      </c>
    </row>
    <row r="56" spans="1:22">
      <c r="A56" s="67" t="str">
        <f>IF('03_Tecnologie'!A56="","",'03_Tecnologie'!A56)</f>
        <v/>
      </c>
      <c r="B56" s="67" t="str">
        <f>IF($A56="","",'03_Tecnologie'!D56)</f>
        <v/>
      </c>
      <c r="C56" s="67" t="str">
        <f>IF($A56="","",'03_Tecnologie'!B56)</f>
        <v/>
      </c>
      <c r="D56" s="67" t="str">
        <f>IF($A56="","",'03_Tecnologie'!F56)</f>
        <v/>
      </c>
      <c r="E56" s="63" t="str">
        <f>IF($A56="","",COUNTIF('04_Componenti'!$B$4:$B$1000,$A56))</f>
        <v/>
      </c>
      <c r="F56" s="63" t="str">
        <f>IF($A56="","",COUNTIF('05_Descrizione'!$B$4:$B$1000,$A56))</f>
        <v/>
      </c>
      <c r="G56" s="63" t="str">
        <f>IF($A56="","",COUNTIF('06_Avanzamento'!$B$4:$B$1000,$A56))</f>
        <v/>
      </c>
      <c r="H56" s="63" t="str">
        <f>IF($A56="","",COUNTIF('07_TRL_TLR'!$B$4:$B$1000,$A56))</f>
        <v/>
      </c>
      <c r="I56" s="63" t="str">
        <f>IF($A56="","",COUNTIF('08_Costi_Compet'!$B$4:$B$1000,$A56))</f>
        <v/>
      </c>
      <c r="J56" s="63" t="str">
        <f>IF($A56="","",COUNTIF('09_Settori_Impatto'!$B$4:$B$1000,$A56))</f>
        <v/>
      </c>
      <c r="K56" s="63" t="str">
        <f>IF($A56="","",COUNTIF('16_Mercati_Riferimento'!$B$4:$B$1000,$A56))</f>
        <v/>
      </c>
      <c r="L56" s="22" t="str">
        <f>IF($A56="","",COUNTIF('10_Sostenibilita'!$B$4:$B$1000,$A56))</f>
        <v/>
      </c>
      <c r="M56" s="63" t="str">
        <f>IF($A56="","",COUNTIF('11_Best_Practice'!$B$4:$B$1000,$A56))</f>
        <v/>
      </c>
      <c r="N56" s="63" t="str">
        <f>IF($A56="","",COUNTIF('12_Policy_Regolazione'!$B$4:$B$1000,$A56))</f>
        <v/>
      </c>
      <c r="O56" s="63" t="str">
        <f>IF($A56="","",COUNTIF('13_Barriere_Opp'!$B$4:$B$1000,$A56))</f>
        <v/>
      </c>
      <c r="P56" s="63" t="str">
        <f>IF($A56="","",COUNTIF('14_Attori_Imprese'!$B$4:$B$1000,$A56))</f>
        <v/>
      </c>
      <c r="Q56" s="63" t="str">
        <f>IF($A56="","",COUNTIF('15_Prestazioni'!$B$4:$B$1000,$A56))</f>
        <v/>
      </c>
      <c r="R56" s="64" t="str">
        <f t="shared" si="0"/>
        <v/>
      </c>
      <c r="S56" s="65" t="str">
        <f>IF($A56="","",IFERROR(AVERAGEIF('07_TRL_TLR'!$B$4:$B$1000,$A56,'07_TRL_TLR'!$F$4:$F$1000),""))</f>
        <v/>
      </c>
      <c r="T56" s="63" t="str">
        <f t="shared" si="1"/>
        <v/>
      </c>
      <c r="U56" s="66" t="str">
        <f t="shared" si="2"/>
        <v/>
      </c>
      <c r="V56" s="66" t="str">
        <f t="shared" si="3"/>
        <v/>
      </c>
    </row>
    <row r="57" spans="1:22">
      <c r="A57" s="67" t="str">
        <f>IF('03_Tecnologie'!A57="","",'03_Tecnologie'!A57)</f>
        <v/>
      </c>
      <c r="B57" s="67" t="str">
        <f>IF($A57="","",'03_Tecnologie'!D57)</f>
        <v/>
      </c>
      <c r="C57" s="67" t="str">
        <f>IF($A57="","",'03_Tecnologie'!B57)</f>
        <v/>
      </c>
      <c r="D57" s="67" t="str">
        <f>IF($A57="","",'03_Tecnologie'!F57)</f>
        <v/>
      </c>
      <c r="E57" s="63" t="str">
        <f>IF($A57="","",COUNTIF('04_Componenti'!$B$4:$B$1000,$A57))</f>
        <v/>
      </c>
      <c r="F57" s="63" t="str">
        <f>IF($A57="","",COUNTIF('05_Descrizione'!$B$4:$B$1000,$A57))</f>
        <v/>
      </c>
      <c r="G57" s="63" t="str">
        <f>IF($A57="","",COUNTIF('06_Avanzamento'!$B$4:$B$1000,$A57))</f>
        <v/>
      </c>
      <c r="H57" s="63" t="str">
        <f>IF($A57="","",COUNTIF('07_TRL_TLR'!$B$4:$B$1000,$A57))</f>
        <v/>
      </c>
      <c r="I57" s="63" t="str">
        <f>IF($A57="","",COUNTIF('08_Costi_Compet'!$B$4:$B$1000,$A57))</f>
        <v/>
      </c>
      <c r="J57" s="63" t="str">
        <f>IF($A57="","",COUNTIF('09_Settori_Impatto'!$B$4:$B$1000,$A57))</f>
        <v/>
      </c>
      <c r="K57" s="63" t="str">
        <f>IF($A57="","",COUNTIF('16_Mercati_Riferimento'!$B$4:$B$1000,$A57))</f>
        <v/>
      </c>
      <c r="L57" s="22" t="str">
        <f>IF($A57="","",COUNTIF('10_Sostenibilita'!$B$4:$B$1000,$A57))</f>
        <v/>
      </c>
      <c r="M57" s="63" t="str">
        <f>IF($A57="","",COUNTIF('11_Best_Practice'!$B$4:$B$1000,$A57))</f>
        <v/>
      </c>
      <c r="N57" s="63" t="str">
        <f>IF($A57="","",COUNTIF('12_Policy_Regolazione'!$B$4:$B$1000,$A57))</f>
        <v/>
      </c>
      <c r="O57" s="63" t="str">
        <f>IF($A57="","",COUNTIF('13_Barriere_Opp'!$B$4:$B$1000,$A57))</f>
        <v/>
      </c>
      <c r="P57" s="63" t="str">
        <f>IF($A57="","",COUNTIF('14_Attori_Imprese'!$B$4:$B$1000,$A57))</f>
        <v/>
      </c>
      <c r="Q57" s="63" t="str">
        <f>IF($A57="","",COUNTIF('15_Prestazioni'!$B$4:$B$1000,$A57))</f>
        <v/>
      </c>
      <c r="R57" s="64" t="str">
        <f t="shared" si="0"/>
        <v/>
      </c>
      <c r="S57" s="65" t="str">
        <f>IF($A57="","",IFERROR(AVERAGEIF('07_TRL_TLR'!$B$4:$B$1000,$A57,'07_TRL_TLR'!$F$4:$F$1000),""))</f>
        <v/>
      </c>
      <c r="T57" s="63" t="str">
        <f t="shared" si="1"/>
        <v/>
      </c>
      <c r="U57" s="66" t="str">
        <f t="shared" si="2"/>
        <v/>
      </c>
      <c r="V57" s="66" t="str">
        <f t="shared" si="3"/>
        <v/>
      </c>
    </row>
    <row r="58" spans="1:22">
      <c r="A58" s="67" t="str">
        <f>IF('03_Tecnologie'!A58="","",'03_Tecnologie'!A58)</f>
        <v/>
      </c>
      <c r="B58" s="67" t="str">
        <f>IF($A58="","",'03_Tecnologie'!D58)</f>
        <v/>
      </c>
      <c r="C58" s="67" t="str">
        <f>IF($A58="","",'03_Tecnologie'!B58)</f>
        <v/>
      </c>
      <c r="D58" s="67" t="str">
        <f>IF($A58="","",'03_Tecnologie'!F58)</f>
        <v/>
      </c>
      <c r="E58" s="63" t="str">
        <f>IF($A58="","",COUNTIF('04_Componenti'!$B$4:$B$1000,$A58))</f>
        <v/>
      </c>
      <c r="F58" s="63" t="str">
        <f>IF($A58="","",COUNTIF('05_Descrizione'!$B$4:$B$1000,$A58))</f>
        <v/>
      </c>
      <c r="G58" s="63" t="str">
        <f>IF($A58="","",COUNTIF('06_Avanzamento'!$B$4:$B$1000,$A58))</f>
        <v/>
      </c>
      <c r="H58" s="63" t="str">
        <f>IF($A58="","",COUNTIF('07_TRL_TLR'!$B$4:$B$1000,$A58))</f>
        <v/>
      </c>
      <c r="I58" s="63" t="str">
        <f>IF($A58="","",COUNTIF('08_Costi_Compet'!$B$4:$B$1000,$A58))</f>
        <v/>
      </c>
      <c r="J58" s="63" t="str">
        <f>IF($A58="","",COUNTIF('09_Settori_Impatto'!$B$4:$B$1000,$A58))</f>
        <v/>
      </c>
      <c r="K58" s="63" t="str">
        <f>IF($A58="","",COUNTIF('16_Mercati_Riferimento'!$B$4:$B$1000,$A58))</f>
        <v/>
      </c>
      <c r="L58" s="22" t="str">
        <f>IF($A58="","",COUNTIF('10_Sostenibilita'!$B$4:$B$1000,$A58))</f>
        <v/>
      </c>
      <c r="M58" s="63" t="str">
        <f>IF($A58="","",COUNTIF('11_Best_Practice'!$B$4:$B$1000,$A58))</f>
        <v/>
      </c>
      <c r="N58" s="63" t="str">
        <f>IF($A58="","",COUNTIF('12_Policy_Regolazione'!$B$4:$B$1000,$A58))</f>
        <v/>
      </c>
      <c r="O58" s="63" t="str">
        <f>IF($A58="","",COUNTIF('13_Barriere_Opp'!$B$4:$B$1000,$A58))</f>
        <v/>
      </c>
      <c r="P58" s="63" t="str">
        <f>IF($A58="","",COUNTIF('14_Attori_Imprese'!$B$4:$B$1000,$A58))</f>
        <v/>
      </c>
      <c r="Q58" s="63" t="str">
        <f>IF($A58="","",COUNTIF('15_Prestazioni'!$B$4:$B$1000,$A58))</f>
        <v/>
      </c>
      <c r="R58" s="64" t="str">
        <f t="shared" si="0"/>
        <v/>
      </c>
      <c r="S58" s="65" t="str">
        <f>IF($A58="","",IFERROR(AVERAGEIF('07_TRL_TLR'!$B$4:$B$1000,$A58,'07_TRL_TLR'!$F$4:$F$1000),""))</f>
        <v/>
      </c>
      <c r="T58" s="63" t="str">
        <f t="shared" si="1"/>
        <v/>
      </c>
      <c r="U58" s="66" t="str">
        <f t="shared" si="2"/>
        <v/>
      </c>
      <c r="V58" s="66" t="str">
        <f t="shared" si="3"/>
        <v/>
      </c>
    </row>
    <row r="59" spans="1:22">
      <c r="A59" s="67" t="str">
        <f>IF('03_Tecnologie'!A59="","",'03_Tecnologie'!A59)</f>
        <v/>
      </c>
      <c r="B59" s="67" t="str">
        <f>IF($A59="","",'03_Tecnologie'!D59)</f>
        <v/>
      </c>
      <c r="C59" s="67" t="str">
        <f>IF($A59="","",'03_Tecnologie'!B59)</f>
        <v/>
      </c>
      <c r="D59" s="67" t="str">
        <f>IF($A59="","",'03_Tecnologie'!F59)</f>
        <v/>
      </c>
      <c r="E59" s="63" t="str">
        <f>IF($A59="","",COUNTIF('04_Componenti'!$B$4:$B$1000,$A59))</f>
        <v/>
      </c>
      <c r="F59" s="63" t="str">
        <f>IF($A59="","",COUNTIF('05_Descrizione'!$B$4:$B$1000,$A59))</f>
        <v/>
      </c>
      <c r="G59" s="63" t="str">
        <f>IF($A59="","",COUNTIF('06_Avanzamento'!$B$4:$B$1000,$A59))</f>
        <v/>
      </c>
      <c r="H59" s="63" t="str">
        <f>IF($A59="","",COUNTIF('07_TRL_TLR'!$B$4:$B$1000,$A59))</f>
        <v/>
      </c>
      <c r="I59" s="63" t="str">
        <f>IF($A59="","",COUNTIF('08_Costi_Compet'!$B$4:$B$1000,$A59))</f>
        <v/>
      </c>
      <c r="J59" s="63" t="str">
        <f>IF($A59="","",COUNTIF('09_Settori_Impatto'!$B$4:$B$1000,$A59))</f>
        <v/>
      </c>
      <c r="K59" s="63" t="str">
        <f>IF($A59="","",COUNTIF('16_Mercati_Riferimento'!$B$4:$B$1000,$A59))</f>
        <v/>
      </c>
      <c r="L59" s="22" t="str">
        <f>IF($A59="","",COUNTIF('10_Sostenibilita'!$B$4:$B$1000,$A59))</f>
        <v/>
      </c>
      <c r="M59" s="63" t="str">
        <f>IF($A59="","",COUNTIF('11_Best_Practice'!$B$4:$B$1000,$A59))</f>
        <v/>
      </c>
      <c r="N59" s="63" t="str">
        <f>IF($A59="","",COUNTIF('12_Policy_Regolazione'!$B$4:$B$1000,$A59))</f>
        <v/>
      </c>
      <c r="O59" s="63" t="str">
        <f>IF($A59="","",COUNTIF('13_Barriere_Opp'!$B$4:$B$1000,$A59))</f>
        <v/>
      </c>
      <c r="P59" s="63" t="str">
        <f>IF($A59="","",COUNTIF('14_Attori_Imprese'!$B$4:$B$1000,$A59))</f>
        <v/>
      </c>
      <c r="Q59" s="63" t="str">
        <f>IF($A59="","",COUNTIF('15_Prestazioni'!$B$4:$B$1000,$A59))</f>
        <v/>
      </c>
      <c r="R59" s="64" t="str">
        <f t="shared" si="0"/>
        <v/>
      </c>
      <c r="S59" s="65" t="str">
        <f>IF($A59="","",IFERROR(AVERAGEIF('07_TRL_TLR'!$B$4:$B$1000,$A59,'07_TRL_TLR'!$F$4:$F$1000),""))</f>
        <v/>
      </c>
      <c r="T59" s="63" t="str">
        <f t="shared" si="1"/>
        <v/>
      </c>
      <c r="U59" s="66" t="str">
        <f t="shared" si="2"/>
        <v/>
      </c>
      <c r="V59" s="66" t="str">
        <f t="shared" si="3"/>
        <v/>
      </c>
    </row>
    <row r="60" spans="1:22">
      <c r="A60" s="67" t="str">
        <f>IF('03_Tecnologie'!A60="","",'03_Tecnologie'!A60)</f>
        <v/>
      </c>
      <c r="B60" s="67" t="str">
        <f>IF($A60="","",'03_Tecnologie'!D60)</f>
        <v/>
      </c>
      <c r="C60" s="67" t="str">
        <f>IF($A60="","",'03_Tecnologie'!B60)</f>
        <v/>
      </c>
      <c r="D60" s="67" t="str">
        <f>IF($A60="","",'03_Tecnologie'!F60)</f>
        <v/>
      </c>
      <c r="E60" s="63" t="str">
        <f>IF($A60="","",COUNTIF('04_Componenti'!$B$4:$B$1000,$A60))</f>
        <v/>
      </c>
      <c r="F60" s="63" t="str">
        <f>IF($A60="","",COUNTIF('05_Descrizione'!$B$4:$B$1000,$A60))</f>
        <v/>
      </c>
      <c r="G60" s="63" t="str">
        <f>IF($A60="","",COUNTIF('06_Avanzamento'!$B$4:$B$1000,$A60))</f>
        <v/>
      </c>
      <c r="H60" s="63" t="str">
        <f>IF($A60="","",COUNTIF('07_TRL_TLR'!$B$4:$B$1000,$A60))</f>
        <v/>
      </c>
      <c r="I60" s="63" t="str">
        <f>IF($A60="","",COUNTIF('08_Costi_Compet'!$B$4:$B$1000,$A60))</f>
        <v/>
      </c>
      <c r="J60" s="63" t="str">
        <f>IF($A60="","",COUNTIF('09_Settori_Impatto'!$B$4:$B$1000,$A60))</f>
        <v/>
      </c>
      <c r="K60" s="63" t="str">
        <f>IF($A60="","",COUNTIF('16_Mercati_Riferimento'!$B$4:$B$1000,$A60))</f>
        <v/>
      </c>
      <c r="L60" s="22" t="str">
        <f>IF($A60="","",COUNTIF('10_Sostenibilita'!$B$4:$B$1000,$A60))</f>
        <v/>
      </c>
      <c r="M60" s="63" t="str">
        <f>IF($A60="","",COUNTIF('11_Best_Practice'!$B$4:$B$1000,$A60))</f>
        <v/>
      </c>
      <c r="N60" s="63" t="str">
        <f>IF($A60="","",COUNTIF('12_Policy_Regolazione'!$B$4:$B$1000,$A60))</f>
        <v/>
      </c>
      <c r="O60" s="63" t="str">
        <f>IF($A60="","",COUNTIF('13_Barriere_Opp'!$B$4:$B$1000,$A60))</f>
        <v/>
      </c>
      <c r="P60" s="63" t="str">
        <f>IF($A60="","",COUNTIF('14_Attori_Imprese'!$B$4:$B$1000,$A60))</f>
        <v/>
      </c>
      <c r="Q60" s="63" t="str">
        <f>IF($A60="","",COUNTIF('15_Prestazioni'!$B$4:$B$1000,$A60))</f>
        <v/>
      </c>
      <c r="R60" s="64" t="str">
        <f t="shared" si="0"/>
        <v/>
      </c>
      <c r="S60" s="65" t="str">
        <f>IF($A60="","",IFERROR(AVERAGEIF('07_TRL_TLR'!$B$4:$B$1000,$A60,'07_TRL_TLR'!$F$4:$F$1000),""))</f>
        <v/>
      </c>
      <c r="T60" s="63" t="str">
        <f t="shared" si="1"/>
        <v/>
      </c>
      <c r="U60" s="66" t="str">
        <f t="shared" si="2"/>
        <v/>
      </c>
      <c r="V60" s="66" t="str">
        <f t="shared" si="3"/>
        <v/>
      </c>
    </row>
    <row r="61" spans="1:22">
      <c r="A61" s="67" t="str">
        <f>IF('03_Tecnologie'!A61="","",'03_Tecnologie'!A61)</f>
        <v/>
      </c>
      <c r="B61" s="67" t="str">
        <f>IF($A61="","",'03_Tecnologie'!D61)</f>
        <v/>
      </c>
      <c r="C61" s="67" t="str">
        <f>IF($A61="","",'03_Tecnologie'!B61)</f>
        <v/>
      </c>
      <c r="D61" s="67" t="str">
        <f>IF($A61="","",'03_Tecnologie'!F61)</f>
        <v/>
      </c>
      <c r="E61" s="63" t="str">
        <f>IF($A61="","",COUNTIF('04_Componenti'!$B$4:$B$1000,$A61))</f>
        <v/>
      </c>
      <c r="F61" s="63" t="str">
        <f>IF($A61="","",COUNTIF('05_Descrizione'!$B$4:$B$1000,$A61))</f>
        <v/>
      </c>
      <c r="G61" s="63" t="str">
        <f>IF($A61="","",COUNTIF('06_Avanzamento'!$B$4:$B$1000,$A61))</f>
        <v/>
      </c>
      <c r="H61" s="63" t="str">
        <f>IF($A61="","",COUNTIF('07_TRL_TLR'!$B$4:$B$1000,$A61))</f>
        <v/>
      </c>
      <c r="I61" s="63" t="str">
        <f>IF($A61="","",COUNTIF('08_Costi_Compet'!$B$4:$B$1000,$A61))</f>
        <v/>
      </c>
      <c r="J61" s="63" t="str">
        <f>IF($A61="","",COUNTIF('09_Settori_Impatto'!$B$4:$B$1000,$A61))</f>
        <v/>
      </c>
      <c r="K61" s="63" t="str">
        <f>IF($A61="","",COUNTIF('16_Mercati_Riferimento'!$B$4:$B$1000,$A61))</f>
        <v/>
      </c>
      <c r="L61" s="22" t="str">
        <f>IF($A61="","",COUNTIF('10_Sostenibilita'!$B$4:$B$1000,$A61))</f>
        <v/>
      </c>
      <c r="M61" s="63" t="str">
        <f>IF($A61="","",COUNTIF('11_Best_Practice'!$B$4:$B$1000,$A61))</f>
        <v/>
      </c>
      <c r="N61" s="63" t="str">
        <f>IF($A61="","",COUNTIF('12_Policy_Regolazione'!$B$4:$B$1000,$A61))</f>
        <v/>
      </c>
      <c r="O61" s="63" t="str">
        <f>IF($A61="","",COUNTIF('13_Barriere_Opp'!$B$4:$B$1000,$A61))</f>
        <v/>
      </c>
      <c r="P61" s="63" t="str">
        <f>IF($A61="","",COUNTIF('14_Attori_Imprese'!$B$4:$B$1000,$A61))</f>
        <v/>
      </c>
      <c r="Q61" s="63" t="str">
        <f>IF($A61="","",COUNTIF('15_Prestazioni'!$B$4:$B$1000,$A61))</f>
        <v/>
      </c>
      <c r="R61" s="64" t="str">
        <f t="shared" si="0"/>
        <v/>
      </c>
      <c r="S61" s="65" t="str">
        <f>IF($A61="","",IFERROR(AVERAGEIF('07_TRL_TLR'!$B$4:$B$1000,$A61,'07_TRL_TLR'!$F$4:$F$1000),""))</f>
        <v/>
      </c>
      <c r="T61" s="63" t="str">
        <f t="shared" si="1"/>
        <v/>
      </c>
      <c r="U61" s="66" t="str">
        <f t="shared" si="2"/>
        <v/>
      </c>
      <c r="V61" s="66" t="str">
        <f t="shared" si="3"/>
        <v/>
      </c>
    </row>
    <row r="62" spans="1:22">
      <c r="A62" s="67" t="str">
        <f>IF('03_Tecnologie'!A62="","",'03_Tecnologie'!A62)</f>
        <v/>
      </c>
      <c r="B62" s="67" t="str">
        <f>IF($A62="","",'03_Tecnologie'!D62)</f>
        <v/>
      </c>
      <c r="C62" s="67" t="str">
        <f>IF($A62="","",'03_Tecnologie'!B62)</f>
        <v/>
      </c>
      <c r="D62" s="67" t="str">
        <f>IF($A62="","",'03_Tecnologie'!F62)</f>
        <v/>
      </c>
      <c r="E62" s="63" t="str">
        <f>IF($A62="","",COUNTIF('04_Componenti'!$B$4:$B$1000,$A62))</f>
        <v/>
      </c>
      <c r="F62" s="63" t="str">
        <f>IF($A62="","",COUNTIF('05_Descrizione'!$B$4:$B$1000,$A62))</f>
        <v/>
      </c>
      <c r="G62" s="63" t="str">
        <f>IF($A62="","",COUNTIF('06_Avanzamento'!$B$4:$B$1000,$A62))</f>
        <v/>
      </c>
      <c r="H62" s="63" t="str">
        <f>IF($A62="","",COUNTIF('07_TRL_TLR'!$B$4:$B$1000,$A62))</f>
        <v/>
      </c>
      <c r="I62" s="63" t="str">
        <f>IF($A62="","",COUNTIF('08_Costi_Compet'!$B$4:$B$1000,$A62))</f>
        <v/>
      </c>
      <c r="J62" s="63" t="str">
        <f>IF($A62="","",COUNTIF('09_Settori_Impatto'!$B$4:$B$1000,$A62))</f>
        <v/>
      </c>
      <c r="K62" s="63" t="str">
        <f>IF($A62="","",COUNTIF('16_Mercati_Riferimento'!$B$4:$B$1000,$A62))</f>
        <v/>
      </c>
      <c r="L62" s="22" t="str">
        <f>IF($A62="","",COUNTIF('10_Sostenibilita'!$B$4:$B$1000,$A62))</f>
        <v/>
      </c>
      <c r="M62" s="63" t="str">
        <f>IF($A62="","",COUNTIF('11_Best_Practice'!$B$4:$B$1000,$A62))</f>
        <v/>
      </c>
      <c r="N62" s="63" t="str">
        <f>IF($A62="","",COUNTIF('12_Policy_Regolazione'!$B$4:$B$1000,$A62))</f>
        <v/>
      </c>
      <c r="O62" s="63" t="str">
        <f>IF($A62="","",COUNTIF('13_Barriere_Opp'!$B$4:$B$1000,$A62))</f>
        <v/>
      </c>
      <c r="P62" s="63" t="str">
        <f>IF($A62="","",COUNTIF('14_Attori_Imprese'!$B$4:$B$1000,$A62))</f>
        <v/>
      </c>
      <c r="Q62" s="63" t="str">
        <f>IF($A62="","",COUNTIF('15_Prestazioni'!$B$4:$B$1000,$A62))</f>
        <v/>
      </c>
      <c r="R62" s="64" t="str">
        <f t="shared" si="0"/>
        <v/>
      </c>
      <c r="S62" s="65" t="str">
        <f>IF($A62="","",IFERROR(AVERAGEIF('07_TRL_TLR'!$B$4:$B$1000,$A62,'07_TRL_TLR'!$F$4:$F$1000),""))</f>
        <v/>
      </c>
      <c r="T62" s="63" t="str">
        <f t="shared" si="1"/>
        <v/>
      </c>
      <c r="U62" s="66" t="str">
        <f t="shared" si="2"/>
        <v/>
      </c>
      <c r="V62" s="66" t="str">
        <f t="shared" si="3"/>
        <v/>
      </c>
    </row>
    <row r="63" spans="1:22">
      <c r="A63" s="67" t="str">
        <f>IF('03_Tecnologie'!A63="","",'03_Tecnologie'!A63)</f>
        <v/>
      </c>
      <c r="B63" s="67" t="str">
        <f>IF($A63="","",'03_Tecnologie'!D63)</f>
        <v/>
      </c>
      <c r="C63" s="67" t="str">
        <f>IF($A63="","",'03_Tecnologie'!B63)</f>
        <v/>
      </c>
      <c r="D63" s="67" t="str">
        <f>IF($A63="","",'03_Tecnologie'!F63)</f>
        <v/>
      </c>
      <c r="E63" s="63" t="str">
        <f>IF($A63="","",COUNTIF('04_Componenti'!$B$4:$B$1000,$A63))</f>
        <v/>
      </c>
      <c r="F63" s="63" t="str">
        <f>IF($A63="","",COUNTIF('05_Descrizione'!$B$4:$B$1000,$A63))</f>
        <v/>
      </c>
      <c r="G63" s="63" t="str">
        <f>IF($A63="","",COUNTIF('06_Avanzamento'!$B$4:$B$1000,$A63))</f>
        <v/>
      </c>
      <c r="H63" s="63" t="str">
        <f>IF($A63="","",COUNTIF('07_TRL_TLR'!$B$4:$B$1000,$A63))</f>
        <v/>
      </c>
      <c r="I63" s="63" t="str">
        <f>IF($A63="","",COUNTIF('08_Costi_Compet'!$B$4:$B$1000,$A63))</f>
        <v/>
      </c>
      <c r="J63" s="63" t="str">
        <f>IF($A63="","",COUNTIF('09_Settori_Impatto'!$B$4:$B$1000,$A63))</f>
        <v/>
      </c>
      <c r="K63" s="63" t="str">
        <f>IF($A63="","",COUNTIF('16_Mercati_Riferimento'!$B$4:$B$1000,$A63))</f>
        <v/>
      </c>
      <c r="L63" s="22" t="str">
        <f>IF($A63="","",COUNTIF('10_Sostenibilita'!$B$4:$B$1000,$A63))</f>
        <v/>
      </c>
      <c r="M63" s="63" t="str">
        <f>IF($A63="","",COUNTIF('11_Best_Practice'!$B$4:$B$1000,$A63))</f>
        <v/>
      </c>
      <c r="N63" s="63" t="str">
        <f>IF($A63="","",COUNTIF('12_Policy_Regolazione'!$B$4:$B$1000,$A63))</f>
        <v/>
      </c>
      <c r="O63" s="63" t="str">
        <f>IF($A63="","",COUNTIF('13_Barriere_Opp'!$B$4:$B$1000,$A63))</f>
        <v/>
      </c>
      <c r="P63" s="63" t="str">
        <f>IF($A63="","",COUNTIF('14_Attori_Imprese'!$B$4:$B$1000,$A63))</f>
        <v/>
      </c>
      <c r="Q63" s="63" t="str">
        <f>IF($A63="","",COUNTIF('15_Prestazioni'!$B$4:$B$1000,$A63))</f>
        <v/>
      </c>
      <c r="R63" s="64" t="str">
        <f t="shared" si="0"/>
        <v/>
      </c>
      <c r="S63" s="65" t="str">
        <f>IF($A63="","",IFERROR(AVERAGEIF('07_TRL_TLR'!$B$4:$B$1000,$A63,'07_TRL_TLR'!$F$4:$F$1000),""))</f>
        <v/>
      </c>
      <c r="T63" s="63" t="str">
        <f t="shared" si="1"/>
        <v/>
      </c>
      <c r="U63" s="66" t="str">
        <f t="shared" si="2"/>
        <v/>
      </c>
      <c r="V63" s="66" t="str">
        <f t="shared" si="3"/>
        <v/>
      </c>
    </row>
    <row r="64" spans="1:22">
      <c r="A64" s="67" t="str">
        <f>IF('03_Tecnologie'!A64="","",'03_Tecnologie'!A64)</f>
        <v/>
      </c>
      <c r="B64" s="67" t="str">
        <f>IF($A64="","",'03_Tecnologie'!D64)</f>
        <v/>
      </c>
      <c r="C64" s="67" t="str">
        <f>IF($A64="","",'03_Tecnologie'!B64)</f>
        <v/>
      </c>
      <c r="D64" s="67" t="str">
        <f>IF($A64="","",'03_Tecnologie'!F64)</f>
        <v/>
      </c>
      <c r="E64" s="63" t="str">
        <f>IF($A64="","",COUNTIF('04_Componenti'!$B$4:$B$1000,$A64))</f>
        <v/>
      </c>
      <c r="F64" s="63" t="str">
        <f>IF($A64="","",COUNTIF('05_Descrizione'!$B$4:$B$1000,$A64))</f>
        <v/>
      </c>
      <c r="G64" s="63" t="str">
        <f>IF($A64="","",COUNTIF('06_Avanzamento'!$B$4:$B$1000,$A64))</f>
        <v/>
      </c>
      <c r="H64" s="63" t="str">
        <f>IF($A64="","",COUNTIF('07_TRL_TLR'!$B$4:$B$1000,$A64))</f>
        <v/>
      </c>
      <c r="I64" s="63" t="str">
        <f>IF($A64="","",COUNTIF('08_Costi_Compet'!$B$4:$B$1000,$A64))</f>
        <v/>
      </c>
      <c r="J64" s="63" t="str">
        <f>IF($A64="","",COUNTIF('09_Settori_Impatto'!$B$4:$B$1000,$A64))</f>
        <v/>
      </c>
      <c r="K64" s="63" t="str">
        <f>IF($A64="","",COUNTIF('16_Mercati_Riferimento'!$B$4:$B$1000,$A64))</f>
        <v/>
      </c>
      <c r="L64" s="22" t="str">
        <f>IF($A64="","",COUNTIF('10_Sostenibilita'!$B$4:$B$1000,$A64))</f>
        <v/>
      </c>
      <c r="M64" s="63" t="str">
        <f>IF($A64="","",COUNTIF('11_Best_Practice'!$B$4:$B$1000,$A64))</f>
        <v/>
      </c>
      <c r="N64" s="63" t="str">
        <f>IF($A64="","",COUNTIF('12_Policy_Regolazione'!$B$4:$B$1000,$A64))</f>
        <v/>
      </c>
      <c r="O64" s="63" t="str">
        <f>IF($A64="","",COUNTIF('13_Barriere_Opp'!$B$4:$B$1000,$A64))</f>
        <v/>
      </c>
      <c r="P64" s="63" t="str">
        <f>IF($A64="","",COUNTIF('14_Attori_Imprese'!$B$4:$B$1000,$A64))</f>
        <v/>
      </c>
      <c r="Q64" s="63" t="str">
        <f>IF($A64="","",COUNTIF('15_Prestazioni'!$B$4:$B$1000,$A64))</f>
        <v/>
      </c>
      <c r="R64" s="64" t="str">
        <f t="shared" si="0"/>
        <v/>
      </c>
      <c r="S64" s="65" t="str">
        <f>IF($A64="","",IFERROR(AVERAGEIF('07_TRL_TLR'!$B$4:$B$1000,$A64,'07_TRL_TLR'!$F$4:$F$1000),""))</f>
        <v/>
      </c>
      <c r="T64" s="63" t="str">
        <f t="shared" si="1"/>
        <v/>
      </c>
      <c r="U64" s="66" t="str">
        <f t="shared" si="2"/>
        <v/>
      </c>
      <c r="V64" s="66" t="str">
        <f t="shared" si="3"/>
        <v/>
      </c>
    </row>
    <row r="65" spans="1:22">
      <c r="A65" s="67" t="str">
        <f>IF('03_Tecnologie'!A65="","",'03_Tecnologie'!A65)</f>
        <v/>
      </c>
      <c r="B65" s="67" t="str">
        <f>IF($A65="","",'03_Tecnologie'!D65)</f>
        <v/>
      </c>
      <c r="C65" s="67" t="str">
        <f>IF($A65="","",'03_Tecnologie'!B65)</f>
        <v/>
      </c>
      <c r="D65" s="67" t="str">
        <f>IF($A65="","",'03_Tecnologie'!F65)</f>
        <v/>
      </c>
      <c r="E65" s="63" t="str">
        <f>IF($A65="","",COUNTIF('04_Componenti'!$B$4:$B$1000,$A65))</f>
        <v/>
      </c>
      <c r="F65" s="63" t="str">
        <f>IF($A65="","",COUNTIF('05_Descrizione'!$B$4:$B$1000,$A65))</f>
        <v/>
      </c>
      <c r="G65" s="63" t="str">
        <f>IF($A65="","",COUNTIF('06_Avanzamento'!$B$4:$B$1000,$A65))</f>
        <v/>
      </c>
      <c r="H65" s="63" t="str">
        <f>IF($A65="","",COUNTIF('07_TRL_TLR'!$B$4:$B$1000,$A65))</f>
        <v/>
      </c>
      <c r="I65" s="63" t="str">
        <f>IF($A65="","",COUNTIF('08_Costi_Compet'!$B$4:$B$1000,$A65))</f>
        <v/>
      </c>
      <c r="J65" s="63" t="str">
        <f>IF($A65="","",COUNTIF('09_Settori_Impatto'!$B$4:$B$1000,$A65))</f>
        <v/>
      </c>
      <c r="K65" s="63" t="str">
        <f>IF($A65="","",COUNTIF('16_Mercati_Riferimento'!$B$4:$B$1000,$A65))</f>
        <v/>
      </c>
      <c r="L65" s="22" t="str">
        <f>IF($A65="","",COUNTIF('10_Sostenibilita'!$B$4:$B$1000,$A65))</f>
        <v/>
      </c>
      <c r="M65" s="63" t="str">
        <f>IF($A65="","",COUNTIF('11_Best_Practice'!$B$4:$B$1000,$A65))</f>
        <v/>
      </c>
      <c r="N65" s="63" t="str">
        <f>IF($A65="","",COUNTIF('12_Policy_Regolazione'!$B$4:$B$1000,$A65))</f>
        <v/>
      </c>
      <c r="O65" s="63" t="str">
        <f>IF($A65="","",COUNTIF('13_Barriere_Opp'!$B$4:$B$1000,$A65))</f>
        <v/>
      </c>
      <c r="P65" s="63" t="str">
        <f>IF($A65="","",COUNTIF('14_Attori_Imprese'!$B$4:$B$1000,$A65))</f>
        <v/>
      </c>
      <c r="Q65" s="63" t="str">
        <f>IF($A65="","",COUNTIF('15_Prestazioni'!$B$4:$B$1000,$A65))</f>
        <v/>
      </c>
      <c r="R65" s="64" t="str">
        <f t="shared" si="0"/>
        <v/>
      </c>
      <c r="S65" s="65" t="str">
        <f>IF($A65="","",IFERROR(AVERAGEIF('07_TRL_TLR'!$B$4:$B$1000,$A65,'07_TRL_TLR'!$F$4:$F$1000),""))</f>
        <v/>
      </c>
      <c r="T65" s="63" t="str">
        <f t="shared" si="1"/>
        <v/>
      </c>
      <c r="U65" s="66" t="str">
        <f t="shared" si="2"/>
        <v/>
      </c>
      <c r="V65" s="66" t="str">
        <f t="shared" si="3"/>
        <v/>
      </c>
    </row>
    <row r="66" spans="1:22">
      <c r="A66" s="67" t="str">
        <f>IF('03_Tecnologie'!A66="","",'03_Tecnologie'!A66)</f>
        <v/>
      </c>
      <c r="B66" s="67" t="str">
        <f>IF($A66="","",'03_Tecnologie'!D66)</f>
        <v/>
      </c>
      <c r="C66" s="67" t="str">
        <f>IF($A66="","",'03_Tecnologie'!B66)</f>
        <v/>
      </c>
      <c r="D66" s="67" t="str">
        <f>IF($A66="","",'03_Tecnologie'!F66)</f>
        <v/>
      </c>
      <c r="E66" s="63" t="str">
        <f>IF($A66="","",COUNTIF('04_Componenti'!$B$4:$B$1000,$A66))</f>
        <v/>
      </c>
      <c r="F66" s="63" t="str">
        <f>IF($A66="","",COUNTIF('05_Descrizione'!$B$4:$B$1000,$A66))</f>
        <v/>
      </c>
      <c r="G66" s="63" t="str">
        <f>IF($A66="","",COUNTIF('06_Avanzamento'!$B$4:$B$1000,$A66))</f>
        <v/>
      </c>
      <c r="H66" s="63" t="str">
        <f>IF($A66="","",COUNTIF('07_TRL_TLR'!$B$4:$B$1000,$A66))</f>
        <v/>
      </c>
      <c r="I66" s="63" t="str">
        <f>IF($A66="","",COUNTIF('08_Costi_Compet'!$B$4:$B$1000,$A66))</f>
        <v/>
      </c>
      <c r="J66" s="63" t="str">
        <f>IF($A66="","",COUNTIF('09_Settori_Impatto'!$B$4:$B$1000,$A66))</f>
        <v/>
      </c>
      <c r="K66" s="63" t="str">
        <f>IF($A66="","",COUNTIF('16_Mercati_Riferimento'!$B$4:$B$1000,$A66))</f>
        <v/>
      </c>
      <c r="L66" s="22" t="str">
        <f>IF($A66="","",COUNTIF('10_Sostenibilita'!$B$4:$B$1000,$A66))</f>
        <v/>
      </c>
      <c r="M66" s="63" t="str">
        <f>IF($A66="","",COUNTIF('11_Best_Practice'!$B$4:$B$1000,$A66))</f>
        <v/>
      </c>
      <c r="N66" s="63" t="str">
        <f>IF($A66="","",COUNTIF('12_Policy_Regolazione'!$B$4:$B$1000,$A66))</f>
        <v/>
      </c>
      <c r="O66" s="63" t="str">
        <f>IF($A66="","",COUNTIF('13_Barriere_Opp'!$B$4:$B$1000,$A66))</f>
        <v/>
      </c>
      <c r="P66" s="63" t="str">
        <f>IF($A66="","",COUNTIF('14_Attori_Imprese'!$B$4:$B$1000,$A66))</f>
        <v/>
      </c>
      <c r="Q66" s="63" t="str">
        <f>IF($A66="","",COUNTIF('15_Prestazioni'!$B$4:$B$1000,$A66))</f>
        <v/>
      </c>
      <c r="R66" s="64" t="str">
        <f t="shared" si="0"/>
        <v/>
      </c>
      <c r="S66" s="65" t="str">
        <f>IF($A66="","",IFERROR(AVERAGEIF('07_TRL_TLR'!$B$4:$B$1000,$A66,'07_TRL_TLR'!$F$4:$F$1000),""))</f>
        <v/>
      </c>
      <c r="T66" s="63" t="str">
        <f t="shared" si="1"/>
        <v/>
      </c>
      <c r="U66" s="66" t="str">
        <f t="shared" si="2"/>
        <v/>
      </c>
      <c r="V66" s="66" t="str">
        <f t="shared" si="3"/>
        <v/>
      </c>
    </row>
    <row r="67" spans="1:22">
      <c r="A67" s="67" t="str">
        <f>IF('03_Tecnologie'!A67="","",'03_Tecnologie'!A67)</f>
        <v/>
      </c>
      <c r="B67" s="67" t="str">
        <f>IF($A67="","",'03_Tecnologie'!D67)</f>
        <v/>
      </c>
      <c r="C67" s="67" t="str">
        <f>IF($A67="","",'03_Tecnologie'!B67)</f>
        <v/>
      </c>
      <c r="D67" s="67" t="str">
        <f>IF($A67="","",'03_Tecnologie'!F67)</f>
        <v/>
      </c>
      <c r="E67" s="63" t="str">
        <f>IF($A67="","",COUNTIF('04_Componenti'!$B$4:$B$1000,$A67))</f>
        <v/>
      </c>
      <c r="F67" s="63" t="str">
        <f>IF($A67="","",COUNTIF('05_Descrizione'!$B$4:$B$1000,$A67))</f>
        <v/>
      </c>
      <c r="G67" s="63" t="str">
        <f>IF($A67="","",COUNTIF('06_Avanzamento'!$B$4:$B$1000,$A67))</f>
        <v/>
      </c>
      <c r="H67" s="63" t="str">
        <f>IF($A67="","",COUNTIF('07_TRL_TLR'!$B$4:$B$1000,$A67))</f>
        <v/>
      </c>
      <c r="I67" s="63" t="str">
        <f>IF($A67="","",COUNTIF('08_Costi_Compet'!$B$4:$B$1000,$A67))</f>
        <v/>
      </c>
      <c r="J67" s="63" t="str">
        <f>IF($A67="","",COUNTIF('09_Settori_Impatto'!$B$4:$B$1000,$A67))</f>
        <v/>
      </c>
      <c r="K67" s="63" t="str">
        <f>IF($A67="","",COUNTIF('16_Mercati_Riferimento'!$B$4:$B$1000,$A67))</f>
        <v/>
      </c>
      <c r="L67" s="22" t="str">
        <f>IF($A67="","",COUNTIF('10_Sostenibilita'!$B$4:$B$1000,$A67))</f>
        <v/>
      </c>
      <c r="M67" s="63" t="str">
        <f>IF($A67="","",COUNTIF('11_Best_Practice'!$B$4:$B$1000,$A67))</f>
        <v/>
      </c>
      <c r="N67" s="63" t="str">
        <f>IF($A67="","",COUNTIF('12_Policy_Regolazione'!$B$4:$B$1000,$A67))</f>
        <v/>
      </c>
      <c r="O67" s="63" t="str">
        <f>IF($A67="","",COUNTIF('13_Barriere_Opp'!$B$4:$B$1000,$A67))</f>
        <v/>
      </c>
      <c r="P67" s="63" t="str">
        <f>IF($A67="","",COUNTIF('14_Attori_Imprese'!$B$4:$B$1000,$A67))</f>
        <v/>
      </c>
      <c r="Q67" s="63" t="str">
        <f>IF($A67="","",COUNTIF('15_Prestazioni'!$B$4:$B$1000,$A67))</f>
        <v/>
      </c>
      <c r="R67" s="64" t="str">
        <f t="shared" si="0"/>
        <v/>
      </c>
      <c r="S67" s="65" t="str">
        <f>IF($A67="","",IFERROR(AVERAGEIF('07_TRL_TLR'!$B$4:$B$1000,$A67,'07_TRL_TLR'!$F$4:$F$1000),""))</f>
        <v/>
      </c>
      <c r="T67" s="63" t="str">
        <f t="shared" si="1"/>
        <v/>
      </c>
      <c r="U67" s="66" t="str">
        <f t="shared" si="2"/>
        <v/>
      </c>
      <c r="V67" s="66" t="str">
        <f t="shared" si="3"/>
        <v/>
      </c>
    </row>
    <row r="68" spans="1:22">
      <c r="A68" s="67" t="str">
        <f>IF('03_Tecnologie'!A68="","",'03_Tecnologie'!A68)</f>
        <v/>
      </c>
      <c r="B68" s="67" t="str">
        <f>IF($A68="","",'03_Tecnologie'!D68)</f>
        <v/>
      </c>
      <c r="C68" s="67" t="str">
        <f>IF($A68="","",'03_Tecnologie'!B68)</f>
        <v/>
      </c>
      <c r="D68" s="67" t="str">
        <f>IF($A68="","",'03_Tecnologie'!F68)</f>
        <v/>
      </c>
      <c r="E68" s="63" t="str">
        <f>IF($A68="","",COUNTIF('04_Componenti'!$B$4:$B$1000,$A68))</f>
        <v/>
      </c>
      <c r="F68" s="63" t="str">
        <f>IF($A68="","",COUNTIF('05_Descrizione'!$B$4:$B$1000,$A68))</f>
        <v/>
      </c>
      <c r="G68" s="63" t="str">
        <f>IF($A68="","",COUNTIF('06_Avanzamento'!$B$4:$B$1000,$A68))</f>
        <v/>
      </c>
      <c r="H68" s="63" t="str">
        <f>IF($A68="","",COUNTIF('07_TRL_TLR'!$B$4:$B$1000,$A68))</f>
        <v/>
      </c>
      <c r="I68" s="63" t="str">
        <f>IF($A68="","",COUNTIF('08_Costi_Compet'!$B$4:$B$1000,$A68))</f>
        <v/>
      </c>
      <c r="J68" s="63" t="str">
        <f>IF($A68="","",COUNTIF('09_Settori_Impatto'!$B$4:$B$1000,$A68))</f>
        <v/>
      </c>
      <c r="K68" s="63" t="str">
        <f>IF($A68="","",COUNTIF('16_Mercati_Riferimento'!$B$4:$B$1000,$A68))</f>
        <v/>
      </c>
      <c r="L68" s="22" t="str">
        <f>IF($A68="","",COUNTIF('10_Sostenibilita'!$B$4:$B$1000,$A68))</f>
        <v/>
      </c>
      <c r="M68" s="63" t="str">
        <f>IF($A68="","",COUNTIF('11_Best_Practice'!$B$4:$B$1000,$A68))</f>
        <v/>
      </c>
      <c r="N68" s="63" t="str">
        <f>IF($A68="","",COUNTIF('12_Policy_Regolazione'!$B$4:$B$1000,$A68))</f>
        <v/>
      </c>
      <c r="O68" s="63" t="str">
        <f>IF($A68="","",COUNTIF('13_Barriere_Opp'!$B$4:$B$1000,$A68))</f>
        <v/>
      </c>
      <c r="P68" s="63" t="str">
        <f>IF($A68="","",COUNTIF('14_Attori_Imprese'!$B$4:$B$1000,$A68))</f>
        <v/>
      </c>
      <c r="Q68" s="63" t="str">
        <f>IF($A68="","",COUNTIF('15_Prestazioni'!$B$4:$B$1000,$A68))</f>
        <v/>
      </c>
      <c r="R68" s="64" t="str">
        <f t="shared" ref="R68:R131" si="4">IF($A68="","",COUNTIF(F68:Q68,"&gt;0")/12)</f>
        <v/>
      </c>
      <c r="S68" s="65" t="str">
        <f>IF($A68="","",IFERROR(AVERAGEIF('07_TRL_TLR'!$B$4:$B$1000,$A68,'07_TRL_TLR'!$F$4:$F$1000),""))</f>
        <v/>
      </c>
      <c r="T68" s="63" t="str">
        <f t="shared" ref="T68:T131" si="5">IF($A68="","",SUM(F68:Q68))</f>
        <v/>
      </c>
      <c r="U68" s="66" t="str">
        <f t="shared" ref="U68:U131" si="6">IF($A68="","",IF(T68=0,"Da avviare",IF(R68&lt;0.3,"Copertura base",IF(R68&lt;0.7,"Copertura intermedia","Copertura avanzata"))))</f>
        <v/>
      </c>
      <c r="V68" s="66" t="str">
        <f t="shared" ref="V68:V131" si="7">IF($A68="","",IF(AND(D68="Prioritaria",R68&lt;0.5),"Alta priorita",IF(AND(D68="Monitoraggio attivo",R68&lt;0.3),"Media priorita",IF(T68=0,"Da avviare","Presidio adeguato"))))</f>
        <v/>
      </c>
    </row>
    <row r="69" spans="1:22">
      <c r="A69" s="67" t="str">
        <f>IF('03_Tecnologie'!A69="","",'03_Tecnologie'!A69)</f>
        <v/>
      </c>
      <c r="B69" s="67" t="str">
        <f>IF($A69="","",'03_Tecnologie'!D69)</f>
        <v/>
      </c>
      <c r="C69" s="67" t="str">
        <f>IF($A69="","",'03_Tecnologie'!B69)</f>
        <v/>
      </c>
      <c r="D69" s="67" t="str">
        <f>IF($A69="","",'03_Tecnologie'!F69)</f>
        <v/>
      </c>
      <c r="E69" s="63" t="str">
        <f>IF($A69="","",COUNTIF('04_Componenti'!$B$4:$B$1000,$A69))</f>
        <v/>
      </c>
      <c r="F69" s="63" t="str">
        <f>IF($A69="","",COUNTIF('05_Descrizione'!$B$4:$B$1000,$A69))</f>
        <v/>
      </c>
      <c r="G69" s="63" t="str">
        <f>IF($A69="","",COUNTIF('06_Avanzamento'!$B$4:$B$1000,$A69))</f>
        <v/>
      </c>
      <c r="H69" s="63" t="str">
        <f>IF($A69="","",COUNTIF('07_TRL_TLR'!$B$4:$B$1000,$A69))</f>
        <v/>
      </c>
      <c r="I69" s="63" t="str">
        <f>IF($A69="","",COUNTIF('08_Costi_Compet'!$B$4:$B$1000,$A69))</f>
        <v/>
      </c>
      <c r="J69" s="63" t="str">
        <f>IF($A69="","",COUNTIF('09_Settori_Impatto'!$B$4:$B$1000,$A69))</f>
        <v/>
      </c>
      <c r="K69" s="63" t="str">
        <f>IF($A69="","",COUNTIF('16_Mercati_Riferimento'!$B$4:$B$1000,$A69))</f>
        <v/>
      </c>
      <c r="L69" s="22" t="str">
        <f>IF($A69="","",COUNTIF('10_Sostenibilita'!$B$4:$B$1000,$A69))</f>
        <v/>
      </c>
      <c r="M69" s="63" t="str">
        <f>IF($A69="","",COUNTIF('11_Best_Practice'!$B$4:$B$1000,$A69))</f>
        <v/>
      </c>
      <c r="N69" s="63" t="str">
        <f>IF($A69="","",COUNTIF('12_Policy_Regolazione'!$B$4:$B$1000,$A69))</f>
        <v/>
      </c>
      <c r="O69" s="63" t="str">
        <f>IF($A69="","",COUNTIF('13_Barriere_Opp'!$B$4:$B$1000,$A69))</f>
        <v/>
      </c>
      <c r="P69" s="63" t="str">
        <f>IF($A69="","",COUNTIF('14_Attori_Imprese'!$B$4:$B$1000,$A69))</f>
        <v/>
      </c>
      <c r="Q69" s="63" t="str">
        <f>IF($A69="","",COUNTIF('15_Prestazioni'!$B$4:$B$1000,$A69))</f>
        <v/>
      </c>
      <c r="R69" s="64" t="str">
        <f t="shared" si="4"/>
        <v/>
      </c>
      <c r="S69" s="65" t="str">
        <f>IF($A69="","",IFERROR(AVERAGEIF('07_TRL_TLR'!$B$4:$B$1000,$A69,'07_TRL_TLR'!$F$4:$F$1000),""))</f>
        <v/>
      </c>
      <c r="T69" s="63" t="str">
        <f t="shared" si="5"/>
        <v/>
      </c>
      <c r="U69" s="66" t="str">
        <f t="shared" si="6"/>
        <v/>
      </c>
      <c r="V69" s="66" t="str">
        <f t="shared" si="7"/>
        <v/>
      </c>
    </row>
    <row r="70" spans="1:22">
      <c r="A70" s="67" t="str">
        <f>IF('03_Tecnologie'!A70="","",'03_Tecnologie'!A70)</f>
        <v/>
      </c>
      <c r="B70" s="67" t="str">
        <f>IF($A70="","",'03_Tecnologie'!D70)</f>
        <v/>
      </c>
      <c r="C70" s="67" t="str">
        <f>IF($A70="","",'03_Tecnologie'!B70)</f>
        <v/>
      </c>
      <c r="D70" s="67" t="str">
        <f>IF($A70="","",'03_Tecnologie'!F70)</f>
        <v/>
      </c>
      <c r="E70" s="63" t="str">
        <f>IF($A70="","",COUNTIF('04_Componenti'!$B$4:$B$1000,$A70))</f>
        <v/>
      </c>
      <c r="F70" s="63" t="str">
        <f>IF($A70="","",COUNTIF('05_Descrizione'!$B$4:$B$1000,$A70))</f>
        <v/>
      </c>
      <c r="G70" s="63" t="str">
        <f>IF($A70="","",COUNTIF('06_Avanzamento'!$B$4:$B$1000,$A70))</f>
        <v/>
      </c>
      <c r="H70" s="63" t="str">
        <f>IF($A70="","",COUNTIF('07_TRL_TLR'!$B$4:$B$1000,$A70))</f>
        <v/>
      </c>
      <c r="I70" s="63" t="str">
        <f>IF($A70="","",COUNTIF('08_Costi_Compet'!$B$4:$B$1000,$A70))</f>
        <v/>
      </c>
      <c r="J70" s="63" t="str">
        <f>IF($A70="","",COUNTIF('09_Settori_Impatto'!$B$4:$B$1000,$A70))</f>
        <v/>
      </c>
      <c r="K70" s="63" t="str">
        <f>IF($A70="","",COUNTIF('16_Mercati_Riferimento'!$B$4:$B$1000,$A70))</f>
        <v/>
      </c>
      <c r="L70" s="22" t="str">
        <f>IF($A70="","",COUNTIF('10_Sostenibilita'!$B$4:$B$1000,$A70))</f>
        <v/>
      </c>
      <c r="M70" s="63" t="str">
        <f>IF($A70="","",COUNTIF('11_Best_Practice'!$B$4:$B$1000,$A70))</f>
        <v/>
      </c>
      <c r="N70" s="63" t="str">
        <f>IF($A70="","",COUNTIF('12_Policy_Regolazione'!$B$4:$B$1000,$A70))</f>
        <v/>
      </c>
      <c r="O70" s="63" t="str">
        <f>IF($A70="","",COUNTIF('13_Barriere_Opp'!$B$4:$B$1000,$A70))</f>
        <v/>
      </c>
      <c r="P70" s="63" t="str">
        <f>IF($A70="","",COUNTIF('14_Attori_Imprese'!$B$4:$B$1000,$A70))</f>
        <v/>
      </c>
      <c r="Q70" s="63" t="str">
        <f>IF($A70="","",COUNTIF('15_Prestazioni'!$B$4:$B$1000,$A70))</f>
        <v/>
      </c>
      <c r="R70" s="64" t="str">
        <f t="shared" si="4"/>
        <v/>
      </c>
      <c r="S70" s="65" t="str">
        <f>IF($A70="","",IFERROR(AVERAGEIF('07_TRL_TLR'!$B$4:$B$1000,$A70,'07_TRL_TLR'!$F$4:$F$1000),""))</f>
        <v/>
      </c>
      <c r="T70" s="63" t="str">
        <f t="shared" si="5"/>
        <v/>
      </c>
      <c r="U70" s="66" t="str">
        <f t="shared" si="6"/>
        <v/>
      </c>
      <c r="V70" s="66" t="str">
        <f t="shared" si="7"/>
        <v/>
      </c>
    </row>
    <row r="71" spans="1:22">
      <c r="A71" s="67" t="str">
        <f>IF('03_Tecnologie'!A71="","",'03_Tecnologie'!A71)</f>
        <v/>
      </c>
      <c r="B71" s="67" t="str">
        <f>IF($A71="","",'03_Tecnologie'!D71)</f>
        <v/>
      </c>
      <c r="C71" s="67" t="str">
        <f>IF($A71="","",'03_Tecnologie'!B71)</f>
        <v/>
      </c>
      <c r="D71" s="67" t="str">
        <f>IF($A71="","",'03_Tecnologie'!F71)</f>
        <v/>
      </c>
      <c r="E71" s="63" t="str">
        <f>IF($A71="","",COUNTIF('04_Componenti'!$B$4:$B$1000,$A71))</f>
        <v/>
      </c>
      <c r="F71" s="63" t="str">
        <f>IF($A71="","",COUNTIF('05_Descrizione'!$B$4:$B$1000,$A71))</f>
        <v/>
      </c>
      <c r="G71" s="63" t="str">
        <f>IF($A71="","",COUNTIF('06_Avanzamento'!$B$4:$B$1000,$A71))</f>
        <v/>
      </c>
      <c r="H71" s="63" t="str">
        <f>IF($A71="","",COUNTIF('07_TRL_TLR'!$B$4:$B$1000,$A71))</f>
        <v/>
      </c>
      <c r="I71" s="63" t="str">
        <f>IF($A71="","",COUNTIF('08_Costi_Compet'!$B$4:$B$1000,$A71))</f>
        <v/>
      </c>
      <c r="J71" s="63" t="str">
        <f>IF($A71="","",COUNTIF('09_Settori_Impatto'!$B$4:$B$1000,$A71))</f>
        <v/>
      </c>
      <c r="K71" s="63" t="str">
        <f>IF($A71="","",COUNTIF('16_Mercati_Riferimento'!$B$4:$B$1000,$A71))</f>
        <v/>
      </c>
      <c r="L71" s="22" t="str">
        <f>IF($A71="","",COUNTIF('10_Sostenibilita'!$B$4:$B$1000,$A71))</f>
        <v/>
      </c>
      <c r="M71" s="63" t="str">
        <f>IF($A71="","",COUNTIF('11_Best_Practice'!$B$4:$B$1000,$A71))</f>
        <v/>
      </c>
      <c r="N71" s="63" t="str">
        <f>IF($A71="","",COUNTIF('12_Policy_Regolazione'!$B$4:$B$1000,$A71))</f>
        <v/>
      </c>
      <c r="O71" s="63" t="str">
        <f>IF($A71="","",COUNTIF('13_Barriere_Opp'!$B$4:$B$1000,$A71))</f>
        <v/>
      </c>
      <c r="P71" s="63" t="str">
        <f>IF($A71="","",COUNTIF('14_Attori_Imprese'!$B$4:$B$1000,$A71))</f>
        <v/>
      </c>
      <c r="Q71" s="63" t="str">
        <f>IF($A71="","",COUNTIF('15_Prestazioni'!$B$4:$B$1000,$A71))</f>
        <v/>
      </c>
      <c r="R71" s="64" t="str">
        <f t="shared" si="4"/>
        <v/>
      </c>
      <c r="S71" s="65" t="str">
        <f>IF($A71="","",IFERROR(AVERAGEIF('07_TRL_TLR'!$B$4:$B$1000,$A71,'07_TRL_TLR'!$F$4:$F$1000),""))</f>
        <v/>
      </c>
      <c r="T71" s="63" t="str">
        <f t="shared" si="5"/>
        <v/>
      </c>
      <c r="U71" s="66" t="str">
        <f t="shared" si="6"/>
        <v/>
      </c>
      <c r="V71" s="66" t="str">
        <f t="shared" si="7"/>
        <v/>
      </c>
    </row>
    <row r="72" spans="1:22">
      <c r="A72" s="67" t="str">
        <f>IF('03_Tecnologie'!A72="","",'03_Tecnologie'!A72)</f>
        <v/>
      </c>
      <c r="B72" s="67" t="str">
        <f>IF($A72="","",'03_Tecnologie'!D72)</f>
        <v/>
      </c>
      <c r="C72" s="67" t="str">
        <f>IF($A72="","",'03_Tecnologie'!B72)</f>
        <v/>
      </c>
      <c r="D72" s="67" t="str">
        <f>IF($A72="","",'03_Tecnologie'!F72)</f>
        <v/>
      </c>
      <c r="E72" s="63" t="str">
        <f>IF($A72="","",COUNTIF('04_Componenti'!$B$4:$B$1000,$A72))</f>
        <v/>
      </c>
      <c r="F72" s="63" t="str">
        <f>IF($A72="","",COUNTIF('05_Descrizione'!$B$4:$B$1000,$A72))</f>
        <v/>
      </c>
      <c r="G72" s="63" t="str">
        <f>IF($A72="","",COUNTIF('06_Avanzamento'!$B$4:$B$1000,$A72))</f>
        <v/>
      </c>
      <c r="H72" s="63" t="str">
        <f>IF($A72="","",COUNTIF('07_TRL_TLR'!$B$4:$B$1000,$A72))</f>
        <v/>
      </c>
      <c r="I72" s="63" t="str">
        <f>IF($A72="","",COUNTIF('08_Costi_Compet'!$B$4:$B$1000,$A72))</f>
        <v/>
      </c>
      <c r="J72" s="63" t="str">
        <f>IF($A72="","",COUNTIF('09_Settori_Impatto'!$B$4:$B$1000,$A72))</f>
        <v/>
      </c>
      <c r="K72" s="63" t="str">
        <f>IF($A72="","",COUNTIF('16_Mercati_Riferimento'!$B$4:$B$1000,$A72))</f>
        <v/>
      </c>
      <c r="L72" s="22" t="str">
        <f>IF($A72="","",COUNTIF('10_Sostenibilita'!$B$4:$B$1000,$A72))</f>
        <v/>
      </c>
      <c r="M72" s="63" t="str">
        <f>IF($A72="","",COUNTIF('11_Best_Practice'!$B$4:$B$1000,$A72))</f>
        <v/>
      </c>
      <c r="N72" s="63" t="str">
        <f>IF($A72="","",COUNTIF('12_Policy_Regolazione'!$B$4:$B$1000,$A72))</f>
        <v/>
      </c>
      <c r="O72" s="63" t="str">
        <f>IF($A72="","",COUNTIF('13_Barriere_Opp'!$B$4:$B$1000,$A72))</f>
        <v/>
      </c>
      <c r="P72" s="63" t="str">
        <f>IF($A72="","",COUNTIF('14_Attori_Imprese'!$B$4:$B$1000,$A72))</f>
        <v/>
      </c>
      <c r="Q72" s="63" t="str">
        <f>IF($A72="","",COUNTIF('15_Prestazioni'!$B$4:$B$1000,$A72))</f>
        <v/>
      </c>
      <c r="R72" s="64" t="str">
        <f t="shared" si="4"/>
        <v/>
      </c>
      <c r="S72" s="65" t="str">
        <f>IF($A72="","",IFERROR(AVERAGEIF('07_TRL_TLR'!$B$4:$B$1000,$A72,'07_TRL_TLR'!$F$4:$F$1000),""))</f>
        <v/>
      </c>
      <c r="T72" s="63" t="str">
        <f t="shared" si="5"/>
        <v/>
      </c>
      <c r="U72" s="66" t="str">
        <f t="shared" si="6"/>
        <v/>
      </c>
      <c r="V72" s="66" t="str">
        <f t="shared" si="7"/>
        <v/>
      </c>
    </row>
    <row r="73" spans="1:22">
      <c r="A73" s="67" t="str">
        <f>IF('03_Tecnologie'!A73="","",'03_Tecnologie'!A73)</f>
        <v/>
      </c>
      <c r="B73" s="67" t="str">
        <f>IF($A73="","",'03_Tecnologie'!D73)</f>
        <v/>
      </c>
      <c r="C73" s="67" t="str">
        <f>IF($A73="","",'03_Tecnologie'!B73)</f>
        <v/>
      </c>
      <c r="D73" s="67" t="str">
        <f>IF($A73="","",'03_Tecnologie'!F73)</f>
        <v/>
      </c>
      <c r="E73" s="63" t="str">
        <f>IF($A73="","",COUNTIF('04_Componenti'!$B$4:$B$1000,$A73))</f>
        <v/>
      </c>
      <c r="F73" s="63" t="str">
        <f>IF($A73="","",COUNTIF('05_Descrizione'!$B$4:$B$1000,$A73))</f>
        <v/>
      </c>
      <c r="G73" s="63" t="str">
        <f>IF($A73="","",COUNTIF('06_Avanzamento'!$B$4:$B$1000,$A73))</f>
        <v/>
      </c>
      <c r="H73" s="63" t="str">
        <f>IF($A73="","",COUNTIF('07_TRL_TLR'!$B$4:$B$1000,$A73))</f>
        <v/>
      </c>
      <c r="I73" s="63" t="str">
        <f>IF($A73="","",COUNTIF('08_Costi_Compet'!$B$4:$B$1000,$A73))</f>
        <v/>
      </c>
      <c r="J73" s="63" t="str">
        <f>IF($A73="","",COUNTIF('09_Settori_Impatto'!$B$4:$B$1000,$A73))</f>
        <v/>
      </c>
      <c r="K73" s="63" t="str">
        <f>IF($A73="","",COUNTIF('16_Mercati_Riferimento'!$B$4:$B$1000,$A73))</f>
        <v/>
      </c>
      <c r="L73" s="22" t="str">
        <f>IF($A73="","",COUNTIF('10_Sostenibilita'!$B$4:$B$1000,$A73))</f>
        <v/>
      </c>
      <c r="M73" s="63" t="str">
        <f>IF($A73="","",COUNTIF('11_Best_Practice'!$B$4:$B$1000,$A73))</f>
        <v/>
      </c>
      <c r="N73" s="63" t="str">
        <f>IF($A73="","",COUNTIF('12_Policy_Regolazione'!$B$4:$B$1000,$A73))</f>
        <v/>
      </c>
      <c r="O73" s="63" t="str">
        <f>IF($A73="","",COUNTIF('13_Barriere_Opp'!$B$4:$B$1000,$A73))</f>
        <v/>
      </c>
      <c r="P73" s="63" t="str">
        <f>IF($A73="","",COUNTIF('14_Attori_Imprese'!$B$4:$B$1000,$A73))</f>
        <v/>
      </c>
      <c r="Q73" s="63" t="str">
        <f>IF($A73="","",COUNTIF('15_Prestazioni'!$B$4:$B$1000,$A73))</f>
        <v/>
      </c>
      <c r="R73" s="64" t="str">
        <f t="shared" si="4"/>
        <v/>
      </c>
      <c r="S73" s="65" t="str">
        <f>IF($A73="","",IFERROR(AVERAGEIF('07_TRL_TLR'!$B$4:$B$1000,$A73,'07_TRL_TLR'!$F$4:$F$1000),""))</f>
        <v/>
      </c>
      <c r="T73" s="63" t="str">
        <f t="shared" si="5"/>
        <v/>
      </c>
      <c r="U73" s="66" t="str">
        <f t="shared" si="6"/>
        <v/>
      </c>
      <c r="V73" s="66" t="str">
        <f t="shared" si="7"/>
        <v/>
      </c>
    </row>
    <row r="74" spans="1:22">
      <c r="A74" s="67" t="str">
        <f>IF('03_Tecnologie'!A74="","",'03_Tecnologie'!A74)</f>
        <v/>
      </c>
      <c r="B74" s="67" t="str">
        <f>IF($A74="","",'03_Tecnologie'!D74)</f>
        <v/>
      </c>
      <c r="C74" s="67" t="str">
        <f>IF($A74="","",'03_Tecnologie'!B74)</f>
        <v/>
      </c>
      <c r="D74" s="67" t="str">
        <f>IF($A74="","",'03_Tecnologie'!F74)</f>
        <v/>
      </c>
      <c r="E74" s="63" t="str">
        <f>IF($A74="","",COUNTIF('04_Componenti'!$B$4:$B$1000,$A74))</f>
        <v/>
      </c>
      <c r="F74" s="63" t="str">
        <f>IF($A74="","",COUNTIF('05_Descrizione'!$B$4:$B$1000,$A74))</f>
        <v/>
      </c>
      <c r="G74" s="63" t="str">
        <f>IF($A74="","",COUNTIF('06_Avanzamento'!$B$4:$B$1000,$A74))</f>
        <v/>
      </c>
      <c r="H74" s="63" t="str">
        <f>IF($A74="","",COUNTIF('07_TRL_TLR'!$B$4:$B$1000,$A74))</f>
        <v/>
      </c>
      <c r="I74" s="63" t="str">
        <f>IF($A74="","",COUNTIF('08_Costi_Compet'!$B$4:$B$1000,$A74))</f>
        <v/>
      </c>
      <c r="J74" s="63" t="str">
        <f>IF($A74="","",COUNTIF('09_Settori_Impatto'!$B$4:$B$1000,$A74))</f>
        <v/>
      </c>
      <c r="K74" s="63" t="str">
        <f>IF($A74="","",COUNTIF('16_Mercati_Riferimento'!$B$4:$B$1000,$A74))</f>
        <v/>
      </c>
      <c r="L74" s="22" t="str">
        <f>IF($A74="","",COUNTIF('10_Sostenibilita'!$B$4:$B$1000,$A74))</f>
        <v/>
      </c>
      <c r="M74" s="63" t="str">
        <f>IF($A74="","",COUNTIF('11_Best_Practice'!$B$4:$B$1000,$A74))</f>
        <v/>
      </c>
      <c r="N74" s="63" t="str">
        <f>IF($A74="","",COUNTIF('12_Policy_Regolazione'!$B$4:$B$1000,$A74))</f>
        <v/>
      </c>
      <c r="O74" s="63" t="str">
        <f>IF($A74="","",COUNTIF('13_Barriere_Opp'!$B$4:$B$1000,$A74))</f>
        <v/>
      </c>
      <c r="P74" s="63" t="str">
        <f>IF($A74="","",COUNTIF('14_Attori_Imprese'!$B$4:$B$1000,$A74))</f>
        <v/>
      </c>
      <c r="Q74" s="63" t="str">
        <f>IF($A74="","",COUNTIF('15_Prestazioni'!$B$4:$B$1000,$A74))</f>
        <v/>
      </c>
      <c r="R74" s="64" t="str">
        <f t="shared" si="4"/>
        <v/>
      </c>
      <c r="S74" s="65" t="str">
        <f>IF($A74="","",IFERROR(AVERAGEIF('07_TRL_TLR'!$B$4:$B$1000,$A74,'07_TRL_TLR'!$F$4:$F$1000),""))</f>
        <v/>
      </c>
      <c r="T74" s="63" t="str">
        <f t="shared" si="5"/>
        <v/>
      </c>
      <c r="U74" s="66" t="str">
        <f t="shared" si="6"/>
        <v/>
      </c>
      <c r="V74" s="66" t="str">
        <f t="shared" si="7"/>
        <v/>
      </c>
    </row>
    <row r="75" spans="1:22">
      <c r="A75" s="67" t="str">
        <f>IF('03_Tecnologie'!A75="","",'03_Tecnologie'!A75)</f>
        <v/>
      </c>
      <c r="B75" s="67" t="str">
        <f>IF($A75="","",'03_Tecnologie'!D75)</f>
        <v/>
      </c>
      <c r="C75" s="67" t="str">
        <f>IF($A75="","",'03_Tecnologie'!B75)</f>
        <v/>
      </c>
      <c r="D75" s="67" t="str">
        <f>IF($A75="","",'03_Tecnologie'!F75)</f>
        <v/>
      </c>
      <c r="E75" s="63" t="str">
        <f>IF($A75="","",COUNTIF('04_Componenti'!$B$4:$B$1000,$A75))</f>
        <v/>
      </c>
      <c r="F75" s="63" t="str">
        <f>IF($A75="","",COUNTIF('05_Descrizione'!$B$4:$B$1000,$A75))</f>
        <v/>
      </c>
      <c r="G75" s="63" t="str">
        <f>IF($A75="","",COUNTIF('06_Avanzamento'!$B$4:$B$1000,$A75))</f>
        <v/>
      </c>
      <c r="H75" s="63" t="str">
        <f>IF($A75="","",COUNTIF('07_TRL_TLR'!$B$4:$B$1000,$A75))</f>
        <v/>
      </c>
      <c r="I75" s="63" t="str">
        <f>IF($A75="","",COUNTIF('08_Costi_Compet'!$B$4:$B$1000,$A75))</f>
        <v/>
      </c>
      <c r="J75" s="63" t="str">
        <f>IF($A75="","",COUNTIF('09_Settori_Impatto'!$B$4:$B$1000,$A75))</f>
        <v/>
      </c>
      <c r="K75" s="63" t="str">
        <f>IF($A75="","",COUNTIF('16_Mercati_Riferimento'!$B$4:$B$1000,$A75))</f>
        <v/>
      </c>
      <c r="L75" s="22" t="str">
        <f>IF($A75="","",COUNTIF('10_Sostenibilita'!$B$4:$B$1000,$A75))</f>
        <v/>
      </c>
      <c r="M75" s="63" t="str">
        <f>IF($A75="","",COUNTIF('11_Best_Practice'!$B$4:$B$1000,$A75))</f>
        <v/>
      </c>
      <c r="N75" s="63" t="str">
        <f>IF($A75="","",COUNTIF('12_Policy_Regolazione'!$B$4:$B$1000,$A75))</f>
        <v/>
      </c>
      <c r="O75" s="63" t="str">
        <f>IF($A75="","",COUNTIF('13_Barriere_Opp'!$B$4:$B$1000,$A75))</f>
        <v/>
      </c>
      <c r="P75" s="63" t="str">
        <f>IF($A75="","",COUNTIF('14_Attori_Imprese'!$B$4:$B$1000,$A75))</f>
        <v/>
      </c>
      <c r="Q75" s="63" t="str">
        <f>IF($A75="","",COUNTIF('15_Prestazioni'!$B$4:$B$1000,$A75))</f>
        <v/>
      </c>
      <c r="R75" s="64" t="str">
        <f t="shared" si="4"/>
        <v/>
      </c>
      <c r="S75" s="65" t="str">
        <f>IF($A75="","",IFERROR(AVERAGEIF('07_TRL_TLR'!$B$4:$B$1000,$A75,'07_TRL_TLR'!$F$4:$F$1000),""))</f>
        <v/>
      </c>
      <c r="T75" s="63" t="str">
        <f t="shared" si="5"/>
        <v/>
      </c>
      <c r="U75" s="66" t="str">
        <f t="shared" si="6"/>
        <v/>
      </c>
      <c r="V75" s="66" t="str">
        <f t="shared" si="7"/>
        <v/>
      </c>
    </row>
    <row r="76" spans="1:22">
      <c r="A76" s="67" t="str">
        <f>IF('03_Tecnologie'!A76="","",'03_Tecnologie'!A76)</f>
        <v/>
      </c>
      <c r="B76" s="67" t="str">
        <f>IF($A76="","",'03_Tecnologie'!D76)</f>
        <v/>
      </c>
      <c r="C76" s="67" t="str">
        <f>IF($A76="","",'03_Tecnologie'!B76)</f>
        <v/>
      </c>
      <c r="D76" s="67" t="str">
        <f>IF($A76="","",'03_Tecnologie'!F76)</f>
        <v/>
      </c>
      <c r="E76" s="63" t="str">
        <f>IF($A76="","",COUNTIF('04_Componenti'!$B$4:$B$1000,$A76))</f>
        <v/>
      </c>
      <c r="F76" s="63" t="str">
        <f>IF($A76="","",COUNTIF('05_Descrizione'!$B$4:$B$1000,$A76))</f>
        <v/>
      </c>
      <c r="G76" s="63" t="str">
        <f>IF($A76="","",COUNTIF('06_Avanzamento'!$B$4:$B$1000,$A76))</f>
        <v/>
      </c>
      <c r="H76" s="63" t="str">
        <f>IF($A76="","",COUNTIF('07_TRL_TLR'!$B$4:$B$1000,$A76))</f>
        <v/>
      </c>
      <c r="I76" s="63" t="str">
        <f>IF($A76="","",COUNTIF('08_Costi_Compet'!$B$4:$B$1000,$A76))</f>
        <v/>
      </c>
      <c r="J76" s="63" t="str">
        <f>IF($A76="","",COUNTIF('09_Settori_Impatto'!$B$4:$B$1000,$A76))</f>
        <v/>
      </c>
      <c r="K76" s="63" t="str">
        <f>IF($A76="","",COUNTIF('16_Mercati_Riferimento'!$B$4:$B$1000,$A76))</f>
        <v/>
      </c>
      <c r="L76" s="22" t="str">
        <f>IF($A76="","",COUNTIF('10_Sostenibilita'!$B$4:$B$1000,$A76))</f>
        <v/>
      </c>
      <c r="M76" s="63" t="str">
        <f>IF($A76="","",COUNTIF('11_Best_Practice'!$B$4:$B$1000,$A76))</f>
        <v/>
      </c>
      <c r="N76" s="63" t="str">
        <f>IF($A76="","",COUNTIF('12_Policy_Regolazione'!$B$4:$B$1000,$A76))</f>
        <v/>
      </c>
      <c r="O76" s="63" t="str">
        <f>IF($A76="","",COUNTIF('13_Barriere_Opp'!$B$4:$B$1000,$A76))</f>
        <v/>
      </c>
      <c r="P76" s="63" t="str">
        <f>IF($A76="","",COUNTIF('14_Attori_Imprese'!$B$4:$B$1000,$A76))</f>
        <v/>
      </c>
      <c r="Q76" s="63" t="str">
        <f>IF($A76="","",COUNTIF('15_Prestazioni'!$B$4:$B$1000,$A76))</f>
        <v/>
      </c>
      <c r="R76" s="64" t="str">
        <f t="shared" si="4"/>
        <v/>
      </c>
      <c r="S76" s="65" t="str">
        <f>IF($A76="","",IFERROR(AVERAGEIF('07_TRL_TLR'!$B$4:$B$1000,$A76,'07_TRL_TLR'!$F$4:$F$1000),""))</f>
        <v/>
      </c>
      <c r="T76" s="63" t="str">
        <f t="shared" si="5"/>
        <v/>
      </c>
      <c r="U76" s="66" t="str">
        <f t="shared" si="6"/>
        <v/>
      </c>
      <c r="V76" s="66" t="str">
        <f t="shared" si="7"/>
        <v/>
      </c>
    </row>
    <row r="77" spans="1:22">
      <c r="A77" s="67" t="str">
        <f>IF('03_Tecnologie'!A77="","",'03_Tecnologie'!A77)</f>
        <v/>
      </c>
      <c r="B77" s="67" t="str">
        <f>IF($A77="","",'03_Tecnologie'!D77)</f>
        <v/>
      </c>
      <c r="C77" s="67" t="str">
        <f>IF($A77="","",'03_Tecnologie'!B77)</f>
        <v/>
      </c>
      <c r="D77" s="67" t="str">
        <f>IF($A77="","",'03_Tecnologie'!F77)</f>
        <v/>
      </c>
      <c r="E77" s="63" t="str">
        <f>IF($A77="","",COUNTIF('04_Componenti'!$B$4:$B$1000,$A77))</f>
        <v/>
      </c>
      <c r="F77" s="63" t="str">
        <f>IF($A77="","",COUNTIF('05_Descrizione'!$B$4:$B$1000,$A77))</f>
        <v/>
      </c>
      <c r="G77" s="63" t="str">
        <f>IF($A77="","",COUNTIF('06_Avanzamento'!$B$4:$B$1000,$A77))</f>
        <v/>
      </c>
      <c r="H77" s="63" t="str">
        <f>IF($A77="","",COUNTIF('07_TRL_TLR'!$B$4:$B$1000,$A77))</f>
        <v/>
      </c>
      <c r="I77" s="63" t="str">
        <f>IF($A77="","",COUNTIF('08_Costi_Compet'!$B$4:$B$1000,$A77))</f>
        <v/>
      </c>
      <c r="J77" s="63" t="str">
        <f>IF($A77="","",COUNTIF('09_Settori_Impatto'!$B$4:$B$1000,$A77))</f>
        <v/>
      </c>
      <c r="K77" s="63" t="str">
        <f>IF($A77="","",COUNTIF('16_Mercati_Riferimento'!$B$4:$B$1000,$A77))</f>
        <v/>
      </c>
      <c r="L77" s="22" t="str">
        <f>IF($A77="","",COUNTIF('10_Sostenibilita'!$B$4:$B$1000,$A77))</f>
        <v/>
      </c>
      <c r="M77" s="63" t="str">
        <f>IF($A77="","",COUNTIF('11_Best_Practice'!$B$4:$B$1000,$A77))</f>
        <v/>
      </c>
      <c r="N77" s="63" t="str">
        <f>IF($A77="","",COUNTIF('12_Policy_Regolazione'!$B$4:$B$1000,$A77))</f>
        <v/>
      </c>
      <c r="O77" s="63" t="str">
        <f>IF($A77="","",COUNTIF('13_Barriere_Opp'!$B$4:$B$1000,$A77))</f>
        <v/>
      </c>
      <c r="P77" s="63" t="str">
        <f>IF($A77="","",COUNTIF('14_Attori_Imprese'!$B$4:$B$1000,$A77))</f>
        <v/>
      </c>
      <c r="Q77" s="63" t="str">
        <f>IF($A77="","",COUNTIF('15_Prestazioni'!$B$4:$B$1000,$A77))</f>
        <v/>
      </c>
      <c r="R77" s="64" t="str">
        <f t="shared" si="4"/>
        <v/>
      </c>
      <c r="S77" s="65" t="str">
        <f>IF($A77="","",IFERROR(AVERAGEIF('07_TRL_TLR'!$B$4:$B$1000,$A77,'07_TRL_TLR'!$F$4:$F$1000),""))</f>
        <v/>
      </c>
      <c r="T77" s="63" t="str">
        <f t="shared" si="5"/>
        <v/>
      </c>
      <c r="U77" s="66" t="str">
        <f t="shared" si="6"/>
        <v/>
      </c>
      <c r="V77" s="66" t="str">
        <f t="shared" si="7"/>
        <v/>
      </c>
    </row>
    <row r="78" spans="1:22">
      <c r="A78" s="67" t="str">
        <f>IF('03_Tecnologie'!A78="","",'03_Tecnologie'!A78)</f>
        <v/>
      </c>
      <c r="B78" s="67" t="str">
        <f>IF($A78="","",'03_Tecnologie'!D78)</f>
        <v/>
      </c>
      <c r="C78" s="67" t="str">
        <f>IF($A78="","",'03_Tecnologie'!B78)</f>
        <v/>
      </c>
      <c r="D78" s="67" t="str">
        <f>IF($A78="","",'03_Tecnologie'!F78)</f>
        <v/>
      </c>
      <c r="E78" s="63" t="str">
        <f>IF($A78="","",COUNTIF('04_Componenti'!$B$4:$B$1000,$A78))</f>
        <v/>
      </c>
      <c r="F78" s="63" t="str">
        <f>IF($A78="","",COUNTIF('05_Descrizione'!$B$4:$B$1000,$A78))</f>
        <v/>
      </c>
      <c r="G78" s="63" t="str">
        <f>IF($A78="","",COUNTIF('06_Avanzamento'!$B$4:$B$1000,$A78))</f>
        <v/>
      </c>
      <c r="H78" s="63" t="str">
        <f>IF($A78="","",COUNTIF('07_TRL_TLR'!$B$4:$B$1000,$A78))</f>
        <v/>
      </c>
      <c r="I78" s="63" t="str">
        <f>IF($A78="","",COUNTIF('08_Costi_Compet'!$B$4:$B$1000,$A78))</f>
        <v/>
      </c>
      <c r="J78" s="63" t="str">
        <f>IF($A78="","",COUNTIF('09_Settori_Impatto'!$B$4:$B$1000,$A78))</f>
        <v/>
      </c>
      <c r="K78" s="63" t="str">
        <f>IF($A78="","",COUNTIF('16_Mercati_Riferimento'!$B$4:$B$1000,$A78))</f>
        <v/>
      </c>
      <c r="L78" s="22" t="str">
        <f>IF($A78="","",COUNTIF('10_Sostenibilita'!$B$4:$B$1000,$A78))</f>
        <v/>
      </c>
      <c r="M78" s="63" t="str">
        <f>IF($A78="","",COUNTIF('11_Best_Practice'!$B$4:$B$1000,$A78))</f>
        <v/>
      </c>
      <c r="N78" s="63" t="str">
        <f>IF($A78="","",COUNTIF('12_Policy_Regolazione'!$B$4:$B$1000,$A78))</f>
        <v/>
      </c>
      <c r="O78" s="63" t="str">
        <f>IF($A78="","",COUNTIF('13_Barriere_Opp'!$B$4:$B$1000,$A78))</f>
        <v/>
      </c>
      <c r="P78" s="63" t="str">
        <f>IF($A78="","",COUNTIF('14_Attori_Imprese'!$B$4:$B$1000,$A78))</f>
        <v/>
      </c>
      <c r="Q78" s="63" t="str">
        <f>IF($A78="","",COUNTIF('15_Prestazioni'!$B$4:$B$1000,$A78))</f>
        <v/>
      </c>
      <c r="R78" s="64" t="str">
        <f t="shared" si="4"/>
        <v/>
      </c>
      <c r="S78" s="65" t="str">
        <f>IF($A78="","",IFERROR(AVERAGEIF('07_TRL_TLR'!$B$4:$B$1000,$A78,'07_TRL_TLR'!$F$4:$F$1000),""))</f>
        <v/>
      </c>
      <c r="T78" s="63" t="str">
        <f t="shared" si="5"/>
        <v/>
      </c>
      <c r="U78" s="66" t="str">
        <f t="shared" si="6"/>
        <v/>
      </c>
      <c r="V78" s="66" t="str">
        <f t="shared" si="7"/>
        <v/>
      </c>
    </row>
    <row r="79" spans="1:22">
      <c r="A79" s="67" t="str">
        <f>IF('03_Tecnologie'!A79="","",'03_Tecnologie'!A79)</f>
        <v/>
      </c>
      <c r="B79" s="67" t="str">
        <f>IF($A79="","",'03_Tecnologie'!D79)</f>
        <v/>
      </c>
      <c r="C79" s="67" t="str">
        <f>IF($A79="","",'03_Tecnologie'!B79)</f>
        <v/>
      </c>
      <c r="D79" s="67" t="str">
        <f>IF($A79="","",'03_Tecnologie'!F79)</f>
        <v/>
      </c>
      <c r="E79" s="63" t="str">
        <f>IF($A79="","",COUNTIF('04_Componenti'!$B$4:$B$1000,$A79))</f>
        <v/>
      </c>
      <c r="F79" s="63" t="str">
        <f>IF($A79="","",COUNTIF('05_Descrizione'!$B$4:$B$1000,$A79))</f>
        <v/>
      </c>
      <c r="G79" s="63" t="str">
        <f>IF($A79="","",COUNTIF('06_Avanzamento'!$B$4:$B$1000,$A79))</f>
        <v/>
      </c>
      <c r="H79" s="63" t="str">
        <f>IF($A79="","",COUNTIF('07_TRL_TLR'!$B$4:$B$1000,$A79))</f>
        <v/>
      </c>
      <c r="I79" s="63" t="str">
        <f>IF($A79="","",COUNTIF('08_Costi_Compet'!$B$4:$B$1000,$A79))</f>
        <v/>
      </c>
      <c r="J79" s="63" t="str">
        <f>IF($A79="","",COUNTIF('09_Settori_Impatto'!$B$4:$B$1000,$A79))</f>
        <v/>
      </c>
      <c r="K79" s="63" t="str">
        <f>IF($A79="","",COUNTIF('16_Mercati_Riferimento'!$B$4:$B$1000,$A79))</f>
        <v/>
      </c>
      <c r="L79" s="22" t="str">
        <f>IF($A79="","",COUNTIF('10_Sostenibilita'!$B$4:$B$1000,$A79))</f>
        <v/>
      </c>
      <c r="M79" s="63" t="str">
        <f>IF($A79="","",COUNTIF('11_Best_Practice'!$B$4:$B$1000,$A79))</f>
        <v/>
      </c>
      <c r="N79" s="63" t="str">
        <f>IF($A79="","",COUNTIF('12_Policy_Regolazione'!$B$4:$B$1000,$A79))</f>
        <v/>
      </c>
      <c r="O79" s="63" t="str">
        <f>IF($A79="","",COUNTIF('13_Barriere_Opp'!$B$4:$B$1000,$A79))</f>
        <v/>
      </c>
      <c r="P79" s="63" t="str">
        <f>IF($A79="","",COUNTIF('14_Attori_Imprese'!$B$4:$B$1000,$A79))</f>
        <v/>
      </c>
      <c r="Q79" s="63" t="str">
        <f>IF($A79="","",COUNTIF('15_Prestazioni'!$B$4:$B$1000,$A79))</f>
        <v/>
      </c>
      <c r="R79" s="64" t="str">
        <f t="shared" si="4"/>
        <v/>
      </c>
      <c r="S79" s="65" t="str">
        <f>IF($A79="","",IFERROR(AVERAGEIF('07_TRL_TLR'!$B$4:$B$1000,$A79,'07_TRL_TLR'!$F$4:$F$1000),""))</f>
        <v/>
      </c>
      <c r="T79" s="63" t="str">
        <f t="shared" si="5"/>
        <v/>
      </c>
      <c r="U79" s="66" t="str">
        <f t="shared" si="6"/>
        <v/>
      </c>
      <c r="V79" s="66" t="str">
        <f t="shared" si="7"/>
        <v/>
      </c>
    </row>
    <row r="80" spans="1:22">
      <c r="A80" s="67" t="str">
        <f>IF('03_Tecnologie'!A80="","",'03_Tecnologie'!A80)</f>
        <v/>
      </c>
      <c r="B80" s="67" t="str">
        <f>IF($A80="","",'03_Tecnologie'!D80)</f>
        <v/>
      </c>
      <c r="C80" s="67" t="str">
        <f>IF($A80="","",'03_Tecnologie'!B80)</f>
        <v/>
      </c>
      <c r="D80" s="67" t="str">
        <f>IF($A80="","",'03_Tecnologie'!F80)</f>
        <v/>
      </c>
      <c r="E80" s="63" t="str">
        <f>IF($A80="","",COUNTIF('04_Componenti'!$B$4:$B$1000,$A80))</f>
        <v/>
      </c>
      <c r="F80" s="63" t="str">
        <f>IF($A80="","",COUNTIF('05_Descrizione'!$B$4:$B$1000,$A80))</f>
        <v/>
      </c>
      <c r="G80" s="63" t="str">
        <f>IF($A80="","",COUNTIF('06_Avanzamento'!$B$4:$B$1000,$A80))</f>
        <v/>
      </c>
      <c r="H80" s="63" t="str">
        <f>IF($A80="","",COUNTIF('07_TRL_TLR'!$B$4:$B$1000,$A80))</f>
        <v/>
      </c>
      <c r="I80" s="63" t="str">
        <f>IF($A80="","",COUNTIF('08_Costi_Compet'!$B$4:$B$1000,$A80))</f>
        <v/>
      </c>
      <c r="J80" s="63" t="str">
        <f>IF($A80="","",COUNTIF('09_Settori_Impatto'!$B$4:$B$1000,$A80))</f>
        <v/>
      </c>
      <c r="K80" s="63" t="str">
        <f>IF($A80="","",COUNTIF('16_Mercati_Riferimento'!$B$4:$B$1000,$A80))</f>
        <v/>
      </c>
      <c r="L80" s="22" t="str">
        <f>IF($A80="","",COUNTIF('10_Sostenibilita'!$B$4:$B$1000,$A80))</f>
        <v/>
      </c>
      <c r="M80" s="63" t="str">
        <f>IF($A80="","",COUNTIF('11_Best_Practice'!$B$4:$B$1000,$A80))</f>
        <v/>
      </c>
      <c r="N80" s="63" t="str">
        <f>IF($A80="","",COUNTIF('12_Policy_Regolazione'!$B$4:$B$1000,$A80))</f>
        <v/>
      </c>
      <c r="O80" s="63" t="str">
        <f>IF($A80="","",COUNTIF('13_Barriere_Opp'!$B$4:$B$1000,$A80))</f>
        <v/>
      </c>
      <c r="P80" s="63" t="str">
        <f>IF($A80="","",COUNTIF('14_Attori_Imprese'!$B$4:$B$1000,$A80))</f>
        <v/>
      </c>
      <c r="Q80" s="63" t="str">
        <f>IF($A80="","",COUNTIF('15_Prestazioni'!$B$4:$B$1000,$A80))</f>
        <v/>
      </c>
      <c r="R80" s="64" t="str">
        <f t="shared" si="4"/>
        <v/>
      </c>
      <c r="S80" s="65" t="str">
        <f>IF($A80="","",IFERROR(AVERAGEIF('07_TRL_TLR'!$B$4:$B$1000,$A80,'07_TRL_TLR'!$F$4:$F$1000),""))</f>
        <v/>
      </c>
      <c r="T80" s="63" t="str">
        <f t="shared" si="5"/>
        <v/>
      </c>
      <c r="U80" s="66" t="str">
        <f t="shared" si="6"/>
        <v/>
      </c>
      <c r="V80" s="66" t="str">
        <f t="shared" si="7"/>
        <v/>
      </c>
    </row>
    <row r="81" spans="1:22">
      <c r="A81" s="67" t="str">
        <f>IF('03_Tecnologie'!A81="","",'03_Tecnologie'!A81)</f>
        <v/>
      </c>
      <c r="B81" s="67" t="str">
        <f>IF($A81="","",'03_Tecnologie'!D81)</f>
        <v/>
      </c>
      <c r="C81" s="67" t="str">
        <f>IF($A81="","",'03_Tecnologie'!B81)</f>
        <v/>
      </c>
      <c r="D81" s="67" t="str">
        <f>IF($A81="","",'03_Tecnologie'!F81)</f>
        <v/>
      </c>
      <c r="E81" s="63" t="str">
        <f>IF($A81="","",COUNTIF('04_Componenti'!$B$4:$B$1000,$A81))</f>
        <v/>
      </c>
      <c r="F81" s="63" t="str">
        <f>IF($A81="","",COUNTIF('05_Descrizione'!$B$4:$B$1000,$A81))</f>
        <v/>
      </c>
      <c r="G81" s="63" t="str">
        <f>IF($A81="","",COUNTIF('06_Avanzamento'!$B$4:$B$1000,$A81))</f>
        <v/>
      </c>
      <c r="H81" s="63" t="str">
        <f>IF($A81="","",COUNTIF('07_TRL_TLR'!$B$4:$B$1000,$A81))</f>
        <v/>
      </c>
      <c r="I81" s="63" t="str">
        <f>IF($A81="","",COUNTIF('08_Costi_Compet'!$B$4:$B$1000,$A81))</f>
        <v/>
      </c>
      <c r="J81" s="63" t="str">
        <f>IF($A81="","",COUNTIF('09_Settori_Impatto'!$B$4:$B$1000,$A81))</f>
        <v/>
      </c>
      <c r="K81" s="63" t="str">
        <f>IF($A81="","",COUNTIF('16_Mercati_Riferimento'!$B$4:$B$1000,$A81))</f>
        <v/>
      </c>
      <c r="L81" s="22" t="str">
        <f>IF($A81="","",COUNTIF('10_Sostenibilita'!$B$4:$B$1000,$A81))</f>
        <v/>
      </c>
      <c r="M81" s="63" t="str">
        <f>IF($A81="","",COUNTIF('11_Best_Practice'!$B$4:$B$1000,$A81))</f>
        <v/>
      </c>
      <c r="N81" s="63" t="str">
        <f>IF($A81="","",COUNTIF('12_Policy_Regolazione'!$B$4:$B$1000,$A81))</f>
        <v/>
      </c>
      <c r="O81" s="63" t="str">
        <f>IF($A81="","",COUNTIF('13_Barriere_Opp'!$B$4:$B$1000,$A81))</f>
        <v/>
      </c>
      <c r="P81" s="63" t="str">
        <f>IF($A81="","",COUNTIF('14_Attori_Imprese'!$B$4:$B$1000,$A81))</f>
        <v/>
      </c>
      <c r="Q81" s="63" t="str">
        <f>IF($A81="","",COUNTIF('15_Prestazioni'!$B$4:$B$1000,$A81))</f>
        <v/>
      </c>
      <c r="R81" s="64" t="str">
        <f t="shared" si="4"/>
        <v/>
      </c>
      <c r="S81" s="65" t="str">
        <f>IF($A81="","",IFERROR(AVERAGEIF('07_TRL_TLR'!$B$4:$B$1000,$A81,'07_TRL_TLR'!$F$4:$F$1000),""))</f>
        <v/>
      </c>
      <c r="T81" s="63" t="str">
        <f t="shared" si="5"/>
        <v/>
      </c>
      <c r="U81" s="66" t="str">
        <f t="shared" si="6"/>
        <v/>
      </c>
      <c r="V81" s="66" t="str">
        <f t="shared" si="7"/>
        <v/>
      </c>
    </row>
    <row r="82" spans="1:22">
      <c r="A82" s="67" t="str">
        <f>IF('03_Tecnologie'!A82="","",'03_Tecnologie'!A82)</f>
        <v/>
      </c>
      <c r="B82" s="67" t="str">
        <f>IF($A82="","",'03_Tecnologie'!D82)</f>
        <v/>
      </c>
      <c r="C82" s="67" t="str">
        <f>IF($A82="","",'03_Tecnologie'!B82)</f>
        <v/>
      </c>
      <c r="D82" s="67" t="str">
        <f>IF($A82="","",'03_Tecnologie'!F82)</f>
        <v/>
      </c>
      <c r="E82" s="63" t="str">
        <f>IF($A82="","",COUNTIF('04_Componenti'!$B$4:$B$1000,$A82))</f>
        <v/>
      </c>
      <c r="F82" s="63" t="str">
        <f>IF($A82="","",COUNTIF('05_Descrizione'!$B$4:$B$1000,$A82))</f>
        <v/>
      </c>
      <c r="G82" s="63" t="str">
        <f>IF($A82="","",COUNTIF('06_Avanzamento'!$B$4:$B$1000,$A82))</f>
        <v/>
      </c>
      <c r="H82" s="63" t="str">
        <f>IF($A82="","",COUNTIF('07_TRL_TLR'!$B$4:$B$1000,$A82))</f>
        <v/>
      </c>
      <c r="I82" s="63" t="str">
        <f>IF($A82="","",COUNTIF('08_Costi_Compet'!$B$4:$B$1000,$A82))</f>
        <v/>
      </c>
      <c r="J82" s="63" t="str">
        <f>IF($A82="","",COUNTIF('09_Settori_Impatto'!$B$4:$B$1000,$A82))</f>
        <v/>
      </c>
      <c r="K82" s="63" t="str">
        <f>IF($A82="","",COUNTIF('16_Mercati_Riferimento'!$B$4:$B$1000,$A82))</f>
        <v/>
      </c>
      <c r="L82" s="22" t="str">
        <f>IF($A82="","",COUNTIF('10_Sostenibilita'!$B$4:$B$1000,$A82))</f>
        <v/>
      </c>
      <c r="M82" s="63" t="str">
        <f>IF($A82="","",COUNTIF('11_Best_Practice'!$B$4:$B$1000,$A82))</f>
        <v/>
      </c>
      <c r="N82" s="63" t="str">
        <f>IF($A82="","",COUNTIF('12_Policy_Regolazione'!$B$4:$B$1000,$A82))</f>
        <v/>
      </c>
      <c r="O82" s="63" t="str">
        <f>IF($A82="","",COUNTIF('13_Barriere_Opp'!$B$4:$B$1000,$A82))</f>
        <v/>
      </c>
      <c r="P82" s="63" t="str">
        <f>IF($A82="","",COUNTIF('14_Attori_Imprese'!$B$4:$B$1000,$A82))</f>
        <v/>
      </c>
      <c r="Q82" s="63" t="str">
        <f>IF($A82="","",COUNTIF('15_Prestazioni'!$B$4:$B$1000,$A82))</f>
        <v/>
      </c>
      <c r="R82" s="64" t="str">
        <f t="shared" si="4"/>
        <v/>
      </c>
      <c r="S82" s="65" t="str">
        <f>IF($A82="","",IFERROR(AVERAGEIF('07_TRL_TLR'!$B$4:$B$1000,$A82,'07_TRL_TLR'!$F$4:$F$1000),""))</f>
        <v/>
      </c>
      <c r="T82" s="63" t="str">
        <f t="shared" si="5"/>
        <v/>
      </c>
      <c r="U82" s="66" t="str">
        <f t="shared" si="6"/>
        <v/>
      </c>
      <c r="V82" s="66" t="str">
        <f t="shared" si="7"/>
        <v/>
      </c>
    </row>
    <row r="83" spans="1:22">
      <c r="A83" s="67" t="str">
        <f>IF('03_Tecnologie'!A83="","",'03_Tecnologie'!A83)</f>
        <v/>
      </c>
      <c r="B83" s="67" t="str">
        <f>IF($A83="","",'03_Tecnologie'!D83)</f>
        <v/>
      </c>
      <c r="C83" s="67" t="str">
        <f>IF($A83="","",'03_Tecnologie'!B83)</f>
        <v/>
      </c>
      <c r="D83" s="67" t="str">
        <f>IF($A83="","",'03_Tecnologie'!F83)</f>
        <v/>
      </c>
      <c r="E83" s="63" t="str">
        <f>IF($A83="","",COUNTIF('04_Componenti'!$B$4:$B$1000,$A83))</f>
        <v/>
      </c>
      <c r="F83" s="63" t="str">
        <f>IF($A83="","",COUNTIF('05_Descrizione'!$B$4:$B$1000,$A83))</f>
        <v/>
      </c>
      <c r="G83" s="63" t="str">
        <f>IF($A83="","",COUNTIF('06_Avanzamento'!$B$4:$B$1000,$A83))</f>
        <v/>
      </c>
      <c r="H83" s="63" t="str">
        <f>IF($A83="","",COUNTIF('07_TRL_TLR'!$B$4:$B$1000,$A83))</f>
        <v/>
      </c>
      <c r="I83" s="63" t="str">
        <f>IF($A83="","",COUNTIF('08_Costi_Compet'!$B$4:$B$1000,$A83))</f>
        <v/>
      </c>
      <c r="J83" s="63" t="str">
        <f>IF($A83="","",COUNTIF('09_Settori_Impatto'!$B$4:$B$1000,$A83))</f>
        <v/>
      </c>
      <c r="K83" s="63" t="str">
        <f>IF($A83="","",COUNTIF('16_Mercati_Riferimento'!$B$4:$B$1000,$A83))</f>
        <v/>
      </c>
      <c r="L83" s="22" t="str">
        <f>IF($A83="","",COUNTIF('10_Sostenibilita'!$B$4:$B$1000,$A83))</f>
        <v/>
      </c>
      <c r="M83" s="63" t="str">
        <f>IF($A83="","",COUNTIF('11_Best_Practice'!$B$4:$B$1000,$A83))</f>
        <v/>
      </c>
      <c r="N83" s="63" t="str">
        <f>IF($A83="","",COUNTIF('12_Policy_Regolazione'!$B$4:$B$1000,$A83))</f>
        <v/>
      </c>
      <c r="O83" s="63" t="str">
        <f>IF($A83="","",COUNTIF('13_Barriere_Opp'!$B$4:$B$1000,$A83))</f>
        <v/>
      </c>
      <c r="P83" s="63" t="str">
        <f>IF($A83="","",COUNTIF('14_Attori_Imprese'!$B$4:$B$1000,$A83))</f>
        <v/>
      </c>
      <c r="Q83" s="63" t="str">
        <f>IF($A83="","",COUNTIF('15_Prestazioni'!$B$4:$B$1000,$A83))</f>
        <v/>
      </c>
      <c r="R83" s="64" t="str">
        <f t="shared" si="4"/>
        <v/>
      </c>
      <c r="S83" s="65" t="str">
        <f>IF($A83="","",IFERROR(AVERAGEIF('07_TRL_TLR'!$B$4:$B$1000,$A83,'07_TRL_TLR'!$F$4:$F$1000),""))</f>
        <v/>
      </c>
      <c r="T83" s="63" t="str">
        <f t="shared" si="5"/>
        <v/>
      </c>
      <c r="U83" s="66" t="str">
        <f t="shared" si="6"/>
        <v/>
      </c>
      <c r="V83" s="66" t="str">
        <f t="shared" si="7"/>
        <v/>
      </c>
    </row>
    <row r="84" spans="1:22">
      <c r="A84" s="67" t="str">
        <f>IF('03_Tecnologie'!A84="","",'03_Tecnologie'!A84)</f>
        <v/>
      </c>
      <c r="B84" s="67" t="str">
        <f>IF($A84="","",'03_Tecnologie'!D84)</f>
        <v/>
      </c>
      <c r="C84" s="67" t="str">
        <f>IF($A84="","",'03_Tecnologie'!B84)</f>
        <v/>
      </c>
      <c r="D84" s="67" t="str">
        <f>IF($A84="","",'03_Tecnologie'!F84)</f>
        <v/>
      </c>
      <c r="E84" s="63" t="str">
        <f>IF($A84="","",COUNTIF('04_Componenti'!$B$4:$B$1000,$A84))</f>
        <v/>
      </c>
      <c r="F84" s="63" t="str">
        <f>IF($A84="","",COUNTIF('05_Descrizione'!$B$4:$B$1000,$A84))</f>
        <v/>
      </c>
      <c r="G84" s="63" t="str">
        <f>IF($A84="","",COUNTIF('06_Avanzamento'!$B$4:$B$1000,$A84))</f>
        <v/>
      </c>
      <c r="H84" s="63" t="str">
        <f>IF($A84="","",COUNTIF('07_TRL_TLR'!$B$4:$B$1000,$A84))</f>
        <v/>
      </c>
      <c r="I84" s="63" t="str">
        <f>IF($A84="","",COUNTIF('08_Costi_Compet'!$B$4:$B$1000,$A84))</f>
        <v/>
      </c>
      <c r="J84" s="63" t="str">
        <f>IF($A84="","",COUNTIF('09_Settori_Impatto'!$B$4:$B$1000,$A84))</f>
        <v/>
      </c>
      <c r="K84" s="63" t="str">
        <f>IF($A84="","",COUNTIF('16_Mercati_Riferimento'!$B$4:$B$1000,$A84))</f>
        <v/>
      </c>
      <c r="L84" s="22" t="str">
        <f>IF($A84="","",COUNTIF('10_Sostenibilita'!$B$4:$B$1000,$A84))</f>
        <v/>
      </c>
      <c r="M84" s="63" t="str">
        <f>IF($A84="","",COUNTIF('11_Best_Practice'!$B$4:$B$1000,$A84))</f>
        <v/>
      </c>
      <c r="N84" s="63" t="str">
        <f>IF($A84="","",COUNTIF('12_Policy_Regolazione'!$B$4:$B$1000,$A84))</f>
        <v/>
      </c>
      <c r="O84" s="63" t="str">
        <f>IF($A84="","",COUNTIF('13_Barriere_Opp'!$B$4:$B$1000,$A84))</f>
        <v/>
      </c>
      <c r="P84" s="63" t="str">
        <f>IF($A84="","",COUNTIF('14_Attori_Imprese'!$B$4:$B$1000,$A84))</f>
        <v/>
      </c>
      <c r="Q84" s="63" t="str">
        <f>IF($A84="","",COUNTIF('15_Prestazioni'!$B$4:$B$1000,$A84))</f>
        <v/>
      </c>
      <c r="R84" s="64" t="str">
        <f t="shared" si="4"/>
        <v/>
      </c>
      <c r="S84" s="65" t="str">
        <f>IF($A84="","",IFERROR(AVERAGEIF('07_TRL_TLR'!$B$4:$B$1000,$A84,'07_TRL_TLR'!$F$4:$F$1000),""))</f>
        <v/>
      </c>
      <c r="T84" s="63" t="str">
        <f t="shared" si="5"/>
        <v/>
      </c>
      <c r="U84" s="66" t="str">
        <f t="shared" si="6"/>
        <v/>
      </c>
      <c r="V84" s="66" t="str">
        <f t="shared" si="7"/>
        <v/>
      </c>
    </row>
    <row r="85" spans="1:22">
      <c r="A85" s="67" t="str">
        <f>IF('03_Tecnologie'!A85="","",'03_Tecnologie'!A85)</f>
        <v/>
      </c>
      <c r="B85" s="67" t="str">
        <f>IF($A85="","",'03_Tecnologie'!D85)</f>
        <v/>
      </c>
      <c r="C85" s="67" t="str">
        <f>IF($A85="","",'03_Tecnologie'!B85)</f>
        <v/>
      </c>
      <c r="D85" s="67" t="str">
        <f>IF($A85="","",'03_Tecnologie'!F85)</f>
        <v/>
      </c>
      <c r="E85" s="63" t="str">
        <f>IF($A85="","",COUNTIF('04_Componenti'!$B$4:$B$1000,$A85))</f>
        <v/>
      </c>
      <c r="F85" s="63" t="str">
        <f>IF($A85="","",COUNTIF('05_Descrizione'!$B$4:$B$1000,$A85))</f>
        <v/>
      </c>
      <c r="G85" s="63" t="str">
        <f>IF($A85="","",COUNTIF('06_Avanzamento'!$B$4:$B$1000,$A85))</f>
        <v/>
      </c>
      <c r="H85" s="63" t="str">
        <f>IF($A85="","",COUNTIF('07_TRL_TLR'!$B$4:$B$1000,$A85))</f>
        <v/>
      </c>
      <c r="I85" s="63" t="str">
        <f>IF($A85="","",COUNTIF('08_Costi_Compet'!$B$4:$B$1000,$A85))</f>
        <v/>
      </c>
      <c r="J85" s="63" t="str">
        <f>IF($A85="","",COUNTIF('09_Settori_Impatto'!$B$4:$B$1000,$A85))</f>
        <v/>
      </c>
      <c r="K85" s="63" t="str">
        <f>IF($A85="","",COUNTIF('16_Mercati_Riferimento'!$B$4:$B$1000,$A85))</f>
        <v/>
      </c>
      <c r="L85" s="22" t="str">
        <f>IF($A85="","",COUNTIF('10_Sostenibilita'!$B$4:$B$1000,$A85))</f>
        <v/>
      </c>
      <c r="M85" s="63" t="str">
        <f>IF($A85="","",COUNTIF('11_Best_Practice'!$B$4:$B$1000,$A85))</f>
        <v/>
      </c>
      <c r="N85" s="63" t="str">
        <f>IF($A85="","",COUNTIF('12_Policy_Regolazione'!$B$4:$B$1000,$A85))</f>
        <v/>
      </c>
      <c r="O85" s="63" t="str">
        <f>IF($A85="","",COUNTIF('13_Barriere_Opp'!$B$4:$B$1000,$A85))</f>
        <v/>
      </c>
      <c r="P85" s="63" t="str">
        <f>IF($A85="","",COUNTIF('14_Attori_Imprese'!$B$4:$B$1000,$A85))</f>
        <v/>
      </c>
      <c r="Q85" s="63" t="str">
        <f>IF($A85="","",COUNTIF('15_Prestazioni'!$B$4:$B$1000,$A85))</f>
        <v/>
      </c>
      <c r="R85" s="64" t="str">
        <f t="shared" si="4"/>
        <v/>
      </c>
      <c r="S85" s="65" t="str">
        <f>IF($A85="","",IFERROR(AVERAGEIF('07_TRL_TLR'!$B$4:$B$1000,$A85,'07_TRL_TLR'!$F$4:$F$1000),""))</f>
        <v/>
      </c>
      <c r="T85" s="63" t="str">
        <f t="shared" si="5"/>
        <v/>
      </c>
      <c r="U85" s="66" t="str">
        <f t="shared" si="6"/>
        <v/>
      </c>
      <c r="V85" s="66" t="str">
        <f t="shared" si="7"/>
        <v/>
      </c>
    </row>
    <row r="86" spans="1:22">
      <c r="A86" s="67" t="str">
        <f>IF('03_Tecnologie'!A86="","",'03_Tecnologie'!A86)</f>
        <v/>
      </c>
      <c r="B86" s="67" t="str">
        <f>IF($A86="","",'03_Tecnologie'!D86)</f>
        <v/>
      </c>
      <c r="C86" s="67" t="str">
        <f>IF($A86="","",'03_Tecnologie'!B86)</f>
        <v/>
      </c>
      <c r="D86" s="67" t="str">
        <f>IF($A86="","",'03_Tecnologie'!F86)</f>
        <v/>
      </c>
      <c r="E86" s="63" t="str">
        <f>IF($A86="","",COUNTIF('04_Componenti'!$B$4:$B$1000,$A86))</f>
        <v/>
      </c>
      <c r="F86" s="63" t="str">
        <f>IF($A86="","",COUNTIF('05_Descrizione'!$B$4:$B$1000,$A86))</f>
        <v/>
      </c>
      <c r="G86" s="63" t="str">
        <f>IF($A86="","",COUNTIF('06_Avanzamento'!$B$4:$B$1000,$A86))</f>
        <v/>
      </c>
      <c r="H86" s="63" t="str">
        <f>IF($A86="","",COUNTIF('07_TRL_TLR'!$B$4:$B$1000,$A86))</f>
        <v/>
      </c>
      <c r="I86" s="63" t="str">
        <f>IF($A86="","",COUNTIF('08_Costi_Compet'!$B$4:$B$1000,$A86))</f>
        <v/>
      </c>
      <c r="J86" s="63" t="str">
        <f>IF($A86="","",COUNTIF('09_Settori_Impatto'!$B$4:$B$1000,$A86))</f>
        <v/>
      </c>
      <c r="K86" s="63" t="str">
        <f>IF($A86="","",COUNTIF('16_Mercati_Riferimento'!$B$4:$B$1000,$A86))</f>
        <v/>
      </c>
      <c r="L86" s="22" t="str">
        <f>IF($A86="","",COUNTIF('10_Sostenibilita'!$B$4:$B$1000,$A86))</f>
        <v/>
      </c>
      <c r="M86" s="63" t="str">
        <f>IF($A86="","",COUNTIF('11_Best_Practice'!$B$4:$B$1000,$A86))</f>
        <v/>
      </c>
      <c r="N86" s="63" t="str">
        <f>IF($A86="","",COUNTIF('12_Policy_Regolazione'!$B$4:$B$1000,$A86))</f>
        <v/>
      </c>
      <c r="O86" s="63" t="str">
        <f>IF($A86="","",COUNTIF('13_Barriere_Opp'!$B$4:$B$1000,$A86))</f>
        <v/>
      </c>
      <c r="P86" s="63" t="str">
        <f>IF($A86="","",COUNTIF('14_Attori_Imprese'!$B$4:$B$1000,$A86))</f>
        <v/>
      </c>
      <c r="Q86" s="63" t="str">
        <f>IF($A86="","",COUNTIF('15_Prestazioni'!$B$4:$B$1000,$A86))</f>
        <v/>
      </c>
      <c r="R86" s="64" t="str">
        <f t="shared" si="4"/>
        <v/>
      </c>
      <c r="S86" s="65" t="str">
        <f>IF($A86="","",IFERROR(AVERAGEIF('07_TRL_TLR'!$B$4:$B$1000,$A86,'07_TRL_TLR'!$F$4:$F$1000),""))</f>
        <v/>
      </c>
      <c r="T86" s="63" t="str">
        <f t="shared" si="5"/>
        <v/>
      </c>
      <c r="U86" s="66" t="str">
        <f t="shared" si="6"/>
        <v/>
      </c>
      <c r="V86" s="66" t="str">
        <f t="shared" si="7"/>
        <v/>
      </c>
    </row>
    <row r="87" spans="1:22">
      <c r="A87" s="67" t="str">
        <f>IF('03_Tecnologie'!A87="","",'03_Tecnologie'!A87)</f>
        <v/>
      </c>
      <c r="B87" s="67" t="str">
        <f>IF($A87="","",'03_Tecnologie'!D87)</f>
        <v/>
      </c>
      <c r="C87" s="67" t="str">
        <f>IF($A87="","",'03_Tecnologie'!B87)</f>
        <v/>
      </c>
      <c r="D87" s="67" t="str">
        <f>IF($A87="","",'03_Tecnologie'!F87)</f>
        <v/>
      </c>
      <c r="E87" s="63" t="str">
        <f>IF($A87="","",COUNTIF('04_Componenti'!$B$4:$B$1000,$A87))</f>
        <v/>
      </c>
      <c r="F87" s="63" t="str">
        <f>IF($A87="","",COUNTIF('05_Descrizione'!$B$4:$B$1000,$A87))</f>
        <v/>
      </c>
      <c r="G87" s="63" t="str">
        <f>IF($A87="","",COUNTIF('06_Avanzamento'!$B$4:$B$1000,$A87))</f>
        <v/>
      </c>
      <c r="H87" s="63" t="str">
        <f>IF($A87="","",COUNTIF('07_TRL_TLR'!$B$4:$B$1000,$A87))</f>
        <v/>
      </c>
      <c r="I87" s="63" t="str">
        <f>IF($A87="","",COUNTIF('08_Costi_Compet'!$B$4:$B$1000,$A87))</f>
        <v/>
      </c>
      <c r="J87" s="63" t="str">
        <f>IF($A87="","",COUNTIF('09_Settori_Impatto'!$B$4:$B$1000,$A87))</f>
        <v/>
      </c>
      <c r="K87" s="63" t="str">
        <f>IF($A87="","",COUNTIF('16_Mercati_Riferimento'!$B$4:$B$1000,$A87))</f>
        <v/>
      </c>
      <c r="L87" s="22" t="str">
        <f>IF($A87="","",COUNTIF('10_Sostenibilita'!$B$4:$B$1000,$A87))</f>
        <v/>
      </c>
      <c r="M87" s="63" t="str">
        <f>IF($A87="","",COUNTIF('11_Best_Practice'!$B$4:$B$1000,$A87))</f>
        <v/>
      </c>
      <c r="N87" s="63" t="str">
        <f>IF($A87="","",COUNTIF('12_Policy_Regolazione'!$B$4:$B$1000,$A87))</f>
        <v/>
      </c>
      <c r="O87" s="63" t="str">
        <f>IF($A87="","",COUNTIF('13_Barriere_Opp'!$B$4:$B$1000,$A87))</f>
        <v/>
      </c>
      <c r="P87" s="63" t="str">
        <f>IF($A87="","",COUNTIF('14_Attori_Imprese'!$B$4:$B$1000,$A87))</f>
        <v/>
      </c>
      <c r="Q87" s="63" t="str">
        <f>IF($A87="","",COUNTIF('15_Prestazioni'!$B$4:$B$1000,$A87))</f>
        <v/>
      </c>
      <c r="R87" s="64" t="str">
        <f t="shared" si="4"/>
        <v/>
      </c>
      <c r="S87" s="65" t="str">
        <f>IF($A87="","",IFERROR(AVERAGEIF('07_TRL_TLR'!$B$4:$B$1000,$A87,'07_TRL_TLR'!$F$4:$F$1000),""))</f>
        <v/>
      </c>
      <c r="T87" s="63" t="str">
        <f t="shared" si="5"/>
        <v/>
      </c>
      <c r="U87" s="66" t="str">
        <f t="shared" si="6"/>
        <v/>
      </c>
      <c r="V87" s="66" t="str">
        <f t="shared" si="7"/>
        <v/>
      </c>
    </row>
    <row r="88" spans="1:22">
      <c r="A88" s="67" t="str">
        <f>IF('03_Tecnologie'!A88="","",'03_Tecnologie'!A88)</f>
        <v/>
      </c>
      <c r="B88" s="67" t="str">
        <f>IF($A88="","",'03_Tecnologie'!D88)</f>
        <v/>
      </c>
      <c r="C88" s="67" t="str">
        <f>IF($A88="","",'03_Tecnologie'!B88)</f>
        <v/>
      </c>
      <c r="D88" s="67" t="str">
        <f>IF($A88="","",'03_Tecnologie'!F88)</f>
        <v/>
      </c>
      <c r="E88" s="63" t="str">
        <f>IF($A88="","",COUNTIF('04_Componenti'!$B$4:$B$1000,$A88))</f>
        <v/>
      </c>
      <c r="F88" s="63" t="str">
        <f>IF($A88="","",COUNTIF('05_Descrizione'!$B$4:$B$1000,$A88))</f>
        <v/>
      </c>
      <c r="G88" s="63" t="str">
        <f>IF($A88="","",COUNTIF('06_Avanzamento'!$B$4:$B$1000,$A88))</f>
        <v/>
      </c>
      <c r="H88" s="63" t="str">
        <f>IF($A88="","",COUNTIF('07_TRL_TLR'!$B$4:$B$1000,$A88))</f>
        <v/>
      </c>
      <c r="I88" s="63" t="str">
        <f>IF($A88="","",COUNTIF('08_Costi_Compet'!$B$4:$B$1000,$A88))</f>
        <v/>
      </c>
      <c r="J88" s="63" t="str">
        <f>IF($A88="","",COUNTIF('09_Settori_Impatto'!$B$4:$B$1000,$A88))</f>
        <v/>
      </c>
      <c r="K88" s="63" t="str">
        <f>IF($A88="","",COUNTIF('16_Mercati_Riferimento'!$B$4:$B$1000,$A88))</f>
        <v/>
      </c>
      <c r="L88" s="22" t="str">
        <f>IF($A88="","",COUNTIF('10_Sostenibilita'!$B$4:$B$1000,$A88))</f>
        <v/>
      </c>
      <c r="M88" s="63" t="str">
        <f>IF($A88="","",COUNTIF('11_Best_Practice'!$B$4:$B$1000,$A88))</f>
        <v/>
      </c>
      <c r="N88" s="63" t="str">
        <f>IF($A88="","",COUNTIF('12_Policy_Regolazione'!$B$4:$B$1000,$A88))</f>
        <v/>
      </c>
      <c r="O88" s="63" t="str">
        <f>IF($A88="","",COUNTIF('13_Barriere_Opp'!$B$4:$B$1000,$A88))</f>
        <v/>
      </c>
      <c r="P88" s="63" t="str">
        <f>IF($A88="","",COUNTIF('14_Attori_Imprese'!$B$4:$B$1000,$A88))</f>
        <v/>
      </c>
      <c r="Q88" s="63" t="str">
        <f>IF($A88="","",COUNTIF('15_Prestazioni'!$B$4:$B$1000,$A88))</f>
        <v/>
      </c>
      <c r="R88" s="64" t="str">
        <f t="shared" si="4"/>
        <v/>
      </c>
      <c r="S88" s="65" t="str">
        <f>IF($A88="","",IFERROR(AVERAGEIF('07_TRL_TLR'!$B$4:$B$1000,$A88,'07_TRL_TLR'!$F$4:$F$1000),""))</f>
        <v/>
      </c>
      <c r="T88" s="63" t="str">
        <f t="shared" si="5"/>
        <v/>
      </c>
      <c r="U88" s="66" t="str">
        <f t="shared" si="6"/>
        <v/>
      </c>
      <c r="V88" s="66" t="str">
        <f t="shared" si="7"/>
        <v/>
      </c>
    </row>
    <row r="89" spans="1:22">
      <c r="A89" s="67" t="str">
        <f>IF('03_Tecnologie'!A89="","",'03_Tecnologie'!A89)</f>
        <v/>
      </c>
      <c r="B89" s="67" t="str">
        <f>IF($A89="","",'03_Tecnologie'!D89)</f>
        <v/>
      </c>
      <c r="C89" s="67" t="str">
        <f>IF($A89="","",'03_Tecnologie'!B89)</f>
        <v/>
      </c>
      <c r="D89" s="67" t="str">
        <f>IF($A89="","",'03_Tecnologie'!F89)</f>
        <v/>
      </c>
      <c r="E89" s="63" t="str">
        <f>IF($A89="","",COUNTIF('04_Componenti'!$B$4:$B$1000,$A89))</f>
        <v/>
      </c>
      <c r="F89" s="63" t="str">
        <f>IF($A89="","",COUNTIF('05_Descrizione'!$B$4:$B$1000,$A89))</f>
        <v/>
      </c>
      <c r="G89" s="63" t="str">
        <f>IF($A89="","",COUNTIF('06_Avanzamento'!$B$4:$B$1000,$A89))</f>
        <v/>
      </c>
      <c r="H89" s="63" t="str">
        <f>IF($A89="","",COUNTIF('07_TRL_TLR'!$B$4:$B$1000,$A89))</f>
        <v/>
      </c>
      <c r="I89" s="63" t="str">
        <f>IF($A89="","",COUNTIF('08_Costi_Compet'!$B$4:$B$1000,$A89))</f>
        <v/>
      </c>
      <c r="J89" s="63" t="str">
        <f>IF($A89="","",COUNTIF('09_Settori_Impatto'!$B$4:$B$1000,$A89))</f>
        <v/>
      </c>
      <c r="K89" s="63" t="str">
        <f>IF($A89="","",COUNTIF('16_Mercati_Riferimento'!$B$4:$B$1000,$A89))</f>
        <v/>
      </c>
      <c r="L89" s="22" t="str">
        <f>IF($A89="","",COUNTIF('10_Sostenibilita'!$B$4:$B$1000,$A89))</f>
        <v/>
      </c>
      <c r="M89" s="63" t="str">
        <f>IF($A89="","",COUNTIF('11_Best_Practice'!$B$4:$B$1000,$A89))</f>
        <v/>
      </c>
      <c r="N89" s="63" t="str">
        <f>IF($A89="","",COUNTIF('12_Policy_Regolazione'!$B$4:$B$1000,$A89))</f>
        <v/>
      </c>
      <c r="O89" s="63" t="str">
        <f>IF($A89="","",COUNTIF('13_Barriere_Opp'!$B$4:$B$1000,$A89))</f>
        <v/>
      </c>
      <c r="P89" s="63" t="str">
        <f>IF($A89="","",COUNTIF('14_Attori_Imprese'!$B$4:$B$1000,$A89))</f>
        <v/>
      </c>
      <c r="Q89" s="63" t="str">
        <f>IF($A89="","",COUNTIF('15_Prestazioni'!$B$4:$B$1000,$A89))</f>
        <v/>
      </c>
      <c r="R89" s="64" t="str">
        <f t="shared" si="4"/>
        <v/>
      </c>
      <c r="S89" s="65" t="str">
        <f>IF($A89="","",IFERROR(AVERAGEIF('07_TRL_TLR'!$B$4:$B$1000,$A89,'07_TRL_TLR'!$F$4:$F$1000),""))</f>
        <v/>
      </c>
      <c r="T89" s="63" t="str">
        <f t="shared" si="5"/>
        <v/>
      </c>
      <c r="U89" s="66" t="str">
        <f t="shared" si="6"/>
        <v/>
      </c>
      <c r="V89" s="66" t="str">
        <f t="shared" si="7"/>
        <v/>
      </c>
    </row>
    <row r="90" spans="1:22">
      <c r="A90" s="67" t="str">
        <f>IF('03_Tecnologie'!A90="","",'03_Tecnologie'!A90)</f>
        <v/>
      </c>
      <c r="B90" s="67" t="str">
        <f>IF($A90="","",'03_Tecnologie'!D90)</f>
        <v/>
      </c>
      <c r="C90" s="67" t="str">
        <f>IF($A90="","",'03_Tecnologie'!B90)</f>
        <v/>
      </c>
      <c r="D90" s="67" t="str">
        <f>IF($A90="","",'03_Tecnologie'!F90)</f>
        <v/>
      </c>
      <c r="E90" s="63" t="str">
        <f>IF($A90="","",COUNTIF('04_Componenti'!$B$4:$B$1000,$A90))</f>
        <v/>
      </c>
      <c r="F90" s="63" t="str">
        <f>IF($A90="","",COUNTIF('05_Descrizione'!$B$4:$B$1000,$A90))</f>
        <v/>
      </c>
      <c r="G90" s="63" t="str">
        <f>IF($A90="","",COUNTIF('06_Avanzamento'!$B$4:$B$1000,$A90))</f>
        <v/>
      </c>
      <c r="H90" s="63" t="str">
        <f>IF($A90="","",COUNTIF('07_TRL_TLR'!$B$4:$B$1000,$A90))</f>
        <v/>
      </c>
      <c r="I90" s="63" t="str">
        <f>IF($A90="","",COUNTIF('08_Costi_Compet'!$B$4:$B$1000,$A90))</f>
        <v/>
      </c>
      <c r="J90" s="63" t="str">
        <f>IF($A90="","",COUNTIF('09_Settori_Impatto'!$B$4:$B$1000,$A90))</f>
        <v/>
      </c>
      <c r="K90" s="63" t="str">
        <f>IF($A90="","",COUNTIF('16_Mercati_Riferimento'!$B$4:$B$1000,$A90))</f>
        <v/>
      </c>
      <c r="L90" s="22" t="str">
        <f>IF($A90="","",COUNTIF('10_Sostenibilita'!$B$4:$B$1000,$A90))</f>
        <v/>
      </c>
      <c r="M90" s="63" t="str">
        <f>IF($A90="","",COUNTIF('11_Best_Practice'!$B$4:$B$1000,$A90))</f>
        <v/>
      </c>
      <c r="N90" s="63" t="str">
        <f>IF($A90="","",COUNTIF('12_Policy_Regolazione'!$B$4:$B$1000,$A90))</f>
        <v/>
      </c>
      <c r="O90" s="63" t="str">
        <f>IF($A90="","",COUNTIF('13_Barriere_Opp'!$B$4:$B$1000,$A90))</f>
        <v/>
      </c>
      <c r="P90" s="63" t="str">
        <f>IF($A90="","",COUNTIF('14_Attori_Imprese'!$B$4:$B$1000,$A90))</f>
        <v/>
      </c>
      <c r="Q90" s="63" t="str">
        <f>IF($A90="","",COUNTIF('15_Prestazioni'!$B$4:$B$1000,$A90))</f>
        <v/>
      </c>
      <c r="R90" s="64" t="str">
        <f t="shared" si="4"/>
        <v/>
      </c>
      <c r="S90" s="65" t="str">
        <f>IF($A90="","",IFERROR(AVERAGEIF('07_TRL_TLR'!$B$4:$B$1000,$A90,'07_TRL_TLR'!$F$4:$F$1000),""))</f>
        <v/>
      </c>
      <c r="T90" s="63" t="str">
        <f t="shared" si="5"/>
        <v/>
      </c>
      <c r="U90" s="66" t="str">
        <f t="shared" si="6"/>
        <v/>
      </c>
      <c r="V90" s="66" t="str">
        <f t="shared" si="7"/>
        <v/>
      </c>
    </row>
    <row r="91" spans="1:22">
      <c r="A91" s="67" t="str">
        <f>IF('03_Tecnologie'!A91="","",'03_Tecnologie'!A91)</f>
        <v/>
      </c>
      <c r="B91" s="67" t="str">
        <f>IF($A91="","",'03_Tecnologie'!D91)</f>
        <v/>
      </c>
      <c r="C91" s="67" t="str">
        <f>IF($A91="","",'03_Tecnologie'!B91)</f>
        <v/>
      </c>
      <c r="D91" s="67" t="str">
        <f>IF($A91="","",'03_Tecnologie'!F91)</f>
        <v/>
      </c>
      <c r="E91" s="63" t="str">
        <f>IF($A91="","",COUNTIF('04_Componenti'!$B$4:$B$1000,$A91))</f>
        <v/>
      </c>
      <c r="F91" s="63" t="str">
        <f>IF($A91="","",COUNTIF('05_Descrizione'!$B$4:$B$1000,$A91))</f>
        <v/>
      </c>
      <c r="G91" s="63" t="str">
        <f>IF($A91="","",COUNTIF('06_Avanzamento'!$B$4:$B$1000,$A91))</f>
        <v/>
      </c>
      <c r="H91" s="63" t="str">
        <f>IF($A91="","",COUNTIF('07_TRL_TLR'!$B$4:$B$1000,$A91))</f>
        <v/>
      </c>
      <c r="I91" s="63" t="str">
        <f>IF($A91="","",COUNTIF('08_Costi_Compet'!$B$4:$B$1000,$A91))</f>
        <v/>
      </c>
      <c r="J91" s="63" t="str">
        <f>IF($A91="","",COUNTIF('09_Settori_Impatto'!$B$4:$B$1000,$A91))</f>
        <v/>
      </c>
      <c r="K91" s="63" t="str">
        <f>IF($A91="","",COUNTIF('16_Mercati_Riferimento'!$B$4:$B$1000,$A91))</f>
        <v/>
      </c>
      <c r="L91" s="22" t="str">
        <f>IF($A91="","",COUNTIF('10_Sostenibilita'!$B$4:$B$1000,$A91))</f>
        <v/>
      </c>
      <c r="M91" s="63" t="str">
        <f>IF($A91="","",COUNTIF('11_Best_Practice'!$B$4:$B$1000,$A91))</f>
        <v/>
      </c>
      <c r="N91" s="63" t="str">
        <f>IF($A91="","",COUNTIF('12_Policy_Regolazione'!$B$4:$B$1000,$A91))</f>
        <v/>
      </c>
      <c r="O91" s="63" t="str">
        <f>IF($A91="","",COUNTIF('13_Barriere_Opp'!$B$4:$B$1000,$A91))</f>
        <v/>
      </c>
      <c r="P91" s="63" t="str">
        <f>IF($A91="","",COUNTIF('14_Attori_Imprese'!$B$4:$B$1000,$A91))</f>
        <v/>
      </c>
      <c r="Q91" s="63" t="str">
        <f>IF($A91="","",COUNTIF('15_Prestazioni'!$B$4:$B$1000,$A91))</f>
        <v/>
      </c>
      <c r="R91" s="64" t="str">
        <f t="shared" si="4"/>
        <v/>
      </c>
      <c r="S91" s="65" t="str">
        <f>IF($A91="","",IFERROR(AVERAGEIF('07_TRL_TLR'!$B$4:$B$1000,$A91,'07_TRL_TLR'!$F$4:$F$1000),""))</f>
        <v/>
      </c>
      <c r="T91" s="63" t="str">
        <f t="shared" si="5"/>
        <v/>
      </c>
      <c r="U91" s="66" t="str">
        <f t="shared" si="6"/>
        <v/>
      </c>
      <c r="V91" s="66" t="str">
        <f t="shared" si="7"/>
        <v/>
      </c>
    </row>
    <row r="92" spans="1:22">
      <c r="A92" s="67" t="str">
        <f>IF('03_Tecnologie'!A92="","",'03_Tecnologie'!A92)</f>
        <v/>
      </c>
      <c r="B92" s="67" t="str">
        <f>IF($A92="","",'03_Tecnologie'!D92)</f>
        <v/>
      </c>
      <c r="C92" s="67" t="str">
        <f>IF($A92="","",'03_Tecnologie'!B92)</f>
        <v/>
      </c>
      <c r="D92" s="67" t="str">
        <f>IF($A92="","",'03_Tecnologie'!F92)</f>
        <v/>
      </c>
      <c r="E92" s="63" t="str">
        <f>IF($A92="","",COUNTIF('04_Componenti'!$B$4:$B$1000,$A92))</f>
        <v/>
      </c>
      <c r="F92" s="63" t="str">
        <f>IF($A92="","",COUNTIF('05_Descrizione'!$B$4:$B$1000,$A92))</f>
        <v/>
      </c>
      <c r="G92" s="63" t="str">
        <f>IF($A92="","",COUNTIF('06_Avanzamento'!$B$4:$B$1000,$A92))</f>
        <v/>
      </c>
      <c r="H92" s="63" t="str">
        <f>IF($A92="","",COUNTIF('07_TRL_TLR'!$B$4:$B$1000,$A92))</f>
        <v/>
      </c>
      <c r="I92" s="63" t="str">
        <f>IF($A92="","",COUNTIF('08_Costi_Compet'!$B$4:$B$1000,$A92))</f>
        <v/>
      </c>
      <c r="J92" s="63" t="str">
        <f>IF($A92="","",COUNTIF('09_Settori_Impatto'!$B$4:$B$1000,$A92))</f>
        <v/>
      </c>
      <c r="K92" s="63" t="str">
        <f>IF($A92="","",COUNTIF('16_Mercati_Riferimento'!$B$4:$B$1000,$A92))</f>
        <v/>
      </c>
      <c r="L92" s="22" t="str">
        <f>IF($A92="","",COUNTIF('10_Sostenibilita'!$B$4:$B$1000,$A92))</f>
        <v/>
      </c>
      <c r="M92" s="63" t="str">
        <f>IF($A92="","",COUNTIF('11_Best_Practice'!$B$4:$B$1000,$A92))</f>
        <v/>
      </c>
      <c r="N92" s="63" t="str">
        <f>IF($A92="","",COUNTIF('12_Policy_Regolazione'!$B$4:$B$1000,$A92))</f>
        <v/>
      </c>
      <c r="O92" s="63" t="str">
        <f>IF($A92="","",COUNTIF('13_Barriere_Opp'!$B$4:$B$1000,$A92))</f>
        <v/>
      </c>
      <c r="P92" s="63" t="str">
        <f>IF($A92="","",COUNTIF('14_Attori_Imprese'!$B$4:$B$1000,$A92))</f>
        <v/>
      </c>
      <c r="Q92" s="63" t="str">
        <f>IF($A92="","",COUNTIF('15_Prestazioni'!$B$4:$B$1000,$A92))</f>
        <v/>
      </c>
      <c r="R92" s="64" t="str">
        <f t="shared" si="4"/>
        <v/>
      </c>
      <c r="S92" s="65" t="str">
        <f>IF($A92="","",IFERROR(AVERAGEIF('07_TRL_TLR'!$B$4:$B$1000,$A92,'07_TRL_TLR'!$F$4:$F$1000),""))</f>
        <v/>
      </c>
      <c r="T92" s="63" t="str">
        <f t="shared" si="5"/>
        <v/>
      </c>
      <c r="U92" s="66" t="str">
        <f t="shared" si="6"/>
        <v/>
      </c>
      <c r="V92" s="66" t="str">
        <f t="shared" si="7"/>
        <v/>
      </c>
    </row>
    <row r="93" spans="1:22">
      <c r="A93" s="67" t="str">
        <f>IF('03_Tecnologie'!A93="","",'03_Tecnologie'!A93)</f>
        <v/>
      </c>
      <c r="B93" s="67" t="str">
        <f>IF($A93="","",'03_Tecnologie'!D93)</f>
        <v/>
      </c>
      <c r="C93" s="67" t="str">
        <f>IF($A93="","",'03_Tecnologie'!B93)</f>
        <v/>
      </c>
      <c r="D93" s="67" t="str">
        <f>IF($A93="","",'03_Tecnologie'!F93)</f>
        <v/>
      </c>
      <c r="E93" s="63" t="str">
        <f>IF($A93="","",COUNTIF('04_Componenti'!$B$4:$B$1000,$A93))</f>
        <v/>
      </c>
      <c r="F93" s="63" t="str">
        <f>IF($A93="","",COUNTIF('05_Descrizione'!$B$4:$B$1000,$A93))</f>
        <v/>
      </c>
      <c r="G93" s="63" t="str">
        <f>IF($A93="","",COUNTIF('06_Avanzamento'!$B$4:$B$1000,$A93))</f>
        <v/>
      </c>
      <c r="H93" s="63" t="str">
        <f>IF($A93="","",COUNTIF('07_TRL_TLR'!$B$4:$B$1000,$A93))</f>
        <v/>
      </c>
      <c r="I93" s="63" t="str">
        <f>IF($A93="","",COUNTIF('08_Costi_Compet'!$B$4:$B$1000,$A93))</f>
        <v/>
      </c>
      <c r="J93" s="63" t="str">
        <f>IF($A93="","",COUNTIF('09_Settori_Impatto'!$B$4:$B$1000,$A93))</f>
        <v/>
      </c>
      <c r="K93" s="63" t="str">
        <f>IF($A93="","",COUNTIF('16_Mercati_Riferimento'!$B$4:$B$1000,$A93))</f>
        <v/>
      </c>
      <c r="L93" s="22" t="str">
        <f>IF($A93="","",COUNTIF('10_Sostenibilita'!$B$4:$B$1000,$A93))</f>
        <v/>
      </c>
      <c r="M93" s="63" t="str">
        <f>IF($A93="","",COUNTIF('11_Best_Practice'!$B$4:$B$1000,$A93))</f>
        <v/>
      </c>
      <c r="N93" s="63" t="str">
        <f>IF($A93="","",COUNTIF('12_Policy_Regolazione'!$B$4:$B$1000,$A93))</f>
        <v/>
      </c>
      <c r="O93" s="63" t="str">
        <f>IF($A93="","",COUNTIF('13_Barriere_Opp'!$B$4:$B$1000,$A93))</f>
        <v/>
      </c>
      <c r="P93" s="63" t="str">
        <f>IF($A93="","",COUNTIF('14_Attori_Imprese'!$B$4:$B$1000,$A93))</f>
        <v/>
      </c>
      <c r="Q93" s="63" t="str">
        <f>IF($A93="","",COUNTIF('15_Prestazioni'!$B$4:$B$1000,$A93))</f>
        <v/>
      </c>
      <c r="R93" s="64" t="str">
        <f t="shared" si="4"/>
        <v/>
      </c>
      <c r="S93" s="65" t="str">
        <f>IF($A93="","",IFERROR(AVERAGEIF('07_TRL_TLR'!$B$4:$B$1000,$A93,'07_TRL_TLR'!$F$4:$F$1000),""))</f>
        <v/>
      </c>
      <c r="T93" s="63" t="str">
        <f t="shared" si="5"/>
        <v/>
      </c>
      <c r="U93" s="66" t="str">
        <f t="shared" si="6"/>
        <v/>
      </c>
      <c r="V93" s="66" t="str">
        <f t="shared" si="7"/>
        <v/>
      </c>
    </row>
    <row r="94" spans="1:22">
      <c r="A94" s="67" t="str">
        <f>IF('03_Tecnologie'!A94="","",'03_Tecnologie'!A94)</f>
        <v/>
      </c>
      <c r="B94" s="67" t="str">
        <f>IF($A94="","",'03_Tecnologie'!D94)</f>
        <v/>
      </c>
      <c r="C94" s="67" t="str">
        <f>IF($A94="","",'03_Tecnologie'!B94)</f>
        <v/>
      </c>
      <c r="D94" s="67" t="str">
        <f>IF($A94="","",'03_Tecnologie'!F94)</f>
        <v/>
      </c>
      <c r="E94" s="63" t="str">
        <f>IF($A94="","",COUNTIF('04_Componenti'!$B$4:$B$1000,$A94))</f>
        <v/>
      </c>
      <c r="F94" s="63" t="str">
        <f>IF($A94="","",COUNTIF('05_Descrizione'!$B$4:$B$1000,$A94))</f>
        <v/>
      </c>
      <c r="G94" s="63" t="str">
        <f>IF($A94="","",COUNTIF('06_Avanzamento'!$B$4:$B$1000,$A94))</f>
        <v/>
      </c>
      <c r="H94" s="63" t="str">
        <f>IF($A94="","",COUNTIF('07_TRL_TLR'!$B$4:$B$1000,$A94))</f>
        <v/>
      </c>
      <c r="I94" s="63" t="str">
        <f>IF($A94="","",COUNTIF('08_Costi_Compet'!$B$4:$B$1000,$A94))</f>
        <v/>
      </c>
      <c r="J94" s="63" t="str">
        <f>IF($A94="","",COUNTIF('09_Settori_Impatto'!$B$4:$B$1000,$A94))</f>
        <v/>
      </c>
      <c r="K94" s="63" t="str">
        <f>IF($A94="","",COUNTIF('16_Mercati_Riferimento'!$B$4:$B$1000,$A94))</f>
        <v/>
      </c>
      <c r="L94" s="22" t="str">
        <f>IF($A94="","",COUNTIF('10_Sostenibilita'!$B$4:$B$1000,$A94))</f>
        <v/>
      </c>
      <c r="M94" s="63" t="str">
        <f>IF($A94="","",COUNTIF('11_Best_Practice'!$B$4:$B$1000,$A94))</f>
        <v/>
      </c>
      <c r="N94" s="63" t="str">
        <f>IF($A94="","",COUNTIF('12_Policy_Regolazione'!$B$4:$B$1000,$A94))</f>
        <v/>
      </c>
      <c r="O94" s="63" t="str">
        <f>IF($A94="","",COUNTIF('13_Barriere_Opp'!$B$4:$B$1000,$A94))</f>
        <v/>
      </c>
      <c r="P94" s="63" t="str">
        <f>IF($A94="","",COUNTIF('14_Attori_Imprese'!$B$4:$B$1000,$A94))</f>
        <v/>
      </c>
      <c r="Q94" s="63" t="str">
        <f>IF($A94="","",COUNTIF('15_Prestazioni'!$B$4:$B$1000,$A94))</f>
        <v/>
      </c>
      <c r="R94" s="64" t="str">
        <f t="shared" si="4"/>
        <v/>
      </c>
      <c r="S94" s="65" t="str">
        <f>IF($A94="","",IFERROR(AVERAGEIF('07_TRL_TLR'!$B$4:$B$1000,$A94,'07_TRL_TLR'!$F$4:$F$1000),""))</f>
        <v/>
      </c>
      <c r="T94" s="63" t="str">
        <f t="shared" si="5"/>
        <v/>
      </c>
      <c r="U94" s="66" t="str">
        <f t="shared" si="6"/>
        <v/>
      </c>
      <c r="V94" s="66" t="str">
        <f t="shared" si="7"/>
        <v/>
      </c>
    </row>
    <row r="95" spans="1:22">
      <c r="A95" s="67" t="str">
        <f>IF('03_Tecnologie'!A95="","",'03_Tecnologie'!A95)</f>
        <v/>
      </c>
      <c r="B95" s="67" t="str">
        <f>IF($A95="","",'03_Tecnologie'!D95)</f>
        <v/>
      </c>
      <c r="C95" s="67" t="str">
        <f>IF($A95="","",'03_Tecnologie'!B95)</f>
        <v/>
      </c>
      <c r="D95" s="67" t="str">
        <f>IF($A95="","",'03_Tecnologie'!F95)</f>
        <v/>
      </c>
      <c r="E95" s="63" t="str">
        <f>IF($A95="","",COUNTIF('04_Componenti'!$B$4:$B$1000,$A95))</f>
        <v/>
      </c>
      <c r="F95" s="63" t="str">
        <f>IF($A95="","",COUNTIF('05_Descrizione'!$B$4:$B$1000,$A95))</f>
        <v/>
      </c>
      <c r="G95" s="63" t="str">
        <f>IF($A95="","",COUNTIF('06_Avanzamento'!$B$4:$B$1000,$A95))</f>
        <v/>
      </c>
      <c r="H95" s="63" t="str">
        <f>IF($A95="","",COUNTIF('07_TRL_TLR'!$B$4:$B$1000,$A95))</f>
        <v/>
      </c>
      <c r="I95" s="63" t="str">
        <f>IF($A95="","",COUNTIF('08_Costi_Compet'!$B$4:$B$1000,$A95))</f>
        <v/>
      </c>
      <c r="J95" s="63" t="str">
        <f>IF($A95="","",COUNTIF('09_Settori_Impatto'!$B$4:$B$1000,$A95))</f>
        <v/>
      </c>
      <c r="K95" s="63" t="str">
        <f>IF($A95="","",COUNTIF('16_Mercati_Riferimento'!$B$4:$B$1000,$A95))</f>
        <v/>
      </c>
      <c r="L95" s="22" t="str">
        <f>IF($A95="","",COUNTIF('10_Sostenibilita'!$B$4:$B$1000,$A95))</f>
        <v/>
      </c>
      <c r="M95" s="63" t="str">
        <f>IF($A95="","",COUNTIF('11_Best_Practice'!$B$4:$B$1000,$A95))</f>
        <v/>
      </c>
      <c r="N95" s="63" t="str">
        <f>IF($A95="","",COUNTIF('12_Policy_Regolazione'!$B$4:$B$1000,$A95))</f>
        <v/>
      </c>
      <c r="O95" s="63" t="str">
        <f>IF($A95="","",COUNTIF('13_Barriere_Opp'!$B$4:$B$1000,$A95))</f>
        <v/>
      </c>
      <c r="P95" s="63" t="str">
        <f>IF($A95="","",COUNTIF('14_Attori_Imprese'!$B$4:$B$1000,$A95))</f>
        <v/>
      </c>
      <c r="Q95" s="63" t="str">
        <f>IF($A95="","",COUNTIF('15_Prestazioni'!$B$4:$B$1000,$A95))</f>
        <v/>
      </c>
      <c r="R95" s="64" t="str">
        <f t="shared" si="4"/>
        <v/>
      </c>
      <c r="S95" s="65" t="str">
        <f>IF($A95="","",IFERROR(AVERAGEIF('07_TRL_TLR'!$B$4:$B$1000,$A95,'07_TRL_TLR'!$F$4:$F$1000),""))</f>
        <v/>
      </c>
      <c r="T95" s="63" t="str">
        <f t="shared" si="5"/>
        <v/>
      </c>
      <c r="U95" s="66" t="str">
        <f t="shared" si="6"/>
        <v/>
      </c>
      <c r="V95" s="66" t="str">
        <f t="shared" si="7"/>
        <v/>
      </c>
    </row>
    <row r="96" spans="1:22">
      <c r="A96" s="67" t="str">
        <f>IF('03_Tecnologie'!A96="","",'03_Tecnologie'!A96)</f>
        <v/>
      </c>
      <c r="B96" s="67" t="str">
        <f>IF($A96="","",'03_Tecnologie'!D96)</f>
        <v/>
      </c>
      <c r="C96" s="67" t="str">
        <f>IF($A96="","",'03_Tecnologie'!B96)</f>
        <v/>
      </c>
      <c r="D96" s="67" t="str">
        <f>IF($A96="","",'03_Tecnologie'!F96)</f>
        <v/>
      </c>
      <c r="E96" s="63" t="str">
        <f>IF($A96="","",COUNTIF('04_Componenti'!$B$4:$B$1000,$A96))</f>
        <v/>
      </c>
      <c r="F96" s="63" t="str">
        <f>IF($A96="","",COUNTIF('05_Descrizione'!$B$4:$B$1000,$A96))</f>
        <v/>
      </c>
      <c r="G96" s="63" t="str">
        <f>IF($A96="","",COUNTIF('06_Avanzamento'!$B$4:$B$1000,$A96))</f>
        <v/>
      </c>
      <c r="H96" s="63" t="str">
        <f>IF($A96="","",COUNTIF('07_TRL_TLR'!$B$4:$B$1000,$A96))</f>
        <v/>
      </c>
      <c r="I96" s="63" t="str">
        <f>IF($A96="","",COUNTIF('08_Costi_Compet'!$B$4:$B$1000,$A96))</f>
        <v/>
      </c>
      <c r="J96" s="63" t="str">
        <f>IF($A96="","",COUNTIF('09_Settori_Impatto'!$B$4:$B$1000,$A96))</f>
        <v/>
      </c>
      <c r="K96" s="63" t="str">
        <f>IF($A96="","",COUNTIF('16_Mercati_Riferimento'!$B$4:$B$1000,$A96))</f>
        <v/>
      </c>
      <c r="L96" s="22" t="str">
        <f>IF($A96="","",COUNTIF('10_Sostenibilita'!$B$4:$B$1000,$A96))</f>
        <v/>
      </c>
      <c r="M96" s="63" t="str">
        <f>IF($A96="","",COUNTIF('11_Best_Practice'!$B$4:$B$1000,$A96))</f>
        <v/>
      </c>
      <c r="N96" s="63" t="str">
        <f>IF($A96="","",COUNTIF('12_Policy_Regolazione'!$B$4:$B$1000,$A96))</f>
        <v/>
      </c>
      <c r="O96" s="63" t="str">
        <f>IF($A96="","",COUNTIF('13_Barriere_Opp'!$B$4:$B$1000,$A96))</f>
        <v/>
      </c>
      <c r="P96" s="63" t="str">
        <f>IF($A96="","",COUNTIF('14_Attori_Imprese'!$B$4:$B$1000,$A96))</f>
        <v/>
      </c>
      <c r="Q96" s="63" t="str">
        <f>IF($A96="","",COUNTIF('15_Prestazioni'!$B$4:$B$1000,$A96))</f>
        <v/>
      </c>
      <c r="R96" s="64" t="str">
        <f t="shared" si="4"/>
        <v/>
      </c>
      <c r="S96" s="65" t="str">
        <f>IF($A96="","",IFERROR(AVERAGEIF('07_TRL_TLR'!$B$4:$B$1000,$A96,'07_TRL_TLR'!$F$4:$F$1000),""))</f>
        <v/>
      </c>
      <c r="T96" s="63" t="str">
        <f t="shared" si="5"/>
        <v/>
      </c>
      <c r="U96" s="66" t="str">
        <f t="shared" si="6"/>
        <v/>
      </c>
      <c r="V96" s="66" t="str">
        <f t="shared" si="7"/>
        <v/>
      </c>
    </row>
    <row r="97" spans="1:22">
      <c r="A97" s="67" t="str">
        <f>IF('03_Tecnologie'!A97="","",'03_Tecnologie'!A97)</f>
        <v/>
      </c>
      <c r="B97" s="67" t="str">
        <f>IF($A97="","",'03_Tecnologie'!D97)</f>
        <v/>
      </c>
      <c r="C97" s="67" t="str">
        <f>IF($A97="","",'03_Tecnologie'!B97)</f>
        <v/>
      </c>
      <c r="D97" s="67" t="str">
        <f>IF($A97="","",'03_Tecnologie'!F97)</f>
        <v/>
      </c>
      <c r="E97" s="63" t="str">
        <f>IF($A97="","",COUNTIF('04_Componenti'!$B$4:$B$1000,$A97))</f>
        <v/>
      </c>
      <c r="F97" s="63" t="str">
        <f>IF($A97="","",COUNTIF('05_Descrizione'!$B$4:$B$1000,$A97))</f>
        <v/>
      </c>
      <c r="G97" s="63" t="str">
        <f>IF($A97="","",COUNTIF('06_Avanzamento'!$B$4:$B$1000,$A97))</f>
        <v/>
      </c>
      <c r="H97" s="63" t="str">
        <f>IF($A97="","",COUNTIF('07_TRL_TLR'!$B$4:$B$1000,$A97))</f>
        <v/>
      </c>
      <c r="I97" s="63" t="str">
        <f>IF($A97="","",COUNTIF('08_Costi_Compet'!$B$4:$B$1000,$A97))</f>
        <v/>
      </c>
      <c r="J97" s="63" t="str">
        <f>IF($A97="","",COUNTIF('09_Settori_Impatto'!$B$4:$B$1000,$A97))</f>
        <v/>
      </c>
      <c r="K97" s="63" t="str">
        <f>IF($A97="","",COUNTIF('16_Mercati_Riferimento'!$B$4:$B$1000,$A97))</f>
        <v/>
      </c>
      <c r="L97" s="22" t="str">
        <f>IF($A97="","",COUNTIF('10_Sostenibilita'!$B$4:$B$1000,$A97))</f>
        <v/>
      </c>
      <c r="M97" s="63" t="str">
        <f>IF($A97="","",COUNTIF('11_Best_Practice'!$B$4:$B$1000,$A97))</f>
        <v/>
      </c>
      <c r="N97" s="63" t="str">
        <f>IF($A97="","",COUNTIF('12_Policy_Regolazione'!$B$4:$B$1000,$A97))</f>
        <v/>
      </c>
      <c r="O97" s="63" t="str">
        <f>IF($A97="","",COUNTIF('13_Barriere_Opp'!$B$4:$B$1000,$A97))</f>
        <v/>
      </c>
      <c r="P97" s="63" t="str">
        <f>IF($A97="","",COUNTIF('14_Attori_Imprese'!$B$4:$B$1000,$A97))</f>
        <v/>
      </c>
      <c r="Q97" s="63" t="str">
        <f>IF($A97="","",COUNTIF('15_Prestazioni'!$B$4:$B$1000,$A97))</f>
        <v/>
      </c>
      <c r="R97" s="64" t="str">
        <f t="shared" si="4"/>
        <v/>
      </c>
      <c r="S97" s="65" t="str">
        <f>IF($A97="","",IFERROR(AVERAGEIF('07_TRL_TLR'!$B$4:$B$1000,$A97,'07_TRL_TLR'!$F$4:$F$1000),""))</f>
        <v/>
      </c>
      <c r="T97" s="63" t="str">
        <f t="shared" si="5"/>
        <v/>
      </c>
      <c r="U97" s="66" t="str">
        <f t="shared" si="6"/>
        <v/>
      </c>
      <c r="V97" s="66" t="str">
        <f t="shared" si="7"/>
        <v/>
      </c>
    </row>
    <row r="98" spans="1:22">
      <c r="A98" s="67" t="str">
        <f>IF('03_Tecnologie'!A98="","",'03_Tecnologie'!A98)</f>
        <v/>
      </c>
      <c r="B98" s="67" t="str">
        <f>IF($A98="","",'03_Tecnologie'!D98)</f>
        <v/>
      </c>
      <c r="C98" s="67" t="str">
        <f>IF($A98="","",'03_Tecnologie'!B98)</f>
        <v/>
      </c>
      <c r="D98" s="67" t="str">
        <f>IF($A98="","",'03_Tecnologie'!F98)</f>
        <v/>
      </c>
      <c r="E98" s="63" t="str">
        <f>IF($A98="","",COUNTIF('04_Componenti'!$B$4:$B$1000,$A98))</f>
        <v/>
      </c>
      <c r="F98" s="63" t="str">
        <f>IF($A98="","",COUNTIF('05_Descrizione'!$B$4:$B$1000,$A98))</f>
        <v/>
      </c>
      <c r="G98" s="63" t="str">
        <f>IF($A98="","",COUNTIF('06_Avanzamento'!$B$4:$B$1000,$A98))</f>
        <v/>
      </c>
      <c r="H98" s="63" t="str">
        <f>IF($A98="","",COUNTIF('07_TRL_TLR'!$B$4:$B$1000,$A98))</f>
        <v/>
      </c>
      <c r="I98" s="63" t="str">
        <f>IF($A98="","",COUNTIF('08_Costi_Compet'!$B$4:$B$1000,$A98))</f>
        <v/>
      </c>
      <c r="J98" s="63" t="str">
        <f>IF($A98="","",COUNTIF('09_Settori_Impatto'!$B$4:$B$1000,$A98))</f>
        <v/>
      </c>
      <c r="K98" s="63" t="str">
        <f>IF($A98="","",COUNTIF('16_Mercati_Riferimento'!$B$4:$B$1000,$A98))</f>
        <v/>
      </c>
      <c r="L98" s="22" t="str">
        <f>IF($A98="","",COUNTIF('10_Sostenibilita'!$B$4:$B$1000,$A98))</f>
        <v/>
      </c>
      <c r="M98" s="63" t="str">
        <f>IF($A98="","",COUNTIF('11_Best_Practice'!$B$4:$B$1000,$A98))</f>
        <v/>
      </c>
      <c r="N98" s="63" t="str">
        <f>IF($A98="","",COUNTIF('12_Policy_Regolazione'!$B$4:$B$1000,$A98))</f>
        <v/>
      </c>
      <c r="O98" s="63" t="str">
        <f>IF($A98="","",COUNTIF('13_Barriere_Opp'!$B$4:$B$1000,$A98))</f>
        <v/>
      </c>
      <c r="P98" s="63" t="str">
        <f>IF($A98="","",COUNTIF('14_Attori_Imprese'!$B$4:$B$1000,$A98))</f>
        <v/>
      </c>
      <c r="Q98" s="63" t="str">
        <f>IF($A98="","",COUNTIF('15_Prestazioni'!$B$4:$B$1000,$A98))</f>
        <v/>
      </c>
      <c r="R98" s="64" t="str">
        <f t="shared" si="4"/>
        <v/>
      </c>
      <c r="S98" s="65" t="str">
        <f>IF($A98="","",IFERROR(AVERAGEIF('07_TRL_TLR'!$B$4:$B$1000,$A98,'07_TRL_TLR'!$F$4:$F$1000),""))</f>
        <v/>
      </c>
      <c r="T98" s="63" t="str">
        <f t="shared" si="5"/>
        <v/>
      </c>
      <c r="U98" s="66" t="str">
        <f t="shared" si="6"/>
        <v/>
      </c>
      <c r="V98" s="66" t="str">
        <f t="shared" si="7"/>
        <v/>
      </c>
    </row>
    <row r="99" spans="1:22">
      <c r="A99" s="67" t="str">
        <f>IF('03_Tecnologie'!A99="","",'03_Tecnologie'!A99)</f>
        <v/>
      </c>
      <c r="B99" s="67" t="str">
        <f>IF($A99="","",'03_Tecnologie'!D99)</f>
        <v/>
      </c>
      <c r="C99" s="67" t="str">
        <f>IF($A99="","",'03_Tecnologie'!B99)</f>
        <v/>
      </c>
      <c r="D99" s="67" t="str">
        <f>IF($A99="","",'03_Tecnologie'!F99)</f>
        <v/>
      </c>
      <c r="E99" s="63" t="str">
        <f>IF($A99="","",COUNTIF('04_Componenti'!$B$4:$B$1000,$A99))</f>
        <v/>
      </c>
      <c r="F99" s="63" t="str">
        <f>IF($A99="","",COUNTIF('05_Descrizione'!$B$4:$B$1000,$A99))</f>
        <v/>
      </c>
      <c r="G99" s="63" t="str">
        <f>IF($A99="","",COUNTIF('06_Avanzamento'!$B$4:$B$1000,$A99))</f>
        <v/>
      </c>
      <c r="H99" s="63" t="str">
        <f>IF($A99="","",COUNTIF('07_TRL_TLR'!$B$4:$B$1000,$A99))</f>
        <v/>
      </c>
      <c r="I99" s="63" t="str">
        <f>IF($A99="","",COUNTIF('08_Costi_Compet'!$B$4:$B$1000,$A99))</f>
        <v/>
      </c>
      <c r="J99" s="63" t="str">
        <f>IF($A99="","",COUNTIF('09_Settori_Impatto'!$B$4:$B$1000,$A99))</f>
        <v/>
      </c>
      <c r="K99" s="63" t="str">
        <f>IF($A99="","",COUNTIF('16_Mercati_Riferimento'!$B$4:$B$1000,$A99))</f>
        <v/>
      </c>
      <c r="L99" s="22" t="str">
        <f>IF($A99="","",COUNTIF('10_Sostenibilita'!$B$4:$B$1000,$A99))</f>
        <v/>
      </c>
      <c r="M99" s="63" t="str">
        <f>IF($A99="","",COUNTIF('11_Best_Practice'!$B$4:$B$1000,$A99))</f>
        <v/>
      </c>
      <c r="N99" s="63" t="str">
        <f>IF($A99="","",COUNTIF('12_Policy_Regolazione'!$B$4:$B$1000,$A99))</f>
        <v/>
      </c>
      <c r="O99" s="63" t="str">
        <f>IF($A99="","",COUNTIF('13_Barriere_Opp'!$B$4:$B$1000,$A99))</f>
        <v/>
      </c>
      <c r="P99" s="63" t="str">
        <f>IF($A99="","",COUNTIF('14_Attori_Imprese'!$B$4:$B$1000,$A99))</f>
        <v/>
      </c>
      <c r="Q99" s="63" t="str">
        <f>IF($A99="","",COUNTIF('15_Prestazioni'!$B$4:$B$1000,$A99))</f>
        <v/>
      </c>
      <c r="R99" s="64" t="str">
        <f t="shared" si="4"/>
        <v/>
      </c>
      <c r="S99" s="65" t="str">
        <f>IF($A99="","",IFERROR(AVERAGEIF('07_TRL_TLR'!$B$4:$B$1000,$A99,'07_TRL_TLR'!$F$4:$F$1000),""))</f>
        <v/>
      </c>
      <c r="T99" s="63" t="str">
        <f t="shared" si="5"/>
        <v/>
      </c>
      <c r="U99" s="66" t="str">
        <f t="shared" si="6"/>
        <v/>
      </c>
      <c r="V99" s="66" t="str">
        <f t="shared" si="7"/>
        <v/>
      </c>
    </row>
    <row r="100" spans="1:22">
      <c r="A100" s="67" t="str">
        <f>IF('03_Tecnologie'!A100="","",'03_Tecnologie'!A100)</f>
        <v/>
      </c>
      <c r="B100" s="67" t="str">
        <f>IF($A100="","",'03_Tecnologie'!D100)</f>
        <v/>
      </c>
      <c r="C100" s="67" t="str">
        <f>IF($A100="","",'03_Tecnologie'!B100)</f>
        <v/>
      </c>
      <c r="D100" s="67" t="str">
        <f>IF($A100="","",'03_Tecnologie'!F100)</f>
        <v/>
      </c>
      <c r="E100" s="63" t="str">
        <f>IF($A100="","",COUNTIF('04_Componenti'!$B$4:$B$1000,$A100))</f>
        <v/>
      </c>
      <c r="F100" s="63" t="str">
        <f>IF($A100="","",COUNTIF('05_Descrizione'!$B$4:$B$1000,$A100))</f>
        <v/>
      </c>
      <c r="G100" s="63" t="str">
        <f>IF($A100="","",COUNTIF('06_Avanzamento'!$B$4:$B$1000,$A100))</f>
        <v/>
      </c>
      <c r="H100" s="63" t="str">
        <f>IF($A100="","",COUNTIF('07_TRL_TLR'!$B$4:$B$1000,$A100))</f>
        <v/>
      </c>
      <c r="I100" s="63" t="str">
        <f>IF($A100="","",COUNTIF('08_Costi_Compet'!$B$4:$B$1000,$A100))</f>
        <v/>
      </c>
      <c r="J100" s="63" t="str">
        <f>IF($A100="","",COUNTIF('09_Settori_Impatto'!$B$4:$B$1000,$A100))</f>
        <v/>
      </c>
      <c r="K100" s="63" t="str">
        <f>IF($A100="","",COUNTIF('16_Mercati_Riferimento'!$B$4:$B$1000,$A100))</f>
        <v/>
      </c>
      <c r="L100" s="22" t="str">
        <f>IF($A100="","",COUNTIF('10_Sostenibilita'!$B$4:$B$1000,$A100))</f>
        <v/>
      </c>
      <c r="M100" s="63" t="str">
        <f>IF($A100="","",COUNTIF('11_Best_Practice'!$B$4:$B$1000,$A100))</f>
        <v/>
      </c>
      <c r="N100" s="63" t="str">
        <f>IF($A100="","",COUNTIF('12_Policy_Regolazione'!$B$4:$B$1000,$A100))</f>
        <v/>
      </c>
      <c r="O100" s="63" t="str">
        <f>IF($A100="","",COUNTIF('13_Barriere_Opp'!$B$4:$B$1000,$A100))</f>
        <v/>
      </c>
      <c r="P100" s="63" t="str">
        <f>IF($A100="","",COUNTIF('14_Attori_Imprese'!$B$4:$B$1000,$A100))</f>
        <v/>
      </c>
      <c r="Q100" s="63" t="str">
        <f>IF($A100="","",COUNTIF('15_Prestazioni'!$B$4:$B$1000,$A100))</f>
        <v/>
      </c>
      <c r="R100" s="64" t="str">
        <f t="shared" si="4"/>
        <v/>
      </c>
      <c r="S100" s="65" t="str">
        <f>IF($A100="","",IFERROR(AVERAGEIF('07_TRL_TLR'!$B$4:$B$1000,$A100,'07_TRL_TLR'!$F$4:$F$1000),""))</f>
        <v/>
      </c>
      <c r="T100" s="63" t="str">
        <f t="shared" si="5"/>
        <v/>
      </c>
      <c r="U100" s="66" t="str">
        <f t="shared" si="6"/>
        <v/>
      </c>
      <c r="V100" s="66" t="str">
        <f t="shared" si="7"/>
        <v/>
      </c>
    </row>
    <row r="101" spans="1:22">
      <c r="A101" s="67" t="str">
        <f>IF('03_Tecnologie'!A101="","",'03_Tecnologie'!A101)</f>
        <v/>
      </c>
      <c r="B101" s="67" t="str">
        <f>IF($A101="","",'03_Tecnologie'!D101)</f>
        <v/>
      </c>
      <c r="C101" s="67" t="str">
        <f>IF($A101="","",'03_Tecnologie'!B101)</f>
        <v/>
      </c>
      <c r="D101" s="67" t="str">
        <f>IF($A101="","",'03_Tecnologie'!F101)</f>
        <v/>
      </c>
      <c r="E101" s="63" t="str">
        <f>IF($A101="","",COUNTIF('04_Componenti'!$B$4:$B$1000,$A101))</f>
        <v/>
      </c>
      <c r="F101" s="63" t="str">
        <f>IF($A101="","",COUNTIF('05_Descrizione'!$B$4:$B$1000,$A101))</f>
        <v/>
      </c>
      <c r="G101" s="63" t="str">
        <f>IF($A101="","",COUNTIF('06_Avanzamento'!$B$4:$B$1000,$A101))</f>
        <v/>
      </c>
      <c r="H101" s="63" t="str">
        <f>IF($A101="","",COUNTIF('07_TRL_TLR'!$B$4:$B$1000,$A101))</f>
        <v/>
      </c>
      <c r="I101" s="63" t="str">
        <f>IF($A101="","",COUNTIF('08_Costi_Compet'!$B$4:$B$1000,$A101))</f>
        <v/>
      </c>
      <c r="J101" s="63" t="str">
        <f>IF($A101="","",COUNTIF('09_Settori_Impatto'!$B$4:$B$1000,$A101))</f>
        <v/>
      </c>
      <c r="K101" s="63" t="str">
        <f>IF($A101="","",COUNTIF('16_Mercati_Riferimento'!$B$4:$B$1000,$A101))</f>
        <v/>
      </c>
      <c r="L101" s="22" t="str">
        <f>IF($A101="","",COUNTIF('10_Sostenibilita'!$B$4:$B$1000,$A101))</f>
        <v/>
      </c>
      <c r="M101" s="63" t="str">
        <f>IF($A101="","",COUNTIF('11_Best_Practice'!$B$4:$B$1000,$A101))</f>
        <v/>
      </c>
      <c r="N101" s="63" t="str">
        <f>IF($A101="","",COUNTIF('12_Policy_Regolazione'!$B$4:$B$1000,$A101))</f>
        <v/>
      </c>
      <c r="O101" s="63" t="str">
        <f>IF($A101="","",COUNTIF('13_Barriere_Opp'!$B$4:$B$1000,$A101))</f>
        <v/>
      </c>
      <c r="P101" s="63" t="str">
        <f>IF($A101="","",COUNTIF('14_Attori_Imprese'!$B$4:$B$1000,$A101))</f>
        <v/>
      </c>
      <c r="Q101" s="63" t="str">
        <f>IF($A101="","",COUNTIF('15_Prestazioni'!$B$4:$B$1000,$A101))</f>
        <v/>
      </c>
      <c r="R101" s="64" t="str">
        <f t="shared" si="4"/>
        <v/>
      </c>
      <c r="S101" s="65" t="str">
        <f>IF($A101="","",IFERROR(AVERAGEIF('07_TRL_TLR'!$B$4:$B$1000,$A101,'07_TRL_TLR'!$F$4:$F$1000),""))</f>
        <v/>
      </c>
      <c r="T101" s="63" t="str">
        <f t="shared" si="5"/>
        <v/>
      </c>
      <c r="U101" s="66" t="str">
        <f t="shared" si="6"/>
        <v/>
      </c>
      <c r="V101" s="66" t="str">
        <f t="shared" si="7"/>
        <v/>
      </c>
    </row>
    <row r="102" spans="1:22">
      <c r="A102" s="67" t="str">
        <f>IF('03_Tecnologie'!A102="","",'03_Tecnologie'!A102)</f>
        <v/>
      </c>
      <c r="B102" s="67" t="str">
        <f>IF($A102="","",'03_Tecnologie'!D102)</f>
        <v/>
      </c>
      <c r="C102" s="67" t="str">
        <f>IF($A102="","",'03_Tecnologie'!B102)</f>
        <v/>
      </c>
      <c r="D102" s="67" t="str">
        <f>IF($A102="","",'03_Tecnologie'!F102)</f>
        <v/>
      </c>
      <c r="E102" s="63" t="str">
        <f>IF($A102="","",COUNTIF('04_Componenti'!$B$4:$B$1000,$A102))</f>
        <v/>
      </c>
      <c r="F102" s="63" t="str">
        <f>IF($A102="","",COUNTIF('05_Descrizione'!$B$4:$B$1000,$A102))</f>
        <v/>
      </c>
      <c r="G102" s="63" t="str">
        <f>IF($A102="","",COUNTIF('06_Avanzamento'!$B$4:$B$1000,$A102))</f>
        <v/>
      </c>
      <c r="H102" s="63" t="str">
        <f>IF($A102="","",COUNTIF('07_TRL_TLR'!$B$4:$B$1000,$A102))</f>
        <v/>
      </c>
      <c r="I102" s="63" t="str">
        <f>IF($A102="","",COUNTIF('08_Costi_Compet'!$B$4:$B$1000,$A102))</f>
        <v/>
      </c>
      <c r="J102" s="63" t="str">
        <f>IF($A102="","",COUNTIF('09_Settori_Impatto'!$B$4:$B$1000,$A102))</f>
        <v/>
      </c>
      <c r="K102" s="63" t="str">
        <f>IF($A102="","",COUNTIF('16_Mercati_Riferimento'!$B$4:$B$1000,$A102))</f>
        <v/>
      </c>
      <c r="L102" s="22" t="str">
        <f>IF($A102="","",COUNTIF('10_Sostenibilita'!$B$4:$B$1000,$A102))</f>
        <v/>
      </c>
      <c r="M102" s="63" t="str">
        <f>IF($A102="","",COUNTIF('11_Best_Practice'!$B$4:$B$1000,$A102))</f>
        <v/>
      </c>
      <c r="N102" s="63" t="str">
        <f>IF($A102="","",COUNTIF('12_Policy_Regolazione'!$B$4:$B$1000,$A102))</f>
        <v/>
      </c>
      <c r="O102" s="63" t="str">
        <f>IF($A102="","",COUNTIF('13_Barriere_Opp'!$B$4:$B$1000,$A102))</f>
        <v/>
      </c>
      <c r="P102" s="63" t="str">
        <f>IF($A102="","",COUNTIF('14_Attori_Imprese'!$B$4:$B$1000,$A102))</f>
        <v/>
      </c>
      <c r="Q102" s="63" t="str">
        <f>IF($A102="","",COUNTIF('15_Prestazioni'!$B$4:$B$1000,$A102))</f>
        <v/>
      </c>
      <c r="R102" s="64" t="str">
        <f t="shared" si="4"/>
        <v/>
      </c>
      <c r="S102" s="65" t="str">
        <f>IF($A102="","",IFERROR(AVERAGEIF('07_TRL_TLR'!$B$4:$B$1000,$A102,'07_TRL_TLR'!$F$4:$F$1000),""))</f>
        <v/>
      </c>
      <c r="T102" s="63" t="str">
        <f t="shared" si="5"/>
        <v/>
      </c>
      <c r="U102" s="66" t="str">
        <f t="shared" si="6"/>
        <v/>
      </c>
      <c r="V102" s="66" t="str">
        <f t="shared" si="7"/>
        <v/>
      </c>
    </row>
    <row r="103" spans="1:22">
      <c r="A103" s="67" t="str">
        <f>IF('03_Tecnologie'!A103="","",'03_Tecnologie'!A103)</f>
        <v/>
      </c>
      <c r="B103" s="67" t="str">
        <f>IF($A103="","",'03_Tecnologie'!D103)</f>
        <v/>
      </c>
      <c r="C103" s="67" t="str">
        <f>IF($A103="","",'03_Tecnologie'!B103)</f>
        <v/>
      </c>
      <c r="D103" s="67" t="str">
        <f>IF($A103="","",'03_Tecnologie'!F103)</f>
        <v/>
      </c>
      <c r="E103" s="63" t="str">
        <f>IF($A103="","",COUNTIF('04_Componenti'!$B$4:$B$1000,$A103))</f>
        <v/>
      </c>
      <c r="F103" s="63" t="str">
        <f>IF($A103="","",COUNTIF('05_Descrizione'!$B$4:$B$1000,$A103))</f>
        <v/>
      </c>
      <c r="G103" s="63" t="str">
        <f>IF($A103="","",COUNTIF('06_Avanzamento'!$B$4:$B$1000,$A103))</f>
        <v/>
      </c>
      <c r="H103" s="63" t="str">
        <f>IF($A103="","",COUNTIF('07_TRL_TLR'!$B$4:$B$1000,$A103))</f>
        <v/>
      </c>
      <c r="I103" s="63" t="str">
        <f>IF($A103="","",COUNTIF('08_Costi_Compet'!$B$4:$B$1000,$A103))</f>
        <v/>
      </c>
      <c r="J103" s="63" t="str">
        <f>IF($A103="","",COUNTIF('09_Settori_Impatto'!$B$4:$B$1000,$A103))</f>
        <v/>
      </c>
      <c r="K103" s="63" t="str">
        <f>IF($A103="","",COUNTIF('16_Mercati_Riferimento'!$B$4:$B$1000,$A103))</f>
        <v/>
      </c>
      <c r="L103" s="22" t="str">
        <f>IF($A103="","",COUNTIF('10_Sostenibilita'!$B$4:$B$1000,$A103))</f>
        <v/>
      </c>
      <c r="M103" s="63" t="str">
        <f>IF($A103="","",COUNTIF('11_Best_Practice'!$B$4:$B$1000,$A103))</f>
        <v/>
      </c>
      <c r="N103" s="63" t="str">
        <f>IF($A103="","",COUNTIF('12_Policy_Regolazione'!$B$4:$B$1000,$A103))</f>
        <v/>
      </c>
      <c r="O103" s="63" t="str">
        <f>IF($A103="","",COUNTIF('13_Barriere_Opp'!$B$4:$B$1000,$A103))</f>
        <v/>
      </c>
      <c r="P103" s="63" t="str">
        <f>IF($A103="","",COUNTIF('14_Attori_Imprese'!$B$4:$B$1000,$A103))</f>
        <v/>
      </c>
      <c r="Q103" s="63" t="str">
        <f>IF($A103="","",COUNTIF('15_Prestazioni'!$B$4:$B$1000,$A103))</f>
        <v/>
      </c>
      <c r="R103" s="64" t="str">
        <f t="shared" si="4"/>
        <v/>
      </c>
      <c r="S103" s="65" t="str">
        <f>IF($A103="","",IFERROR(AVERAGEIF('07_TRL_TLR'!$B$4:$B$1000,$A103,'07_TRL_TLR'!$F$4:$F$1000),""))</f>
        <v/>
      </c>
      <c r="T103" s="63" t="str">
        <f t="shared" si="5"/>
        <v/>
      </c>
      <c r="U103" s="66" t="str">
        <f t="shared" si="6"/>
        <v/>
      </c>
      <c r="V103" s="66" t="str">
        <f t="shared" si="7"/>
        <v/>
      </c>
    </row>
    <row r="104" spans="1:22">
      <c r="A104" s="67" t="str">
        <f>IF('03_Tecnologie'!A104="","",'03_Tecnologie'!A104)</f>
        <v/>
      </c>
      <c r="B104" s="67" t="str">
        <f>IF($A104="","",'03_Tecnologie'!D104)</f>
        <v/>
      </c>
      <c r="C104" s="67" t="str">
        <f>IF($A104="","",'03_Tecnologie'!B104)</f>
        <v/>
      </c>
      <c r="D104" s="67" t="str">
        <f>IF($A104="","",'03_Tecnologie'!F104)</f>
        <v/>
      </c>
      <c r="E104" s="63" t="str">
        <f>IF($A104="","",COUNTIF('04_Componenti'!$B$4:$B$1000,$A104))</f>
        <v/>
      </c>
      <c r="F104" s="63" t="str">
        <f>IF($A104="","",COUNTIF('05_Descrizione'!$B$4:$B$1000,$A104))</f>
        <v/>
      </c>
      <c r="G104" s="63" t="str">
        <f>IF($A104="","",COUNTIF('06_Avanzamento'!$B$4:$B$1000,$A104))</f>
        <v/>
      </c>
      <c r="H104" s="63" t="str">
        <f>IF($A104="","",COUNTIF('07_TRL_TLR'!$B$4:$B$1000,$A104))</f>
        <v/>
      </c>
      <c r="I104" s="63" t="str">
        <f>IF($A104="","",COUNTIF('08_Costi_Compet'!$B$4:$B$1000,$A104))</f>
        <v/>
      </c>
      <c r="J104" s="63" t="str">
        <f>IF($A104="","",COUNTIF('09_Settori_Impatto'!$B$4:$B$1000,$A104))</f>
        <v/>
      </c>
      <c r="K104" s="63" t="str">
        <f>IF($A104="","",COUNTIF('16_Mercati_Riferimento'!$B$4:$B$1000,$A104))</f>
        <v/>
      </c>
      <c r="L104" s="22" t="str">
        <f>IF($A104="","",COUNTIF('10_Sostenibilita'!$B$4:$B$1000,$A104))</f>
        <v/>
      </c>
      <c r="M104" s="63" t="str">
        <f>IF($A104="","",COUNTIF('11_Best_Practice'!$B$4:$B$1000,$A104))</f>
        <v/>
      </c>
      <c r="N104" s="63" t="str">
        <f>IF($A104="","",COUNTIF('12_Policy_Regolazione'!$B$4:$B$1000,$A104))</f>
        <v/>
      </c>
      <c r="O104" s="63" t="str">
        <f>IF($A104="","",COUNTIF('13_Barriere_Opp'!$B$4:$B$1000,$A104))</f>
        <v/>
      </c>
      <c r="P104" s="63" t="str">
        <f>IF($A104="","",COUNTIF('14_Attori_Imprese'!$B$4:$B$1000,$A104))</f>
        <v/>
      </c>
      <c r="Q104" s="63" t="str">
        <f>IF($A104="","",COUNTIF('15_Prestazioni'!$B$4:$B$1000,$A104))</f>
        <v/>
      </c>
      <c r="R104" s="64" t="str">
        <f t="shared" si="4"/>
        <v/>
      </c>
      <c r="S104" s="65" t="str">
        <f>IF($A104="","",IFERROR(AVERAGEIF('07_TRL_TLR'!$B$4:$B$1000,$A104,'07_TRL_TLR'!$F$4:$F$1000),""))</f>
        <v/>
      </c>
      <c r="T104" s="63" t="str">
        <f t="shared" si="5"/>
        <v/>
      </c>
      <c r="U104" s="66" t="str">
        <f t="shared" si="6"/>
        <v/>
      </c>
      <c r="V104" s="66" t="str">
        <f t="shared" si="7"/>
        <v/>
      </c>
    </row>
    <row r="105" spans="1:22">
      <c r="A105" s="67" t="str">
        <f>IF('03_Tecnologie'!A105="","",'03_Tecnologie'!A105)</f>
        <v/>
      </c>
      <c r="B105" s="67" t="str">
        <f>IF($A105="","",'03_Tecnologie'!D105)</f>
        <v/>
      </c>
      <c r="C105" s="67" t="str">
        <f>IF($A105="","",'03_Tecnologie'!B105)</f>
        <v/>
      </c>
      <c r="D105" s="67" t="str">
        <f>IF($A105="","",'03_Tecnologie'!F105)</f>
        <v/>
      </c>
      <c r="E105" s="63" t="str">
        <f>IF($A105="","",COUNTIF('04_Componenti'!$B$4:$B$1000,$A105))</f>
        <v/>
      </c>
      <c r="F105" s="63" t="str">
        <f>IF($A105="","",COUNTIF('05_Descrizione'!$B$4:$B$1000,$A105))</f>
        <v/>
      </c>
      <c r="G105" s="63" t="str">
        <f>IF($A105="","",COUNTIF('06_Avanzamento'!$B$4:$B$1000,$A105))</f>
        <v/>
      </c>
      <c r="H105" s="63" t="str">
        <f>IF($A105="","",COUNTIF('07_TRL_TLR'!$B$4:$B$1000,$A105))</f>
        <v/>
      </c>
      <c r="I105" s="63" t="str">
        <f>IF($A105="","",COUNTIF('08_Costi_Compet'!$B$4:$B$1000,$A105))</f>
        <v/>
      </c>
      <c r="J105" s="63" t="str">
        <f>IF($A105="","",COUNTIF('09_Settori_Impatto'!$B$4:$B$1000,$A105))</f>
        <v/>
      </c>
      <c r="K105" s="63" t="str">
        <f>IF($A105="","",COUNTIF('16_Mercati_Riferimento'!$B$4:$B$1000,$A105))</f>
        <v/>
      </c>
      <c r="L105" s="22" t="str">
        <f>IF($A105="","",COUNTIF('10_Sostenibilita'!$B$4:$B$1000,$A105))</f>
        <v/>
      </c>
      <c r="M105" s="63" t="str">
        <f>IF($A105="","",COUNTIF('11_Best_Practice'!$B$4:$B$1000,$A105))</f>
        <v/>
      </c>
      <c r="N105" s="63" t="str">
        <f>IF($A105="","",COUNTIF('12_Policy_Regolazione'!$B$4:$B$1000,$A105))</f>
        <v/>
      </c>
      <c r="O105" s="63" t="str">
        <f>IF($A105="","",COUNTIF('13_Barriere_Opp'!$B$4:$B$1000,$A105))</f>
        <v/>
      </c>
      <c r="P105" s="63" t="str">
        <f>IF($A105="","",COUNTIF('14_Attori_Imprese'!$B$4:$B$1000,$A105))</f>
        <v/>
      </c>
      <c r="Q105" s="63" t="str">
        <f>IF($A105="","",COUNTIF('15_Prestazioni'!$B$4:$B$1000,$A105))</f>
        <v/>
      </c>
      <c r="R105" s="64" t="str">
        <f t="shared" si="4"/>
        <v/>
      </c>
      <c r="S105" s="65" t="str">
        <f>IF($A105="","",IFERROR(AVERAGEIF('07_TRL_TLR'!$B$4:$B$1000,$A105,'07_TRL_TLR'!$F$4:$F$1000),""))</f>
        <v/>
      </c>
      <c r="T105" s="63" t="str">
        <f t="shared" si="5"/>
        <v/>
      </c>
      <c r="U105" s="66" t="str">
        <f t="shared" si="6"/>
        <v/>
      </c>
      <c r="V105" s="66" t="str">
        <f t="shared" si="7"/>
        <v/>
      </c>
    </row>
    <row r="106" spans="1:22">
      <c r="A106" s="67" t="str">
        <f>IF('03_Tecnologie'!A106="","",'03_Tecnologie'!A106)</f>
        <v/>
      </c>
      <c r="B106" s="67" t="str">
        <f>IF($A106="","",'03_Tecnologie'!D106)</f>
        <v/>
      </c>
      <c r="C106" s="67" t="str">
        <f>IF($A106="","",'03_Tecnologie'!B106)</f>
        <v/>
      </c>
      <c r="D106" s="67" t="str">
        <f>IF($A106="","",'03_Tecnologie'!F106)</f>
        <v/>
      </c>
      <c r="E106" s="63" t="str">
        <f>IF($A106="","",COUNTIF('04_Componenti'!$B$4:$B$1000,$A106))</f>
        <v/>
      </c>
      <c r="F106" s="63" t="str">
        <f>IF($A106="","",COUNTIF('05_Descrizione'!$B$4:$B$1000,$A106))</f>
        <v/>
      </c>
      <c r="G106" s="63" t="str">
        <f>IF($A106="","",COUNTIF('06_Avanzamento'!$B$4:$B$1000,$A106))</f>
        <v/>
      </c>
      <c r="H106" s="63" t="str">
        <f>IF($A106="","",COUNTIF('07_TRL_TLR'!$B$4:$B$1000,$A106))</f>
        <v/>
      </c>
      <c r="I106" s="63" t="str">
        <f>IF($A106="","",COUNTIF('08_Costi_Compet'!$B$4:$B$1000,$A106))</f>
        <v/>
      </c>
      <c r="J106" s="63" t="str">
        <f>IF($A106="","",COUNTIF('09_Settori_Impatto'!$B$4:$B$1000,$A106))</f>
        <v/>
      </c>
      <c r="K106" s="63" t="str">
        <f>IF($A106="","",COUNTIF('16_Mercati_Riferimento'!$B$4:$B$1000,$A106))</f>
        <v/>
      </c>
      <c r="L106" s="22" t="str">
        <f>IF($A106="","",COUNTIF('10_Sostenibilita'!$B$4:$B$1000,$A106))</f>
        <v/>
      </c>
      <c r="M106" s="63" t="str">
        <f>IF($A106="","",COUNTIF('11_Best_Practice'!$B$4:$B$1000,$A106))</f>
        <v/>
      </c>
      <c r="N106" s="63" t="str">
        <f>IF($A106="","",COUNTIF('12_Policy_Regolazione'!$B$4:$B$1000,$A106))</f>
        <v/>
      </c>
      <c r="O106" s="63" t="str">
        <f>IF($A106="","",COUNTIF('13_Barriere_Opp'!$B$4:$B$1000,$A106))</f>
        <v/>
      </c>
      <c r="P106" s="63" t="str">
        <f>IF($A106="","",COUNTIF('14_Attori_Imprese'!$B$4:$B$1000,$A106))</f>
        <v/>
      </c>
      <c r="Q106" s="63" t="str">
        <f>IF($A106="","",COUNTIF('15_Prestazioni'!$B$4:$B$1000,$A106))</f>
        <v/>
      </c>
      <c r="R106" s="64" t="str">
        <f t="shared" si="4"/>
        <v/>
      </c>
      <c r="S106" s="65" t="str">
        <f>IF($A106="","",IFERROR(AVERAGEIF('07_TRL_TLR'!$B$4:$B$1000,$A106,'07_TRL_TLR'!$F$4:$F$1000),""))</f>
        <v/>
      </c>
      <c r="T106" s="63" t="str">
        <f t="shared" si="5"/>
        <v/>
      </c>
      <c r="U106" s="66" t="str">
        <f t="shared" si="6"/>
        <v/>
      </c>
      <c r="V106" s="66" t="str">
        <f t="shared" si="7"/>
        <v/>
      </c>
    </row>
    <row r="107" spans="1:22">
      <c r="A107" s="67" t="str">
        <f>IF('03_Tecnologie'!A107="","",'03_Tecnologie'!A107)</f>
        <v/>
      </c>
      <c r="B107" s="67" t="str">
        <f>IF($A107="","",'03_Tecnologie'!D107)</f>
        <v/>
      </c>
      <c r="C107" s="67" t="str">
        <f>IF($A107="","",'03_Tecnologie'!B107)</f>
        <v/>
      </c>
      <c r="D107" s="67" t="str">
        <f>IF($A107="","",'03_Tecnologie'!F107)</f>
        <v/>
      </c>
      <c r="E107" s="63" t="str">
        <f>IF($A107="","",COUNTIF('04_Componenti'!$B$4:$B$1000,$A107))</f>
        <v/>
      </c>
      <c r="F107" s="63" t="str">
        <f>IF($A107="","",COUNTIF('05_Descrizione'!$B$4:$B$1000,$A107))</f>
        <v/>
      </c>
      <c r="G107" s="63" t="str">
        <f>IF($A107="","",COUNTIF('06_Avanzamento'!$B$4:$B$1000,$A107))</f>
        <v/>
      </c>
      <c r="H107" s="63" t="str">
        <f>IF($A107="","",COUNTIF('07_TRL_TLR'!$B$4:$B$1000,$A107))</f>
        <v/>
      </c>
      <c r="I107" s="63" t="str">
        <f>IF($A107="","",COUNTIF('08_Costi_Compet'!$B$4:$B$1000,$A107))</f>
        <v/>
      </c>
      <c r="J107" s="63" t="str">
        <f>IF($A107="","",COUNTIF('09_Settori_Impatto'!$B$4:$B$1000,$A107))</f>
        <v/>
      </c>
      <c r="K107" s="63" t="str">
        <f>IF($A107="","",COUNTIF('16_Mercati_Riferimento'!$B$4:$B$1000,$A107))</f>
        <v/>
      </c>
      <c r="L107" s="22" t="str">
        <f>IF($A107="","",COUNTIF('10_Sostenibilita'!$B$4:$B$1000,$A107))</f>
        <v/>
      </c>
      <c r="M107" s="63" t="str">
        <f>IF($A107="","",COUNTIF('11_Best_Practice'!$B$4:$B$1000,$A107))</f>
        <v/>
      </c>
      <c r="N107" s="63" t="str">
        <f>IF($A107="","",COUNTIF('12_Policy_Regolazione'!$B$4:$B$1000,$A107))</f>
        <v/>
      </c>
      <c r="O107" s="63" t="str">
        <f>IF($A107="","",COUNTIF('13_Barriere_Opp'!$B$4:$B$1000,$A107))</f>
        <v/>
      </c>
      <c r="P107" s="63" t="str">
        <f>IF($A107="","",COUNTIF('14_Attori_Imprese'!$B$4:$B$1000,$A107))</f>
        <v/>
      </c>
      <c r="Q107" s="63" t="str">
        <f>IF($A107="","",COUNTIF('15_Prestazioni'!$B$4:$B$1000,$A107))</f>
        <v/>
      </c>
      <c r="R107" s="64" t="str">
        <f t="shared" si="4"/>
        <v/>
      </c>
      <c r="S107" s="65" t="str">
        <f>IF($A107="","",IFERROR(AVERAGEIF('07_TRL_TLR'!$B$4:$B$1000,$A107,'07_TRL_TLR'!$F$4:$F$1000),""))</f>
        <v/>
      </c>
      <c r="T107" s="63" t="str">
        <f t="shared" si="5"/>
        <v/>
      </c>
      <c r="U107" s="66" t="str">
        <f t="shared" si="6"/>
        <v/>
      </c>
      <c r="V107" s="66" t="str">
        <f t="shared" si="7"/>
        <v/>
      </c>
    </row>
    <row r="108" spans="1:22">
      <c r="A108" s="67" t="str">
        <f>IF('03_Tecnologie'!A108="","",'03_Tecnologie'!A108)</f>
        <v/>
      </c>
      <c r="B108" s="67" t="str">
        <f>IF($A108="","",'03_Tecnologie'!D108)</f>
        <v/>
      </c>
      <c r="C108" s="67" t="str">
        <f>IF($A108="","",'03_Tecnologie'!B108)</f>
        <v/>
      </c>
      <c r="D108" s="67" t="str">
        <f>IF($A108="","",'03_Tecnologie'!F108)</f>
        <v/>
      </c>
      <c r="E108" s="63" t="str">
        <f>IF($A108="","",COUNTIF('04_Componenti'!$B$4:$B$1000,$A108))</f>
        <v/>
      </c>
      <c r="F108" s="63" t="str">
        <f>IF($A108="","",COUNTIF('05_Descrizione'!$B$4:$B$1000,$A108))</f>
        <v/>
      </c>
      <c r="G108" s="63" t="str">
        <f>IF($A108="","",COUNTIF('06_Avanzamento'!$B$4:$B$1000,$A108))</f>
        <v/>
      </c>
      <c r="H108" s="63" t="str">
        <f>IF($A108="","",COUNTIF('07_TRL_TLR'!$B$4:$B$1000,$A108))</f>
        <v/>
      </c>
      <c r="I108" s="63" t="str">
        <f>IF($A108="","",COUNTIF('08_Costi_Compet'!$B$4:$B$1000,$A108))</f>
        <v/>
      </c>
      <c r="J108" s="63" t="str">
        <f>IF($A108="","",COUNTIF('09_Settori_Impatto'!$B$4:$B$1000,$A108))</f>
        <v/>
      </c>
      <c r="K108" s="63" t="str">
        <f>IF($A108="","",COUNTIF('16_Mercati_Riferimento'!$B$4:$B$1000,$A108))</f>
        <v/>
      </c>
      <c r="L108" s="22" t="str">
        <f>IF($A108="","",COUNTIF('10_Sostenibilita'!$B$4:$B$1000,$A108))</f>
        <v/>
      </c>
      <c r="M108" s="63" t="str">
        <f>IF($A108="","",COUNTIF('11_Best_Practice'!$B$4:$B$1000,$A108))</f>
        <v/>
      </c>
      <c r="N108" s="63" t="str">
        <f>IF($A108="","",COUNTIF('12_Policy_Regolazione'!$B$4:$B$1000,$A108))</f>
        <v/>
      </c>
      <c r="O108" s="63" t="str">
        <f>IF($A108="","",COUNTIF('13_Barriere_Opp'!$B$4:$B$1000,$A108))</f>
        <v/>
      </c>
      <c r="P108" s="63" t="str">
        <f>IF($A108="","",COUNTIF('14_Attori_Imprese'!$B$4:$B$1000,$A108))</f>
        <v/>
      </c>
      <c r="Q108" s="63" t="str">
        <f>IF($A108="","",COUNTIF('15_Prestazioni'!$B$4:$B$1000,$A108))</f>
        <v/>
      </c>
      <c r="R108" s="64" t="str">
        <f t="shared" si="4"/>
        <v/>
      </c>
      <c r="S108" s="65" t="str">
        <f>IF($A108="","",IFERROR(AVERAGEIF('07_TRL_TLR'!$B$4:$B$1000,$A108,'07_TRL_TLR'!$F$4:$F$1000),""))</f>
        <v/>
      </c>
      <c r="T108" s="63" t="str">
        <f t="shared" si="5"/>
        <v/>
      </c>
      <c r="U108" s="66" t="str">
        <f t="shared" si="6"/>
        <v/>
      </c>
      <c r="V108" s="66" t="str">
        <f t="shared" si="7"/>
        <v/>
      </c>
    </row>
    <row r="109" spans="1:22">
      <c r="A109" s="67" t="str">
        <f>IF('03_Tecnologie'!A109="","",'03_Tecnologie'!A109)</f>
        <v/>
      </c>
      <c r="B109" s="67" t="str">
        <f>IF($A109="","",'03_Tecnologie'!D109)</f>
        <v/>
      </c>
      <c r="C109" s="67" t="str">
        <f>IF($A109="","",'03_Tecnologie'!B109)</f>
        <v/>
      </c>
      <c r="D109" s="67" t="str">
        <f>IF($A109="","",'03_Tecnologie'!F109)</f>
        <v/>
      </c>
      <c r="E109" s="63" t="str">
        <f>IF($A109="","",COUNTIF('04_Componenti'!$B$4:$B$1000,$A109))</f>
        <v/>
      </c>
      <c r="F109" s="63" t="str">
        <f>IF($A109="","",COUNTIF('05_Descrizione'!$B$4:$B$1000,$A109))</f>
        <v/>
      </c>
      <c r="G109" s="63" t="str">
        <f>IF($A109="","",COUNTIF('06_Avanzamento'!$B$4:$B$1000,$A109))</f>
        <v/>
      </c>
      <c r="H109" s="63" t="str">
        <f>IF($A109="","",COUNTIF('07_TRL_TLR'!$B$4:$B$1000,$A109))</f>
        <v/>
      </c>
      <c r="I109" s="63" t="str">
        <f>IF($A109="","",COUNTIF('08_Costi_Compet'!$B$4:$B$1000,$A109))</f>
        <v/>
      </c>
      <c r="J109" s="63" t="str">
        <f>IF($A109="","",COUNTIF('09_Settori_Impatto'!$B$4:$B$1000,$A109))</f>
        <v/>
      </c>
      <c r="K109" s="63" t="str">
        <f>IF($A109="","",COUNTIF('16_Mercati_Riferimento'!$B$4:$B$1000,$A109))</f>
        <v/>
      </c>
      <c r="L109" s="22" t="str">
        <f>IF($A109="","",COUNTIF('10_Sostenibilita'!$B$4:$B$1000,$A109))</f>
        <v/>
      </c>
      <c r="M109" s="63" t="str">
        <f>IF($A109="","",COUNTIF('11_Best_Practice'!$B$4:$B$1000,$A109))</f>
        <v/>
      </c>
      <c r="N109" s="63" t="str">
        <f>IF($A109="","",COUNTIF('12_Policy_Regolazione'!$B$4:$B$1000,$A109))</f>
        <v/>
      </c>
      <c r="O109" s="63" t="str">
        <f>IF($A109="","",COUNTIF('13_Barriere_Opp'!$B$4:$B$1000,$A109))</f>
        <v/>
      </c>
      <c r="P109" s="63" t="str">
        <f>IF($A109="","",COUNTIF('14_Attori_Imprese'!$B$4:$B$1000,$A109))</f>
        <v/>
      </c>
      <c r="Q109" s="63" t="str">
        <f>IF($A109="","",COUNTIF('15_Prestazioni'!$B$4:$B$1000,$A109))</f>
        <v/>
      </c>
      <c r="R109" s="64" t="str">
        <f t="shared" si="4"/>
        <v/>
      </c>
      <c r="S109" s="65" t="str">
        <f>IF($A109="","",IFERROR(AVERAGEIF('07_TRL_TLR'!$B$4:$B$1000,$A109,'07_TRL_TLR'!$F$4:$F$1000),""))</f>
        <v/>
      </c>
      <c r="T109" s="63" t="str">
        <f t="shared" si="5"/>
        <v/>
      </c>
      <c r="U109" s="66" t="str">
        <f t="shared" si="6"/>
        <v/>
      </c>
      <c r="V109" s="66" t="str">
        <f t="shared" si="7"/>
        <v/>
      </c>
    </row>
    <row r="110" spans="1:22">
      <c r="A110" s="67" t="str">
        <f>IF('03_Tecnologie'!A110="","",'03_Tecnologie'!A110)</f>
        <v/>
      </c>
      <c r="B110" s="67" t="str">
        <f>IF($A110="","",'03_Tecnologie'!D110)</f>
        <v/>
      </c>
      <c r="C110" s="67" t="str">
        <f>IF($A110="","",'03_Tecnologie'!B110)</f>
        <v/>
      </c>
      <c r="D110" s="67" t="str">
        <f>IF($A110="","",'03_Tecnologie'!F110)</f>
        <v/>
      </c>
      <c r="E110" s="63" t="str">
        <f>IF($A110="","",COUNTIF('04_Componenti'!$B$4:$B$1000,$A110))</f>
        <v/>
      </c>
      <c r="F110" s="63" t="str">
        <f>IF($A110="","",COUNTIF('05_Descrizione'!$B$4:$B$1000,$A110))</f>
        <v/>
      </c>
      <c r="G110" s="63" t="str">
        <f>IF($A110="","",COUNTIF('06_Avanzamento'!$B$4:$B$1000,$A110))</f>
        <v/>
      </c>
      <c r="H110" s="63" t="str">
        <f>IF($A110="","",COUNTIF('07_TRL_TLR'!$B$4:$B$1000,$A110))</f>
        <v/>
      </c>
      <c r="I110" s="63" t="str">
        <f>IF($A110="","",COUNTIF('08_Costi_Compet'!$B$4:$B$1000,$A110))</f>
        <v/>
      </c>
      <c r="J110" s="63" t="str">
        <f>IF($A110="","",COUNTIF('09_Settori_Impatto'!$B$4:$B$1000,$A110))</f>
        <v/>
      </c>
      <c r="K110" s="63" t="str">
        <f>IF($A110="","",COUNTIF('16_Mercati_Riferimento'!$B$4:$B$1000,$A110))</f>
        <v/>
      </c>
      <c r="L110" s="22" t="str">
        <f>IF($A110="","",COUNTIF('10_Sostenibilita'!$B$4:$B$1000,$A110))</f>
        <v/>
      </c>
      <c r="M110" s="63" t="str">
        <f>IF($A110="","",COUNTIF('11_Best_Practice'!$B$4:$B$1000,$A110))</f>
        <v/>
      </c>
      <c r="N110" s="63" t="str">
        <f>IF($A110="","",COUNTIF('12_Policy_Regolazione'!$B$4:$B$1000,$A110))</f>
        <v/>
      </c>
      <c r="O110" s="63" t="str">
        <f>IF($A110="","",COUNTIF('13_Barriere_Opp'!$B$4:$B$1000,$A110))</f>
        <v/>
      </c>
      <c r="P110" s="63" t="str">
        <f>IF($A110="","",COUNTIF('14_Attori_Imprese'!$B$4:$B$1000,$A110))</f>
        <v/>
      </c>
      <c r="Q110" s="63" t="str">
        <f>IF($A110="","",COUNTIF('15_Prestazioni'!$B$4:$B$1000,$A110))</f>
        <v/>
      </c>
      <c r="R110" s="64" t="str">
        <f t="shared" si="4"/>
        <v/>
      </c>
      <c r="S110" s="65" t="str">
        <f>IF($A110="","",IFERROR(AVERAGEIF('07_TRL_TLR'!$B$4:$B$1000,$A110,'07_TRL_TLR'!$F$4:$F$1000),""))</f>
        <v/>
      </c>
      <c r="T110" s="63" t="str">
        <f t="shared" si="5"/>
        <v/>
      </c>
      <c r="U110" s="66" t="str">
        <f t="shared" si="6"/>
        <v/>
      </c>
      <c r="V110" s="66" t="str">
        <f t="shared" si="7"/>
        <v/>
      </c>
    </row>
    <row r="111" spans="1:22">
      <c r="A111" s="67" t="str">
        <f>IF('03_Tecnologie'!A111="","",'03_Tecnologie'!A111)</f>
        <v/>
      </c>
      <c r="B111" s="67" t="str">
        <f>IF($A111="","",'03_Tecnologie'!D111)</f>
        <v/>
      </c>
      <c r="C111" s="67" t="str">
        <f>IF($A111="","",'03_Tecnologie'!B111)</f>
        <v/>
      </c>
      <c r="D111" s="67" t="str">
        <f>IF($A111="","",'03_Tecnologie'!F111)</f>
        <v/>
      </c>
      <c r="E111" s="63" t="str">
        <f>IF($A111="","",COUNTIF('04_Componenti'!$B$4:$B$1000,$A111))</f>
        <v/>
      </c>
      <c r="F111" s="63" t="str">
        <f>IF($A111="","",COUNTIF('05_Descrizione'!$B$4:$B$1000,$A111))</f>
        <v/>
      </c>
      <c r="G111" s="63" t="str">
        <f>IF($A111="","",COUNTIF('06_Avanzamento'!$B$4:$B$1000,$A111))</f>
        <v/>
      </c>
      <c r="H111" s="63" t="str">
        <f>IF($A111="","",COUNTIF('07_TRL_TLR'!$B$4:$B$1000,$A111))</f>
        <v/>
      </c>
      <c r="I111" s="63" t="str">
        <f>IF($A111="","",COUNTIF('08_Costi_Compet'!$B$4:$B$1000,$A111))</f>
        <v/>
      </c>
      <c r="J111" s="63" t="str">
        <f>IF($A111="","",COUNTIF('09_Settori_Impatto'!$B$4:$B$1000,$A111))</f>
        <v/>
      </c>
      <c r="K111" s="63" t="str">
        <f>IF($A111="","",COUNTIF('16_Mercati_Riferimento'!$B$4:$B$1000,$A111))</f>
        <v/>
      </c>
      <c r="L111" s="22" t="str">
        <f>IF($A111="","",COUNTIF('10_Sostenibilita'!$B$4:$B$1000,$A111))</f>
        <v/>
      </c>
      <c r="M111" s="63" t="str">
        <f>IF($A111="","",COUNTIF('11_Best_Practice'!$B$4:$B$1000,$A111))</f>
        <v/>
      </c>
      <c r="N111" s="63" t="str">
        <f>IF($A111="","",COUNTIF('12_Policy_Regolazione'!$B$4:$B$1000,$A111))</f>
        <v/>
      </c>
      <c r="O111" s="63" t="str">
        <f>IF($A111="","",COUNTIF('13_Barriere_Opp'!$B$4:$B$1000,$A111))</f>
        <v/>
      </c>
      <c r="P111" s="63" t="str">
        <f>IF($A111="","",COUNTIF('14_Attori_Imprese'!$B$4:$B$1000,$A111))</f>
        <v/>
      </c>
      <c r="Q111" s="63" t="str">
        <f>IF($A111="","",COUNTIF('15_Prestazioni'!$B$4:$B$1000,$A111))</f>
        <v/>
      </c>
      <c r="R111" s="64" t="str">
        <f t="shared" si="4"/>
        <v/>
      </c>
      <c r="S111" s="65" t="str">
        <f>IF($A111="","",IFERROR(AVERAGEIF('07_TRL_TLR'!$B$4:$B$1000,$A111,'07_TRL_TLR'!$F$4:$F$1000),""))</f>
        <v/>
      </c>
      <c r="T111" s="63" t="str">
        <f t="shared" si="5"/>
        <v/>
      </c>
      <c r="U111" s="66" t="str">
        <f t="shared" si="6"/>
        <v/>
      </c>
      <c r="V111" s="66" t="str">
        <f t="shared" si="7"/>
        <v/>
      </c>
    </row>
    <row r="112" spans="1:22">
      <c r="A112" s="67" t="str">
        <f>IF('03_Tecnologie'!A112="","",'03_Tecnologie'!A112)</f>
        <v/>
      </c>
      <c r="B112" s="67" t="str">
        <f>IF($A112="","",'03_Tecnologie'!D112)</f>
        <v/>
      </c>
      <c r="C112" s="67" t="str">
        <f>IF($A112="","",'03_Tecnologie'!B112)</f>
        <v/>
      </c>
      <c r="D112" s="67" t="str">
        <f>IF($A112="","",'03_Tecnologie'!F112)</f>
        <v/>
      </c>
      <c r="E112" s="63" t="str">
        <f>IF($A112="","",COUNTIF('04_Componenti'!$B$4:$B$1000,$A112))</f>
        <v/>
      </c>
      <c r="F112" s="63" t="str">
        <f>IF($A112="","",COUNTIF('05_Descrizione'!$B$4:$B$1000,$A112))</f>
        <v/>
      </c>
      <c r="G112" s="63" t="str">
        <f>IF($A112="","",COUNTIF('06_Avanzamento'!$B$4:$B$1000,$A112))</f>
        <v/>
      </c>
      <c r="H112" s="63" t="str">
        <f>IF($A112="","",COUNTIF('07_TRL_TLR'!$B$4:$B$1000,$A112))</f>
        <v/>
      </c>
      <c r="I112" s="63" t="str">
        <f>IF($A112="","",COUNTIF('08_Costi_Compet'!$B$4:$B$1000,$A112))</f>
        <v/>
      </c>
      <c r="J112" s="63" t="str">
        <f>IF($A112="","",COUNTIF('09_Settori_Impatto'!$B$4:$B$1000,$A112))</f>
        <v/>
      </c>
      <c r="K112" s="63" t="str">
        <f>IF($A112="","",COUNTIF('16_Mercati_Riferimento'!$B$4:$B$1000,$A112))</f>
        <v/>
      </c>
      <c r="L112" s="22" t="str">
        <f>IF($A112="","",COUNTIF('10_Sostenibilita'!$B$4:$B$1000,$A112))</f>
        <v/>
      </c>
      <c r="M112" s="63" t="str">
        <f>IF($A112="","",COUNTIF('11_Best_Practice'!$B$4:$B$1000,$A112))</f>
        <v/>
      </c>
      <c r="N112" s="63" t="str">
        <f>IF($A112="","",COUNTIF('12_Policy_Regolazione'!$B$4:$B$1000,$A112))</f>
        <v/>
      </c>
      <c r="O112" s="63" t="str">
        <f>IF($A112="","",COUNTIF('13_Barriere_Opp'!$B$4:$B$1000,$A112))</f>
        <v/>
      </c>
      <c r="P112" s="63" t="str">
        <f>IF($A112="","",COUNTIF('14_Attori_Imprese'!$B$4:$B$1000,$A112))</f>
        <v/>
      </c>
      <c r="Q112" s="63" t="str">
        <f>IF($A112="","",COUNTIF('15_Prestazioni'!$B$4:$B$1000,$A112))</f>
        <v/>
      </c>
      <c r="R112" s="64" t="str">
        <f t="shared" si="4"/>
        <v/>
      </c>
      <c r="S112" s="65" t="str">
        <f>IF($A112="","",IFERROR(AVERAGEIF('07_TRL_TLR'!$B$4:$B$1000,$A112,'07_TRL_TLR'!$F$4:$F$1000),""))</f>
        <v/>
      </c>
      <c r="T112" s="63" t="str">
        <f t="shared" si="5"/>
        <v/>
      </c>
      <c r="U112" s="66" t="str">
        <f t="shared" si="6"/>
        <v/>
      </c>
      <c r="V112" s="66" t="str">
        <f t="shared" si="7"/>
        <v/>
      </c>
    </row>
    <row r="113" spans="1:22">
      <c r="A113" s="67" t="str">
        <f>IF('03_Tecnologie'!A113="","",'03_Tecnologie'!A113)</f>
        <v/>
      </c>
      <c r="B113" s="67" t="str">
        <f>IF($A113="","",'03_Tecnologie'!D113)</f>
        <v/>
      </c>
      <c r="C113" s="67" t="str">
        <f>IF($A113="","",'03_Tecnologie'!B113)</f>
        <v/>
      </c>
      <c r="D113" s="67" t="str">
        <f>IF($A113="","",'03_Tecnologie'!F113)</f>
        <v/>
      </c>
      <c r="E113" s="63" t="str">
        <f>IF($A113="","",COUNTIF('04_Componenti'!$B$4:$B$1000,$A113))</f>
        <v/>
      </c>
      <c r="F113" s="63" t="str">
        <f>IF($A113="","",COUNTIF('05_Descrizione'!$B$4:$B$1000,$A113))</f>
        <v/>
      </c>
      <c r="G113" s="63" t="str">
        <f>IF($A113="","",COUNTIF('06_Avanzamento'!$B$4:$B$1000,$A113))</f>
        <v/>
      </c>
      <c r="H113" s="63" t="str">
        <f>IF($A113="","",COUNTIF('07_TRL_TLR'!$B$4:$B$1000,$A113))</f>
        <v/>
      </c>
      <c r="I113" s="63" t="str">
        <f>IF($A113="","",COUNTIF('08_Costi_Compet'!$B$4:$B$1000,$A113))</f>
        <v/>
      </c>
      <c r="J113" s="63" t="str">
        <f>IF($A113="","",COUNTIF('09_Settori_Impatto'!$B$4:$B$1000,$A113))</f>
        <v/>
      </c>
      <c r="K113" s="63" t="str">
        <f>IF($A113="","",COUNTIF('16_Mercati_Riferimento'!$B$4:$B$1000,$A113))</f>
        <v/>
      </c>
      <c r="L113" s="22" t="str">
        <f>IF($A113="","",COUNTIF('10_Sostenibilita'!$B$4:$B$1000,$A113))</f>
        <v/>
      </c>
      <c r="M113" s="63" t="str">
        <f>IF($A113="","",COUNTIF('11_Best_Practice'!$B$4:$B$1000,$A113))</f>
        <v/>
      </c>
      <c r="N113" s="63" t="str">
        <f>IF($A113="","",COUNTIF('12_Policy_Regolazione'!$B$4:$B$1000,$A113))</f>
        <v/>
      </c>
      <c r="O113" s="63" t="str">
        <f>IF($A113="","",COUNTIF('13_Barriere_Opp'!$B$4:$B$1000,$A113))</f>
        <v/>
      </c>
      <c r="P113" s="63" t="str">
        <f>IF($A113="","",COUNTIF('14_Attori_Imprese'!$B$4:$B$1000,$A113))</f>
        <v/>
      </c>
      <c r="Q113" s="63" t="str">
        <f>IF($A113="","",COUNTIF('15_Prestazioni'!$B$4:$B$1000,$A113))</f>
        <v/>
      </c>
      <c r="R113" s="64" t="str">
        <f t="shared" si="4"/>
        <v/>
      </c>
      <c r="S113" s="65" t="str">
        <f>IF($A113="","",IFERROR(AVERAGEIF('07_TRL_TLR'!$B$4:$B$1000,$A113,'07_TRL_TLR'!$F$4:$F$1000),""))</f>
        <v/>
      </c>
      <c r="T113" s="63" t="str">
        <f t="shared" si="5"/>
        <v/>
      </c>
      <c r="U113" s="66" t="str">
        <f t="shared" si="6"/>
        <v/>
      </c>
      <c r="V113" s="66" t="str">
        <f t="shared" si="7"/>
        <v/>
      </c>
    </row>
    <row r="114" spans="1:22">
      <c r="A114" s="67" t="str">
        <f>IF('03_Tecnologie'!A114="","",'03_Tecnologie'!A114)</f>
        <v/>
      </c>
      <c r="B114" s="67" t="str">
        <f>IF($A114="","",'03_Tecnologie'!D114)</f>
        <v/>
      </c>
      <c r="C114" s="67" t="str">
        <f>IF($A114="","",'03_Tecnologie'!B114)</f>
        <v/>
      </c>
      <c r="D114" s="67" t="str">
        <f>IF($A114="","",'03_Tecnologie'!F114)</f>
        <v/>
      </c>
      <c r="E114" s="63" t="str">
        <f>IF($A114="","",COUNTIF('04_Componenti'!$B$4:$B$1000,$A114))</f>
        <v/>
      </c>
      <c r="F114" s="63" t="str">
        <f>IF($A114="","",COUNTIF('05_Descrizione'!$B$4:$B$1000,$A114))</f>
        <v/>
      </c>
      <c r="G114" s="63" t="str">
        <f>IF($A114="","",COUNTIF('06_Avanzamento'!$B$4:$B$1000,$A114))</f>
        <v/>
      </c>
      <c r="H114" s="63" t="str">
        <f>IF($A114="","",COUNTIF('07_TRL_TLR'!$B$4:$B$1000,$A114))</f>
        <v/>
      </c>
      <c r="I114" s="63" t="str">
        <f>IF($A114="","",COUNTIF('08_Costi_Compet'!$B$4:$B$1000,$A114))</f>
        <v/>
      </c>
      <c r="J114" s="63" t="str">
        <f>IF($A114="","",COUNTIF('09_Settori_Impatto'!$B$4:$B$1000,$A114))</f>
        <v/>
      </c>
      <c r="K114" s="63" t="str">
        <f>IF($A114="","",COUNTIF('16_Mercati_Riferimento'!$B$4:$B$1000,$A114))</f>
        <v/>
      </c>
      <c r="L114" s="22" t="str">
        <f>IF($A114="","",COUNTIF('10_Sostenibilita'!$B$4:$B$1000,$A114))</f>
        <v/>
      </c>
      <c r="M114" s="63" t="str">
        <f>IF($A114="","",COUNTIF('11_Best_Practice'!$B$4:$B$1000,$A114))</f>
        <v/>
      </c>
      <c r="N114" s="63" t="str">
        <f>IF($A114="","",COUNTIF('12_Policy_Regolazione'!$B$4:$B$1000,$A114))</f>
        <v/>
      </c>
      <c r="O114" s="63" t="str">
        <f>IF($A114="","",COUNTIF('13_Barriere_Opp'!$B$4:$B$1000,$A114))</f>
        <v/>
      </c>
      <c r="P114" s="63" t="str">
        <f>IF($A114="","",COUNTIF('14_Attori_Imprese'!$B$4:$B$1000,$A114))</f>
        <v/>
      </c>
      <c r="Q114" s="63" t="str">
        <f>IF($A114="","",COUNTIF('15_Prestazioni'!$B$4:$B$1000,$A114))</f>
        <v/>
      </c>
      <c r="R114" s="64" t="str">
        <f t="shared" si="4"/>
        <v/>
      </c>
      <c r="S114" s="65" t="str">
        <f>IF($A114="","",IFERROR(AVERAGEIF('07_TRL_TLR'!$B$4:$B$1000,$A114,'07_TRL_TLR'!$F$4:$F$1000),""))</f>
        <v/>
      </c>
      <c r="T114" s="63" t="str">
        <f t="shared" si="5"/>
        <v/>
      </c>
      <c r="U114" s="66" t="str">
        <f t="shared" si="6"/>
        <v/>
      </c>
      <c r="V114" s="66" t="str">
        <f t="shared" si="7"/>
        <v/>
      </c>
    </row>
    <row r="115" spans="1:22">
      <c r="A115" s="67" t="str">
        <f>IF('03_Tecnologie'!A115="","",'03_Tecnologie'!A115)</f>
        <v/>
      </c>
      <c r="B115" s="67" t="str">
        <f>IF($A115="","",'03_Tecnologie'!D115)</f>
        <v/>
      </c>
      <c r="C115" s="67" t="str">
        <f>IF($A115="","",'03_Tecnologie'!B115)</f>
        <v/>
      </c>
      <c r="D115" s="67" t="str">
        <f>IF($A115="","",'03_Tecnologie'!F115)</f>
        <v/>
      </c>
      <c r="E115" s="63" t="str">
        <f>IF($A115="","",COUNTIF('04_Componenti'!$B$4:$B$1000,$A115))</f>
        <v/>
      </c>
      <c r="F115" s="63" t="str">
        <f>IF($A115="","",COUNTIF('05_Descrizione'!$B$4:$B$1000,$A115))</f>
        <v/>
      </c>
      <c r="G115" s="63" t="str">
        <f>IF($A115="","",COUNTIF('06_Avanzamento'!$B$4:$B$1000,$A115))</f>
        <v/>
      </c>
      <c r="H115" s="63" t="str">
        <f>IF($A115="","",COUNTIF('07_TRL_TLR'!$B$4:$B$1000,$A115))</f>
        <v/>
      </c>
      <c r="I115" s="63" t="str">
        <f>IF($A115="","",COUNTIF('08_Costi_Compet'!$B$4:$B$1000,$A115))</f>
        <v/>
      </c>
      <c r="J115" s="63" t="str">
        <f>IF($A115="","",COUNTIF('09_Settori_Impatto'!$B$4:$B$1000,$A115))</f>
        <v/>
      </c>
      <c r="K115" s="63" t="str">
        <f>IF($A115="","",COUNTIF('16_Mercati_Riferimento'!$B$4:$B$1000,$A115))</f>
        <v/>
      </c>
      <c r="L115" s="22" t="str">
        <f>IF($A115="","",COUNTIF('10_Sostenibilita'!$B$4:$B$1000,$A115))</f>
        <v/>
      </c>
      <c r="M115" s="63" t="str">
        <f>IF($A115="","",COUNTIF('11_Best_Practice'!$B$4:$B$1000,$A115))</f>
        <v/>
      </c>
      <c r="N115" s="63" t="str">
        <f>IF($A115="","",COUNTIF('12_Policy_Regolazione'!$B$4:$B$1000,$A115))</f>
        <v/>
      </c>
      <c r="O115" s="63" t="str">
        <f>IF($A115="","",COUNTIF('13_Barriere_Opp'!$B$4:$B$1000,$A115))</f>
        <v/>
      </c>
      <c r="P115" s="63" t="str">
        <f>IF($A115="","",COUNTIF('14_Attori_Imprese'!$B$4:$B$1000,$A115))</f>
        <v/>
      </c>
      <c r="Q115" s="63" t="str">
        <f>IF($A115="","",COUNTIF('15_Prestazioni'!$B$4:$B$1000,$A115))</f>
        <v/>
      </c>
      <c r="R115" s="64" t="str">
        <f t="shared" si="4"/>
        <v/>
      </c>
      <c r="S115" s="65" t="str">
        <f>IF($A115="","",IFERROR(AVERAGEIF('07_TRL_TLR'!$B$4:$B$1000,$A115,'07_TRL_TLR'!$F$4:$F$1000),""))</f>
        <v/>
      </c>
      <c r="T115" s="63" t="str">
        <f t="shared" si="5"/>
        <v/>
      </c>
      <c r="U115" s="66" t="str">
        <f t="shared" si="6"/>
        <v/>
      </c>
      <c r="V115" s="66" t="str">
        <f t="shared" si="7"/>
        <v/>
      </c>
    </row>
    <row r="116" spans="1:22">
      <c r="A116" s="67" t="str">
        <f>IF('03_Tecnologie'!A116="","",'03_Tecnologie'!A116)</f>
        <v/>
      </c>
      <c r="B116" s="67" t="str">
        <f>IF($A116="","",'03_Tecnologie'!D116)</f>
        <v/>
      </c>
      <c r="C116" s="67" t="str">
        <f>IF($A116="","",'03_Tecnologie'!B116)</f>
        <v/>
      </c>
      <c r="D116" s="67" t="str">
        <f>IF($A116="","",'03_Tecnologie'!F116)</f>
        <v/>
      </c>
      <c r="E116" s="63" t="str">
        <f>IF($A116="","",COUNTIF('04_Componenti'!$B$4:$B$1000,$A116))</f>
        <v/>
      </c>
      <c r="F116" s="63" t="str">
        <f>IF($A116="","",COUNTIF('05_Descrizione'!$B$4:$B$1000,$A116))</f>
        <v/>
      </c>
      <c r="G116" s="63" t="str">
        <f>IF($A116="","",COUNTIF('06_Avanzamento'!$B$4:$B$1000,$A116))</f>
        <v/>
      </c>
      <c r="H116" s="63" t="str">
        <f>IF($A116="","",COUNTIF('07_TRL_TLR'!$B$4:$B$1000,$A116))</f>
        <v/>
      </c>
      <c r="I116" s="63" t="str">
        <f>IF($A116="","",COUNTIF('08_Costi_Compet'!$B$4:$B$1000,$A116))</f>
        <v/>
      </c>
      <c r="J116" s="63" t="str">
        <f>IF($A116="","",COUNTIF('09_Settori_Impatto'!$B$4:$B$1000,$A116))</f>
        <v/>
      </c>
      <c r="K116" s="63" t="str">
        <f>IF($A116="","",COUNTIF('16_Mercati_Riferimento'!$B$4:$B$1000,$A116))</f>
        <v/>
      </c>
      <c r="L116" s="22" t="str">
        <f>IF($A116="","",COUNTIF('10_Sostenibilita'!$B$4:$B$1000,$A116))</f>
        <v/>
      </c>
      <c r="M116" s="63" t="str">
        <f>IF($A116="","",COUNTIF('11_Best_Practice'!$B$4:$B$1000,$A116))</f>
        <v/>
      </c>
      <c r="N116" s="63" t="str">
        <f>IF($A116="","",COUNTIF('12_Policy_Regolazione'!$B$4:$B$1000,$A116))</f>
        <v/>
      </c>
      <c r="O116" s="63" t="str">
        <f>IF($A116="","",COUNTIF('13_Barriere_Opp'!$B$4:$B$1000,$A116))</f>
        <v/>
      </c>
      <c r="P116" s="63" t="str">
        <f>IF($A116="","",COUNTIF('14_Attori_Imprese'!$B$4:$B$1000,$A116))</f>
        <v/>
      </c>
      <c r="Q116" s="63" t="str">
        <f>IF($A116="","",COUNTIF('15_Prestazioni'!$B$4:$B$1000,$A116))</f>
        <v/>
      </c>
      <c r="R116" s="64" t="str">
        <f t="shared" si="4"/>
        <v/>
      </c>
      <c r="S116" s="65" t="str">
        <f>IF($A116="","",IFERROR(AVERAGEIF('07_TRL_TLR'!$B$4:$B$1000,$A116,'07_TRL_TLR'!$F$4:$F$1000),""))</f>
        <v/>
      </c>
      <c r="T116" s="63" t="str">
        <f t="shared" si="5"/>
        <v/>
      </c>
      <c r="U116" s="66" t="str">
        <f t="shared" si="6"/>
        <v/>
      </c>
      <c r="V116" s="66" t="str">
        <f t="shared" si="7"/>
        <v/>
      </c>
    </row>
    <row r="117" spans="1:22">
      <c r="A117" s="67" t="str">
        <f>IF('03_Tecnologie'!A117="","",'03_Tecnologie'!A117)</f>
        <v/>
      </c>
      <c r="B117" s="67" t="str">
        <f>IF($A117="","",'03_Tecnologie'!D117)</f>
        <v/>
      </c>
      <c r="C117" s="67" t="str">
        <f>IF($A117="","",'03_Tecnologie'!B117)</f>
        <v/>
      </c>
      <c r="D117" s="67" t="str">
        <f>IF($A117="","",'03_Tecnologie'!F117)</f>
        <v/>
      </c>
      <c r="E117" s="63" t="str">
        <f>IF($A117="","",COUNTIF('04_Componenti'!$B$4:$B$1000,$A117))</f>
        <v/>
      </c>
      <c r="F117" s="63" t="str">
        <f>IF($A117="","",COUNTIF('05_Descrizione'!$B$4:$B$1000,$A117))</f>
        <v/>
      </c>
      <c r="G117" s="63" t="str">
        <f>IF($A117="","",COUNTIF('06_Avanzamento'!$B$4:$B$1000,$A117))</f>
        <v/>
      </c>
      <c r="H117" s="63" t="str">
        <f>IF($A117="","",COUNTIF('07_TRL_TLR'!$B$4:$B$1000,$A117))</f>
        <v/>
      </c>
      <c r="I117" s="63" t="str">
        <f>IF($A117="","",COUNTIF('08_Costi_Compet'!$B$4:$B$1000,$A117))</f>
        <v/>
      </c>
      <c r="J117" s="63" t="str">
        <f>IF($A117="","",COUNTIF('09_Settori_Impatto'!$B$4:$B$1000,$A117))</f>
        <v/>
      </c>
      <c r="K117" s="63" t="str">
        <f>IF($A117="","",COUNTIF('16_Mercati_Riferimento'!$B$4:$B$1000,$A117))</f>
        <v/>
      </c>
      <c r="L117" s="22" t="str">
        <f>IF($A117="","",COUNTIF('10_Sostenibilita'!$B$4:$B$1000,$A117))</f>
        <v/>
      </c>
      <c r="M117" s="63" t="str">
        <f>IF($A117="","",COUNTIF('11_Best_Practice'!$B$4:$B$1000,$A117))</f>
        <v/>
      </c>
      <c r="N117" s="63" t="str">
        <f>IF($A117="","",COUNTIF('12_Policy_Regolazione'!$B$4:$B$1000,$A117))</f>
        <v/>
      </c>
      <c r="O117" s="63" t="str">
        <f>IF($A117="","",COUNTIF('13_Barriere_Opp'!$B$4:$B$1000,$A117))</f>
        <v/>
      </c>
      <c r="P117" s="63" t="str">
        <f>IF($A117="","",COUNTIF('14_Attori_Imprese'!$B$4:$B$1000,$A117))</f>
        <v/>
      </c>
      <c r="Q117" s="63" t="str">
        <f>IF($A117="","",COUNTIF('15_Prestazioni'!$B$4:$B$1000,$A117))</f>
        <v/>
      </c>
      <c r="R117" s="64" t="str">
        <f t="shared" si="4"/>
        <v/>
      </c>
      <c r="S117" s="65" t="str">
        <f>IF($A117="","",IFERROR(AVERAGEIF('07_TRL_TLR'!$B$4:$B$1000,$A117,'07_TRL_TLR'!$F$4:$F$1000),""))</f>
        <v/>
      </c>
      <c r="T117" s="63" t="str">
        <f t="shared" si="5"/>
        <v/>
      </c>
      <c r="U117" s="66" t="str">
        <f t="shared" si="6"/>
        <v/>
      </c>
      <c r="V117" s="66" t="str">
        <f t="shared" si="7"/>
        <v/>
      </c>
    </row>
    <row r="118" spans="1:22">
      <c r="A118" s="67" t="str">
        <f>IF('03_Tecnologie'!A118="","",'03_Tecnologie'!A118)</f>
        <v/>
      </c>
      <c r="B118" s="67" t="str">
        <f>IF($A118="","",'03_Tecnologie'!D118)</f>
        <v/>
      </c>
      <c r="C118" s="67" t="str">
        <f>IF($A118="","",'03_Tecnologie'!B118)</f>
        <v/>
      </c>
      <c r="D118" s="67" t="str">
        <f>IF($A118="","",'03_Tecnologie'!F118)</f>
        <v/>
      </c>
      <c r="E118" s="63" t="str">
        <f>IF($A118="","",COUNTIF('04_Componenti'!$B$4:$B$1000,$A118))</f>
        <v/>
      </c>
      <c r="F118" s="63" t="str">
        <f>IF($A118="","",COUNTIF('05_Descrizione'!$B$4:$B$1000,$A118))</f>
        <v/>
      </c>
      <c r="G118" s="63" t="str">
        <f>IF($A118="","",COUNTIF('06_Avanzamento'!$B$4:$B$1000,$A118))</f>
        <v/>
      </c>
      <c r="H118" s="63" t="str">
        <f>IF($A118="","",COUNTIF('07_TRL_TLR'!$B$4:$B$1000,$A118))</f>
        <v/>
      </c>
      <c r="I118" s="63" t="str">
        <f>IF($A118="","",COUNTIF('08_Costi_Compet'!$B$4:$B$1000,$A118))</f>
        <v/>
      </c>
      <c r="J118" s="63" t="str">
        <f>IF($A118="","",COUNTIF('09_Settori_Impatto'!$B$4:$B$1000,$A118))</f>
        <v/>
      </c>
      <c r="K118" s="63" t="str">
        <f>IF($A118="","",COUNTIF('16_Mercati_Riferimento'!$B$4:$B$1000,$A118))</f>
        <v/>
      </c>
      <c r="L118" s="22" t="str">
        <f>IF($A118="","",COUNTIF('10_Sostenibilita'!$B$4:$B$1000,$A118))</f>
        <v/>
      </c>
      <c r="M118" s="63" t="str">
        <f>IF($A118="","",COUNTIF('11_Best_Practice'!$B$4:$B$1000,$A118))</f>
        <v/>
      </c>
      <c r="N118" s="63" t="str">
        <f>IF($A118="","",COUNTIF('12_Policy_Regolazione'!$B$4:$B$1000,$A118))</f>
        <v/>
      </c>
      <c r="O118" s="63" t="str">
        <f>IF($A118="","",COUNTIF('13_Barriere_Opp'!$B$4:$B$1000,$A118))</f>
        <v/>
      </c>
      <c r="P118" s="63" t="str">
        <f>IF($A118="","",COUNTIF('14_Attori_Imprese'!$B$4:$B$1000,$A118))</f>
        <v/>
      </c>
      <c r="Q118" s="63" t="str">
        <f>IF($A118="","",COUNTIF('15_Prestazioni'!$B$4:$B$1000,$A118))</f>
        <v/>
      </c>
      <c r="R118" s="64" t="str">
        <f t="shared" si="4"/>
        <v/>
      </c>
      <c r="S118" s="65" t="str">
        <f>IF($A118="","",IFERROR(AVERAGEIF('07_TRL_TLR'!$B$4:$B$1000,$A118,'07_TRL_TLR'!$F$4:$F$1000),""))</f>
        <v/>
      </c>
      <c r="T118" s="63" t="str">
        <f t="shared" si="5"/>
        <v/>
      </c>
      <c r="U118" s="66" t="str">
        <f t="shared" si="6"/>
        <v/>
      </c>
      <c r="V118" s="66" t="str">
        <f t="shared" si="7"/>
        <v/>
      </c>
    </row>
    <row r="119" spans="1:22">
      <c r="A119" s="67" t="str">
        <f>IF('03_Tecnologie'!A119="","",'03_Tecnologie'!A119)</f>
        <v/>
      </c>
      <c r="B119" s="67" t="str">
        <f>IF($A119="","",'03_Tecnologie'!D119)</f>
        <v/>
      </c>
      <c r="C119" s="67" t="str">
        <f>IF($A119="","",'03_Tecnologie'!B119)</f>
        <v/>
      </c>
      <c r="D119" s="67" t="str">
        <f>IF($A119="","",'03_Tecnologie'!F119)</f>
        <v/>
      </c>
      <c r="E119" s="63" t="str">
        <f>IF($A119="","",COUNTIF('04_Componenti'!$B$4:$B$1000,$A119))</f>
        <v/>
      </c>
      <c r="F119" s="63" t="str">
        <f>IF($A119="","",COUNTIF('05_Descrizione'!$B$4:$B$1000,$A119))</f>
        <v/>
      </c>
      <c r="G119" s="63" t="str">
        <f>IF($A119="","",COUNTIF('06_Avanzamento'!$B$4:$B$1000,$A119))</f>
        <v/>
      </c>
      <c r="H119" s="63" t="str">
        <f>IF($A119="","",COUNTIF('07_TRL_TLR'!$B$4:$B$1000,$A119))</f>
        <v/>
      </c>
      <c r="I119" s="63" t="str">
        <f>IF($A119="","",COUNTIF('08_Costi_Compet'!$B$4:$B$1000,$A119))</f>
        <v/>
      </c>
      <c r="J119" s="63" t="str">
        <f>IF($A119="","",COUNTIF('09_Settori_Impatto'!$B$4:$B$1000,$A119))</f>
        <v/>
      </c>
      <c r="K119" s="63" t="str">
        <f>IF($A119="","",COUNTIF('16_Mercati_Riferimento'!$B$4:$B$1000,$A119))</f>
        <v/>
      </c>
      <c r="L119" s="22" t="str">
        <f>IF($A119="","",COUNTIF('10_Sostenibilita'!$B$4:$B$1000,$A119))</f>
        <v/>
      </c>
      <c r="M119" s="63" t="str">
        <f>IF($A119="","",COUNTIF('11_Best_Practice'!$B$4:$B$1000,$A119))</f>
        <v/>
      </c>
      <c r="N119" s="63" t="str">
        <f>IF($A119="","",COUNTIF('12_Policy_Regolazione'!$B$4:$B$1000,$A119))</f>
        <v/>
      </c>
      <c r="O119" s="63" t="str">
        <f>IF($A119="","",COUNTIF('13_Barriere_Opp'!$B$4:$B$1000,$A119))</f>
        <v/>
      </c>
      <c r="P119" s="63" t="str">
        <f>IF($A119="","",COUNTIF('14_Attori_Imprese'!$B$4:$B$1000,$A119))</f>
        <v/>
      </c>
      <c r="Q119" s="63" t="str">
        <f>IF($A119="","",COUNTIF('15_Prestazioni'!$B$4:$B$1000,$A119))</f>
        <v/>
      </c>
      <c r="R119" s="64" t="str">
        <f t="shared" si="4"/>
        <v/>
      </c>
      <c r="S119" s="65" t="str">
        <f>IF($A119="","",IFERROR(AVERAGEIF('07_TRL_TLR'!$B$4:$B$1000,$A119,'07_TRL_TLR'!$F$4:$F$1000),""))</f>
        <v/>
      </c>
      <c r="T119" s="63" t="str">
        <f t="shared" si="5"/>
        <v/>
      </c>
      <c r="U119" s="66" t="str">
        <f t="shared" si="6"/>
        <v/>
      </c>
      <c r="V119" s="66" t="str">
        <f t="shared" si="7"/>
        <v/>
      </c>
    </row>
    <row r="120" spans="1:22">
      <c r="A120" s="67" t="str">
        <f>IF('03_Tecnologie'!A120="","",'03_Tecnologie'!A120)</f>
        <v/>
      </c>
      <c r="B120" s="67" t="str">
        <f>IF($A120="","",'03_Tecnologie'!D120)</f>
        <v/>
      </c>
      <c r="C120" s="67" t="str">
        <f>IF($A120="","",'03_Tecnologie'!B120)</f>
        <v/>
      </c>
      <c r="D120" s="67" t="str">
        <f>IF($A120="","",'03_Tecnologie'!F120)</f>
        <v/>
      </c>
      <c r="E120" s="63" t="str">
        <f>IF($A120="","",COUNTIF('04_Componenti'!$B$4:$B$1000,$A120))</f>
        <v/>
      </c>
      <c r="F120" s="63" t="str">
        <f>IF($A120="","",COUNTIF('05_Descrizione'!$B$4:$B$1000,$A120))</f>
        <v/>
      </c>
      <c r="G120" s="63" t="str">
        <f>IF($A120="","",COUNTIF('06_Avanzamento'!$B$4:$B$1000,$A120))</f>
        <v/>
      </c>
      <c r="H120" s="63" t="str">
        <f>IF($A120="","",COUNTIF('07_TRL_TLR'!$B$4:$B$1000,$A120))</f>
        <v/>
      </c>
      <c r="I120" s="63" t="str">
        <f>IF($A120="","",COUNTIF('08_Costi_Compet'!$B$4:$B$1000,$A120))</f>
        <v/>
      </c>
      <c r="J120" s="63" t="str">
        <f>IF($A120="","",COUNTIF('09_Settori_Impatto'!$B$4:$B$1000,$A120))</f>
        <v/>
      </c>
      <c r="K120" s="63" t="str">
        <f>IF($A120="","",COUNTIF('16_Mercati_Riferimento'!$B$4:$B$1000,$A120))</f>
        <v/>
      </c>
      <c r="L120" s="22" t="str">
        <f>IF($A120="","",COUNTIF('10_Sostenibilita'!$B$4:$B$1000,$A120))</f>
        <v/>
      </c>
      <c r="M120" s="63" t="str">
        <f>IF($A120="","",COUNTIF('11_Best_Practice'!$B$4:$B$1000,$A120))</f>
        <v/>
      </c>
      <c r="N120" s="63" t="str">
        <f>IF($A120="","",COUNTIF('12_Policy_Regolazione'!$B$4:$B$1000,$A120))</f>
        <v/>
      </c>
      <c r="O120" s="63" t="str">
        <f>IF($A120="","",COUNTIF('13_Barriere_Opp'!$B$4:$B$1000,$A120))</f>
        <v/>
      </c>
      <c r="P120" s="63" t="str">
        <f>IF($A120="","",COUNTIF('14_Attori_Imprese'!$B$4:$B$1000,$A120))</f>
        <v/>
      </c>
      <c r="Q120" s="63" t="str">
        <f>IF($A120="","",COUNTIF('15_Prestazioni'!$B$4:$B$1000,$A120))</f>
        <v/>
      </c>
      <c r="R120" s="64" t="str">
        <f t="shared" si="4"/>
        <v/>
      </c>
      <c r="S120" s="65" t="str">
        <f>IF($A120="","",IFERROR(AVERAGEIF('07_TRL_TLR'!$B$4:$B$1000,$A120,'07_TRL_TLR'!$F$4:$F$1000),""))</f>
        <v/>
      </c>
      <c r="T120" s="63" t="str">
        <f t="shared" si="5"/>
        <v/>
      </c>
      <c r="U120" s="66" t="str">
        <f t="shared" si="6"/>
        <v/>
      </c>
      <c r="V120" s="66" t="str">
        <f t="shared" si="7"/>
        <v/>
      </c>
    </row>
    <row r="121" spans="1:22">
      <c r="A121" s="67" t="str">
        <f>IF('03_Tecnologie'!A121="","",'03_Tecnologie'!A121)</f>
        <v/>
      </c>
      <c r="B121" s="67" t="str">
        <f>IF($A121="","",'03_Tecnologie'!D121)</f>
        <v/>
      </c>
      <c r="C121" s="67" t="str">
        <f>IF($A121="","",'03_Tecnologie'!B121)</f>
        <v/>
      </c>
      <c r="D121" s="67" t="str">
        <f>IF($A121="","",'03_Tecnologie'!F121)</f>
        <v/>
      </c>
      <c r="E121" s="63" t="str">
        <f>IF($A121="","",COUNTIF('04_Componenti'!$B$4:$B$1000,$A121))</f>
        <v/>
      </c>
      <c r="F121" s="63" t="str">
        <f>IF($A121="","",COUNTIF('05_Descrizione'!$B$4:$B$1000,$A121))</f>
        <v/>
      </c>
      <c r="G121" s="63" t="str">
        <f>IF($A121="","",COUNTIF('06_Avanzamento'!$B$4:$B$1000,$A121))</f>
        <v/>
      </c>
      <c r="H121" s="63" t="str">
        <f>IF($A121="","",COUNTIF('07_TRL_TLR'!$B$4:$B$1000,$A121))</f>
        <v/>
      </c>
      <c r="I121" s="63" t="str">
        <f>IF($A121="","",COUNTIF('08_Costi_Compet'!$B$4:$B$1000,$A121))</f>
        <v/>
      </c>
      <c r="J121" s="63" t="str">
        <f>IF($A121="","",COUNTIF('09_Settori_Impatto'!$B$4:$B$1000,$A121))</f>
        <v/>
      </c>
      <c r="K121" s="63" t="str">
        <f>IF($A121="","",COUNTIF('16_Mercati_Riferimento'!$B$4:$B$1000,$A121))</f>
        <v/>
      </c>
      <c r="L121" s="22" t="str">
        <f>IF($A121="","",COUNTIF('10_Sostenibilita'!$B$4:$B$1000,$A121))</f>
        <v/>
      </c>
      <c r="M121" s="63" t="str">
        <f>IF($A121="","",COUNTIF('11_Best_Practice'!$B$4:$B$1000,$A121))</f>
        <v/>
      </c>
      <c r="N121" s="63" t="str">
        <f>IF($A121="","",COUNTIF('12_Policy_Regolazione'!$B$4:$B$1000,$A121))</f>
        <v/>
      </c>
      <c r="O121" s="63" t="str">
        <f>IF($A121="","",COUNTIF('13_Barriere_Opp'!$B$4:$B$1000,$A121))</f>
        <v/>
      </c>
      <c r="P121" s="63" t="str">
        <f>IF($A121="","",COUNTIF('14_Attori_Imprese'!$B$4:$B$1000,$A121))</f>
        <v/>
      </c>
      <c r="Q121" s="63" t="str">
        <f>IF($A121="","",COUNTIF('15_Prestazioni'!$B$4:$B$1000,$A121))</f>
        <v/>
      </c>
      <c r="R121" s="64" t="str">
        <f t="shared" si="4"/>
        <v/>
      </c>
      <c r="S121" s="65" t="str">
        <f>IF($A121="","",IFERROR(AVERAGEIF('07_TRL_TLR'!$B$4:$B$1000,$A121,'07_TRL_TLR'!$F$4:$F$1000),""))</f>
        <v/>
      </c>
      <c r="T121" s="63" t="str">
        <f t="shared" si="5"/>
        <v/>
      </c>
      <c r="U121" s="66" t="str">
        <f t="shared" si="6"/>
        <v/>
      </c>
      <c r="V121" s="66" t="str">
        <f t="shared" si="7"/>
        <v/>
      </c>
    </row>
    <row r="122" spans="1:22">
      <c r="A122" s="67" t="str">
        <f>IF('03_Tecnologie'!A122="","",'03_Tecnologie'!A122)</f>
        <v/>
      </c>
      <c r="B122" s="67" t="str">
        <f>IF($A122="","",'03_Tecnologie'!D122)</f>
        <v/>
      </c>
      <c r="C122" s="67" t="str">
        <f>IF($A122="","",'03_Tecnologie'!B122)</f>
        <v/>
      </c>
      <c r="D122" s="67" t="str">
        <f>IF($A122="","",'03_Tecnologie'!F122)</f>
        <v/>
      </c>
      <c r="E122" s="63" t="str">
        <f>IF($A122="","",COUNTIF('04_Componenti'!$B$4:$B$1000,$A122))</f>
        <v/>
      </c>
      <c r="F122" s="63" t="str">
        <f>IF($A122="","",COUNTIF('05_Descrizione'!$B$4:$B$1000,$A122))</f>
        <v/>
      </c>
      <c r="G122" s="63" t="str">
        <f>IF($A122="","",COUNTIF('06_Avanzamento'!$B$4:$B$1000,$A122))</f>
        <v/>
      </c>
      <c r="H122" s="63" t="str">
        <f>IF($A122="","",COUNTIF('07_TRL_TLR'!$B$4:$B$1000,$A122))</f>
        <v/>
      </c>
      <c r="I122" s="63" t="str">
        <f>IF($A122="","",COUNTIF('08_Costi_Compet'!$B$4:$B$1000,$A122))</f>
        <v/>
      </c>
      <c r="J122" s="63" t="str">
        <f>IF($A122="","",COUNTIF('09_Settori_Impatto'!$B$4:$B$1000,$A122))</f>
        <v/>
      </c>
      <c r="K122" s="63" t="str">
        <f>IF($A122="","",COUNTIF('16_Mercati_Riferimento'!$B$4:$B$1000,$A122))</f>
        <v/>
      </c>
      <c r="L122" s="22" t="str">
        <f>IF($A122="","",COUNTIF('10_Sostenibilita'!$B$4:$B$1000,$A122))</f>
        <v/>
      </c>
      <c r="M122" s="63" t="str">
        <f>IF($A122="","",COUNTIF('11_Best_Practice'!$B$4:$B$1000,$A122))</f>
        <v/>
      </c>
      <c r="N122" s="63" t="str">
        <f>IF($A122="","",COUNTIF('12_Policy_Regolazione'!$B$4:$B$1000,$A122))</f>
        <v/>
      </c>
      <c r="O122" s="63" t="str">
        <f>IF($A122="","",COUNTIF('13_Barriere_Opp'!$B$4:$B$1000,$A122))</f>
        <v/>
      </c>
      <c r="P122" s="63" t="str">
        <f>IF($A122="","",COUNTIF('14_Attori_Imprese'!$B$4:$B$1000,$A122))</f>
        <v/>
      </c>
      <c r="Q122" s="63" t="str">
        <f>IF($A122="","",COUNTIF('15_Prestazioni'!$B$4:$B$1000,$A122))</f>
        <v/>
      </c>
      <c r="R122" s="64" t="str">
        <f t="shared" si="4"/>
        <v/>
      </c>
      <c r="S122" s="65" t="str">
        <f>IF($A122="","",IFERROR(AVERAGEIF('07_TRL_TLR'!$B$4:$B$1000,$A122,'07_TRL_TLR'!$F$4:$F$1000),""))</f>
        <v/>
      </c>
      <c r="T122" s="63" t="str">
        <f t="shared" si="5"/>
        <v/>
      </c>
      <c r="U122" s="66" t="str">
        <f t="shared" si="6"/>
        <v/>
      </c>
      <c r="V122" s="66" t="str">
        <f t="shared" si="7"/>
        <v/>
      </c>
    </row>
    <row r="123" spans="1:22">
      <c r="A123" s="67" t="str">
        <f>IF('03_Tecnologie'!A123="","",'03_Tecnologie'!A123)</f>
        <v/>
      </c>
      <c r="B123" s="67" t="str">
        <f>IF($A123="","",'03_Tecnologie'!D123)</f>
        <v/>
      </c>
      <c r="C123" s="67" t="str">
        <f>IF($A123="","",'03_Tecnologie'!B123)</f>
        <v/>
      </c>
      <c r="D123" s="67" t="str">
        <f>IF($A123="","",'03_Tecnologie'!F123)</f>
        <v/>
      </c>
      <c r="E123" s="63" t="str">
        <f>IF($A123="","",COUNTIF('04_Componenti'!$B$4:$B$1000,$A123))</f>
        <v/>
      </c>
      <c r="F123" s="63" t="str">
        <f>IF($A123="","",COUNTIF('05_Descrizione'!$B$4:$B$1000,$A123))</f>
        <v/>
      </c>
      <c r="G123" s="63" t="str">
        <f>IF($A123="","",COUNTIF('06_Avanzamento'!$B$4:$B$1000,$A123))</f>
        <v/>
      </c>
      <c r="H123" s="63" t="str">
        <f>IF($A123="","",COUNTIF('07_TRL_TLR'!$B$4:$B$1000,$A123))</f>
        <v/>
      </c>
      <c r="I123" s="63" t="str">
        <f>IF($A123="","",COUNTIF('08_Costi_Compet'!$B$4:$B$1000,$A123))</f>
        <v/>
      </c>
      <c r="J123" s="63" t="str">
        <f>IF($A123="","",COUNTIF('09_Settori_Impatto'!$B$4:$B$1000,$A123))</f>
        <v/>
      </c>
      <c r="K123" s="63" t="str">
        <f>IF($A123="","",COUNTIF('16_Mercati_Riferimento'!$B$4:$B$1000,$A123))</f>
        <v/>
      </c>
      <c r="L123" s="22" t="str">
        <f>IF($A123="","",COUNTIF('10_Sostenibilita'!$B$4:$B$1000,$A123))</f>
        <v/>
      </c>
      <c r="M123" s="63" t="str">
        <f>IF($A123="","",COUNTIF('11_Best_Practice'!$B$4:$B$1000,$A123))</f>
        <v/>
      </c>
      <c r="N123" s="63" t="str">
        <f>IF($A123="","",COUNTIF('12_Policy_Regolazione'!$B$4:$B$1000,$A123))</f>
        <v/>
      </c>
      <c r="O123" s="63" t="str">
        <f>IF($A123="","",COUNTIF('13_Barriere_Opp'!$B$4:$B$1000,$A123))</f>
        <v/>
      </c>
      <c r="P123" s="63" t="str">
        <f>IF($A123="","",COUNTIF('14_Attori_Imprese'!$B$4:$B$1000,$A123))</f>
        <v/>
      </c>
      <c r="Q123" s="63" t="str">
        <f>IF($A123="","",COUNTIF('15_Prestazioni'!$B$4:$B$1000,$A123))</f>
        <v/>
      </c>
      <c r="R123" s="64" t="str">
        <f t="shared" si="4"/>
        <v/>
      </c>
      <c r="S123" s="65" t="str">
        <f>IF($A123="","",IFERROR(AVERAGEIF('07_TRL_TLR'!$B$4:$B$1000,$A123,'07_TRL_TLR'!$F$4:$F$1000),""))</f>
        <v/>
      </c>
      <c r="T123" s="63" t="str">
        <f t="shared" si="5"/>
        <v/>
      </c>
      <c r="U123" s="66" t="str">
        <f t="shared" si="6"/>
        <v/>
      </c>
      <c r="V123" s="66" t="str">
        <f t="shared" si="7"/>
        <v/>
      </c>
    </row>
    <row r="124" spans="1:22">
      <c r="A124" s="67" t="str">
        <f>IF('03_Tecnologie'!A124="","",'03_Tecnologie'!A124)</f>
        <v/>
      </c>
      <c r="B124" s="67" t="str">
        <f>IF($A124="","",'03_Tecnologie'!D124)</f>
        <v/>
      </c>
      <c r="C124" s="67" t="str">
        <f>IF($A124="","",'03_Tecnologie'!B124)</f>
        <v/>
      </c>
      <c r="D124" s="67" t="str">
        <f>IF($A124="","",'03_Tecnologie'!F124)</f>
        <v/>
      </c>
      <c r="E124" s="63" t="str">
        <f>IF($A124="","",COUNTIF('04_Componenti'!$B$4:$B$1000,$A124))</f>
        <v/>
      </c>
      <c r="F124" s="63" t="str">
        <f>IF($A124="","",COUNTIF('05_Descrizione'!$B$4:$B$1000,$A124))</f>
        <v/>
      </c>
      <c r="G124" s="63" t="str">
        <f>IF($A124="","",COUNTIF('06_Avanzamento'!$B$4:$B$1000,$A124))</f>
        <v/>
      </c>
      <c r="H124" s="63" t="str">
        <f>IF($A124="","",COUNTIF('07_TRL_TLR'!$B$4:$B$1000,$A124))</f>
        <v/>
      </c>
      <c r="I124" s="63" t="str">
        <f>IF($A124="","",COUNTIF('08_Costi_Compet'!$B$4:$B$1000,$A124))</f>
        <v/>
      </c>
      <c r="J124" s="63" t="str">
        <f>IF($A124="","",COUNTIF('09_Settori_Impatto'!$B$4:$B$1000,$A124))</f>
        <v/>
      </c>
      <c r="K124" s="63" t="str">
        <f>IF($A124="","",COUNTIF('16_Mercati_Riferimento'!$B$4:$B$1000,$A124))</f>
        <v/>
      </c>
      <c r="L124" s="22" t="str">
        <f>IF($A124="","",COUNTIF('10_Sostenibilita'!$B$4:$B$1000,$A124))</f>
        <v/>
      </c>
      <c r="M124" s="63" t="str">
        <f>IF($A124="","",COUNTIF('11_Best_Practice'!$B$4:$B$1000,$A124))</f>
        <v/>
      </c>
      <c r="N124" s="63" t="str">
        <f>IF($A124="","",COUNTIF('12_Policy_Regolazione'!$B$4:$B$1000,$A124))</f>
        <v/>
      </c>
      <c r="O124" s="63" t="str">
        <f>IF($A124="","",COUNTIF('13_Barriere_Opp'!$B$4:$B$1000,$A124))</f>
        <v/>
      </c>
      <c r="P124" s="63" t="str">
        <f>IF($A124="","",COUNTIF('14_Attori_Imprese'!$B$4:$B$1000,$A124))</f>
        <v/>
      </c>
      <c r="Q124" s="63" t="str">
        <f>IF($A124="","",COUNTIF('15_Prestazioni'!$B$4:$B$1000,$A124))</f>
        <v/>
      </c>
      <c r="R124" s="64" t="str">
        <f t="shared" si="4"/>
        <v/>
      </c>
      <c r="S124" s="65" t="str">
        <f>IF($A124="","",IFERROR(AVERAGEIF('07_TRL_TLR'!$B$4:$B$1000,$A124,'07_TRL_TLR'!$F$4:$F$1000),""))</f>
        <v/>
      </c>
      <c r="T124" s="63" t="str">
        <f t="shared" si="5"/>
        <v/>
      </c>
      <c r="U124" s="66" t="str">
        <f t="shared" si="6"/>
        <v/>
      </c>
      <c r="V124" s="66" t="str">
        <f t="shared" si="7"/>
        <v/>
      </c>
    </row>
    <row r="125" spans="1:22">
      <c r="A125" s="67" t="str">
        <f>IF('03_Tecnologie'!A125="","",'03_Tecnologie'!A125)</f>
        <v/>
      </c>
      <c r="B125" s="67" t="str">
        <f>IF($A125="","",'03_Tecnologie'!D125)</f>
        <v/>
      </c>
      <c r="C125" s="67" t="str">
        <f>IF($A125="","",'03_Tecnologie'!B125)</f>
        <v/>
      </c>
      <c r="D125" s="67" t="str">
        <f>IF($A125="","",'03_Tecnologie'!F125)</f>
        <v/>
      </c>
      <c r="E125" s="63" t="str">
        <f>IF($A125="","",COUNTIF('04_Componenti'!$B$4:$B$1000,$A125))</f>
        <v/>
      </c>
      <c r="F125" s="63" t="str">
        <f>IF($A125="","",COUNTIF('05_Descrizione'!$B$4:$B$1000,$A125))</f>
        <v/>
      </c>
      <c r="G125" s="63" t="str">
        <f>IF($A125="","",COUNTIF('06_Avanzamento'!$B$4:$B$1000,$A125))</f>
        <v/>
      </c>
      <c r="H125" s="63" t="str">
        <f>IF($A125="","",COUNTIF('07_TRL_TLR'!$B$4:$B$1000,$A125))</f>
        <v/>
      </c>
      <c r="I125" s="63" t="str">
        <f>IF($A125="","",COUNTIF('08_Costi_Compet'!$B$4:$B$1000,$A125))</f>
        <v/>
      </c>
      <c r="J125" s="63" t="str">
        <f>IF($A125="","",COUNTIF('09_Settori_Impatto'!$B$4:$B$1000,$A125))</f>
        <v/>
      </c>
      <c r="K125" s="63" t="str">
        <f>IF($A125="","",COUNTIF('16_Mercati_Riferimento'!$B$4:$B$1000,$A125))</f>
        <v/>
      </c>
      <c r="L125" s="22" t="str">
        <f>IF($A125="","",COUNTIF('10_Sostenibilita'!$B$4:$B$1000,$A125))</f>
        <v/>
      </c>
      <c r="M125" s="63" t="str">
        <f>IF($A125="","",COUNTIF('11_Best_Practice'!$B$4:$B$1000,$A125))</f>
        <v/>
      </c>
      <c r="N125" s="63" t="str">
        <f>IF($A125="","",COUNTIF('12_Policy_Regolazione'!$B$4:$B$1000,$A125))</f>
        <v/>
      </c>
      <c r="O125" s="63" t="str">
        <f>IF($A125="","",COUNTIF('13_Barriere_Opp'!$B$4:$B$1000,$A125))</f>
        <v/>
      </c>
      <c r="P125" s="63" t="str">
        <f>IF($A125="","",COUNTIF('14_Attori_Imprese'!$B$4:$B$1000,$A125))</f>
        <v/>
      </c>
      <c r="Q125" s="63" t="str">
        <f>IF($A125="","",COUNTIF('15_Prestazioni'!$B$4:$B$1000,$A125))</f>
        <v/>
      </c>
      <c r="R125" s="64" t="str">
        <f t="shared" si="4"/>
        <v/>
      </c>
      <c r="S125" s="65" t="str">
        <f>IF($A125="","",IFERROR(AVERAGEIF('07_TRL_TLR'!$B$4:$B$1000,$A125,'07_TRL_TLR'!$F$4:$F$1000),""))</f>
        <v/>
      </c>
      <c r="T125" s="63" t="str">
        <f t="shared" si="5"/>
        <v/>
      </c>
      <c r="U125" s="66" t="str">
        <f t="shared" si="6"/>
        <v/>
      </c>
      <c r="V125" s="66" t="str">
        <f t="shared" si="7"/>
        <v/>
      </c>
    </row>
    <row r="126" spans="1:22">
      <c r="A126" s="67" t="str">
        <f>IF('03_Tecnologie'!A126="","",'03_Tecnologie'!A126)</f>
        <v/>
      </c>
      <c r="B126" s="67" t="str">
        <f>IF($A126="","",'03_Tecnologie'!D126)</f>
        <v/>
      </c>
      <c r="C126" s="67" t="str">
        <f>IF($A126="","",'03_Tecnologie'!B126)</f>
        <v/>
      </c>
      <c r="D126" s="67" t="str">
        <f>IF($A126="","",'03_Tecnologie'!F126)</f>
        <v/>
      </c>
      <c r="E126" s="63" t="str">
        <f>IF($A126="","",COUNTIF('04_Componenti'!$B$4:$B$1000,$A126))</f>
        <v/>
      </c>
      <c r="F126" s="63" t="str">
        <f>IF($A126="","",COUNTIF('05_Descrizione'!$B$4:$B$1000,$A126))</f>
        <v/>
      </c>
      <c r="G126" s="63" t="str">
        <f>IF($A126="","",COUNTIF('06_Avanzamento'!$B$4:$B$1000,$A126))</f>
        <v/>
      </c>
      <c r="H126" s="63" t="str">
        <f>IF($A126="","",COUNTIF('07_TRL_TLR'!$B$4:$B$1000,$A126))</f>
        <v/>
      </c>
      <c r="I126" s="63" t="str">
        <f>IF($A126="","",COUNTIF('08_Costi_Compet'!$B$4:$B$1000,$A126))</f>
        <v/>
      </c>
      <c r="J126" s="63" t="str">
        <f>IF($A126="","",COUNTIF('09_Settori_Impatto'!$B$4:$B$1000,$A126))</f>
        <v/>
      </c>
      <c r="K126" s="63" t="str">
        <f>IF($A126="","",COUNTIF('16_Mercati_Riferimento'!$B$4:$B$1000,$A126))</f>
        <v/>
      </c>
      <c r="L126" s="22" t="str">
        <f>IF($A126="","",COUNTIF('10_Sostenibilita'!$B$4:$B$1000,$A126))</f>
        <v/>
      </c>
      <c r="M126" s="63" t="str">
        <f>IF($A126="","",COUNTIF('11_Best_Practice'!$B$4:$B$1000,$A126))</f>
        <v/>
      </c>
      <c r="N126" s="63" t="str">
        <f>IF($A126="","",COUNTIF('12_Policy_Regolazione'!$B$4:$B$1000,$A126))</f>
        <v/>
      </c>
      <c r="O126" s="63" t="str">
        <f>IF($A126="","",COUNTIF('13_Barriere_Opp'!$B$4:$B$1000,$A126))</f>
        <v/>
      </c>
      <c r="P126" s="63" t="str">
        <f>IF($A126="","",COUNTIF('14_Attori_Imprese'!$B$4:$B$1000,$A126))</f>
        <v/>
      </c>
      <c r="Q126" s="63" t="str">
        <f>IF($A126="","",COUNTIF('15_Prestazioni'!$B$4:$B$1000,$A126))</f>
        <v/>
      </c>
      <c r="R126" s="64" t="str">
        <f t="shared" si="4"/>
        <v/>
      </c>
      <c r="S126" s="65" t="str">
        <f>IF($A126="","",IFERROR(AVERAGEIF('07_TRL_TLR'!$B$4:$B$1000,$A126,'07_TRL_TLR'!$F$4:$F$1000),""))</f>
        <v/>
      </c>
      <c r="T126" s="63" t="str">
        <f t="shared" si="5"/>
        <v/>
      </c>
      <c r="U126" s="66" t="str">
        <f t="shared" si="6"/>
        <v/>
      </c>
      <c r="V126" s="66" t="str">
        <f t="shared" si="7"/>
        <v/>
      </c>
    </row>
    <row r="127" spans="1:22">
      <c r="A127" s="67" t="str">
        <f>IF('03_Tecnologie'!A127="","",'03_Tecnologie'!A127)</f>
        <v/>
      </c>
      <c r="B127" s="67" t="str">
        <f>IF($A127="","",'03_Tecnologie'!D127)</f>
        <v/>
      </c>
      <c r="C127" s="67" t="str">
        <f>IF($A127="","",'03_Tecnologie'!B127)</f>
        <v/>
      </c>
      <c r="D127" s="67" t="str">
        <f>IF($A127="","",'03_Tecnologie'!F127)</f>
        <v/>
      </c>
      <c r="E127" s="63" t="str">
        <f>IF($A127="","",COUNTIF('04_Componenti'!$B$4:$B$1000,$A127))</f>
        <v/>
      </c>
      <c r="F127" s="63" t="str">
        <f>IF($A127="","",COUNTIF('05_Descrizione'!$B$4:$B$1000,$A127))</f>
        <v/>
      </c>
      <c r="G127" s="63" t="str">
        <f>IF($A127="","",COUNTIF('06_Avanzamento'!$B$4:$B$1000,$A127))</f>
        <v/>
      </c>
      <c r="H127" s="63" t="str">
        <f>IF($A127="","",COUNTIF('07_TRL_TLR'!$B$4:$B$1000,$A127))</f>
        <v/>
      </c>
      <c r="I127" s="63" t="str">
        <f>IF($A127="","",COUNTIF('08_Costi_Compet'!$B$4:$B$1000,$A127))</f>
        <v/>
      </c>
      <c r="J127" s="63" t="str">
        <f>IF($A127="","",COUNTIF('09_Settori_Impatto'!$B$4:$B$1000,$A127))</f>
        <v/>
      </c>
      <c r="K127" s="63" t="str">
        <f>IF($A127="","",COUNTIF('16_Mercati_Riferimento'!$B$4:$B$1000,$A127))</f>
        <v/>
      </c>
      <c r="L127" s="22" t="str">
        <f>IF($A127="","",COUNTIF('10_Sostenibilita'!$B$4:$B$1000,$A127))</f>
        <v/>
      </c>
      <c r="M127" s="63" t="str">
        <f>IF($A127="","",COUNTIF('11_Best_Practice'!$B$4:$B$1000,$A127))</f>
        <v/>
      </c>
      <c r="N127" s="63" t="str">
        <f>IF($A127="","",COUNTIF('12_Policy_Regolazione'!$B$4:$B$1000,$A127))</f>
        <v/>
      </c>
      <c r="O127" s="63" t="str">
        <f>IF($A127="","",COUNTIF('13_Barriere_Opp'!$B$4:$B$1000,$A127))</f>
        <v/>
      </c>
      <c r="P127" s="63" t="str">
        <f>IF($A127="","",COUNTIF('14_Attori_Imprese'!$B$4:$B$1000,$A127))</f>
        <v/>
      </c>
      <c r="Q127" s="63" t="str">
        <f>IF($A127="","",COUNTIF('15_Prestazioni'!$B$4:$B$1000,$A127))</f>
        <v/>
      </c>
      <c r="R127" s="64" t="str">
        <f t="shared" si="4"/>
        <v/>
      </c>
      <c r="S127" s="65" t="str">
        <f>IF($A127="","",IFERROR(AVERAGEIF('07_TRL_TLR'!$B$4:$B$1000,$A127,'07_TRL_TLR'!$F$4:$F$1000),""))</f>
        <v/>
      </c>
      <c r="T127" s="63" t="str">
        <f t="shared" si="5"/>
        <v/>
      </c>
      <c r="U127" s="66" t="str">
        <f t="shared" si="6"/>
        <v/>
      </c>
      <c r="V127" s="66" t="str">
        <f t="shared" si="7"/>
        <v/>
      </c>
    </row>
    <row r="128" spans="1:22">
      <c r="A128" s="67" t="str">
        <f>IF('03_Tecnologie'!A128="","",'03_Tecnologie'!A128)</f>
        <v/>
      </c>
      <c r="B128" s="67" t="str">
        <f>IF($A128="","",'03_Tecnologie'!D128)</f>
        <v/>
      </c>
      <c r="C128" s="67" t="str">
        <f>IF($A128="","",'03_Tecnologie'!B128)</f>
        <v/>
      </c>
      <c r="D128" s="67" t="str">
        <f>IF($A128="","",'03_Tecnologie'!F128)</f>
        <v/>
      </c>
      <c r="E128" s="63" t="str">
        <f>IF($A128="","",COUNTIF('04_Componenti'!$B$4:$B$1000,$A128))</f>
        <v/>
      </c>
      <c r="F128" s="63" t="str">
        <f>IF($A128="","",COUNTIF('05_Descrizione'!$B$4:$B$1000,$A128))</f>
        <v/>
      </c>
      <c r="G128" s="63" t="str">
        <f>IF($A128="","",COUNTIF('06_Avanzamento'!$B$4:$B$1000,$A128))</f>
        <v/>
      </c>
      <c r="H128" s="63" t="str">
        <f>IF($A128="","",COUNTIF('07_TRL_TLR'!$B$4:$B$1000,$A128))</f>
        <v/>
      </c>
      <c r="I128" s="63" t="str">
        <f>IF($A128="","",COUNTIF('08_Costi_Compet'!$B$4:$B$1000,$A128))</f>
        <v/>
      </c>
      <c r="J128" s="63" t="str">
        <f>IF($A128="","",COUNTIF('09_Settori_Impatto'!$B$4:$B$1000,$A128))</f>
        <v/>
      </c>
      <c r="K128" s="63" t="str">
        <f>IF($A128="","",COUNTIF('16_Mercati_Riferimento'!$B$4:$B$1000,$A128))</f>
        <v/>
      </c>
      <c r="L128" s="22" t="str">
        <f>IF($A128="","",COUNTIF('10_Sostenibilita'!$B$4:$B$1000,$A128))</f>
        <v/>
      </c>
      <c r="M128" s="63" t="str">
        <f>IF($A128="","",COUNTIF('11_Best_Practice'!$B$4:$B$1000,$A128))</f>
        <v/>
      </c>
      <c r="N128" s="63" t="str">
        <f>IF($A128="","",COUNTIF('12_Policy_Regolazione'!$B$4:$B$1000,$A128))</f>
        <v/>
      </c>
      <c r="O128" s="63" t="str">
        <f>IF($A128="","",COUNTIF('13_Barriere_Opp'!$B$4:$B$1000,$A128))</f>
        <v/>
      </c>
      <c r="P128" s="63" t="str">
        <f>IF($A128="","",COUNTIF('14_Attori_Imprese'!$B$4:$B$1000,$A128))</f>
        <v/>
      </c>
      <c r="Q128" s="63" t="str">
        <f>IF($A128="","",COUNTIF('15_Prestazioni'!$B$4:$B$1000,$A128))</f>
        <v/>
      </c>
      <c r="R128" s="64" t="str">
        <f t="shared" si="4"/>
        <v/>
      </c>
      <c r="S128" s="65" t="str">
        <f>IF($A128="","",IFERROR(AVERAGEIF('07_TRL_TLR'!$B$4:$B$1000,$A128,'07_TRL_TLR'!$F$4:$F$1000),""))</f>
        <v/>
      </c>
      <c r="T128" s="63" t="str">
        <f t="shared" si="5"/>
        <v/>
      </c>
      <c r="U128" s="66" t="str">
        <f t="shared" si="6"/>
        <v/>
      </c>
      <c r="V128" s="66" t="str">
        <f t="shared" si="7"/>
        <v/>
      </c>
    </row>
    <row r="129" spans="1:22">
      <c r="A129" s="67" t="str">
        <f>IF('03_Tecnologie'!A129="","",'03_Tecnologie'!A129)</f>
        <v/>
      </c>
      <c r="B129" s="67" t="str">
        <f>IF($A129="","",'03_Tecnologie'!D129)</f>
        <v/>
      </c>
      <c r="C129" s="67" t="str">
        <f>IF($A129="","",'03_Tecnologie'!B129)</f>
        <v/>
      </c>
      <c r="D129" s="67" t="str">
        <f>IF($A129="","",'03_Tecnologie'!F129)</f>
        <v/>
      </c>
      <c r="E129" s="63" t="str">
        <f>IF($A129="","",COUNTIF('04_Componenti'!$B$4:$B$1000,$A129))</f>
        <v/>
      </c>
      <c r="F129" s="63" t="str">
        <f>IF($A129="","",COUNTIF('05_Descrizione'!$B$4:$B$1000,$A129))</f>
        <v/>
      </c>
      <c r="G129" s="63" t="str">
        <f>IF($A129="","",COUNTIF('06_Avanzamento'!$B$4:$B$1000,$A129))</f>
        <v/>
      </c>
      <c r="H129" s="63" t="str">
        <f>IF($A129="","",COUNTIF('07_TRL_TLR'!$B$4:$B$1000,$A129))</f>
        <v/>
      </c>
      <c r="I129" s="63" t="str">
        <f>IF($A129="","",COUNTIF('08_Costi_Compet'!$B$4:$B$1000,$A129))</f>
        <v/>
      </c>
      <c r="J129" s="63" t="str">
        <f>IF($A129="","",COUNTIF('09_Settori_Impatto'!$B$4:$B$1000,$A129))</f>
        <v/>
      </c>
      <c r="K129" s="63" t="str">
        <f>IF($A129="","",COUNTIF('16_Mercati_Riferimento'!$B$4:$B$1000,$A129))</f>
        <v/>
      </c>
      <c r="L129" s="22" t="str">
        <f>IF($A129="","",COUNTIF('10_Sostenibilita'!$B$4:$B$1000,$A129))</f>
        <v/>
      </c>
      <c r="M129" s="63" t="str">
        <f>IF($A129="","",COUNTIF('11_Best_Practice'!$B$4:$B$1000,$A129))</f>
        <v/>
      </c>
      <c r="N129" s="63" t="str">
        <f>IF($A129="","",COUNTIF('12_Policy_Regolazione'!$B$4:$B$1000,$A129))</f>
        <v/>
      </c>
      <c r="O129" s="63" t="str">
        <f>IF($A129="","",COUNTIF('13_Barriere_Opp'!$B$4:$B$1000,$A129))</f>
        <v/>
      </c>
      <c r="P129" s="63" t="str">
        <f>IF($A129="","",COUNTIF('14_Attori_Imprese'!$B$4:$B$1000,$A129))</f>
        <v/>
      </c>
      <c r="Q129" s="63" t="str">
        <f>IF($A129="","",COUNTIF('15_Prestazioni'!$B$4:$B$1000,$A129))</f>
        <v/>
      </c>
      <c r="R129" s="64" t="str">
        <f t="shared" si="4"/>
        <v/>
      </c>
      <c r="S129" s="65" t="str">
        <f>IF($A129="","",IFERROR(AVERAGEIF('07_TRL_TLR'!$B$4:$B$1000,$A129,'07_TRL_TLR'!$F$4:$F$1000),""))</f>
        <v/>
      </c>
      <c r="T129" s="63" t="str">
        <f t="shared" si="5"/>
        <v/>
      </c>
      <c r="U129" s="66" t="str">
        <f t="shared" si="6"/>
        <v/>
      </c>
      <c r="V129" s="66" t="str">
        <f t="shared" si="7"/>
        <v/>
      </c>
    </row>
    <row r="130" spans="1:22">
      <c r="A130" s="67" t="str">
        <f>IF('03_Tecnologie'!A130="","",'03_Tecnologie'!A130)</f>
        <v/>
      </c>
      <c r="B130" s="67" t="str">
        <f>IF($A130="","",'03_Tecnologie'!D130)</f>
        <v/>
      </c>
      <c r="C130" s="67" t="str">
        <f>IF($A130="","",'03_Tecnologie'!B130)</f>
        <v/>
      </c>
      <c r="D130" s="67" t="str">
        <f>IF($A130="","",'03_Tecnologie'!F130)</f>
        <v/>
      </c>
      <c r="E130" s="63" t="str">
        <f>IF($A130="","",COUNTIF('04_Componenti'!$B$4:$B$1000,$A130))</f>
        <v/>
      </c>
      <c r="F130" s="63" t="str">
        <f>IF($A130="","",COUNTIF('05_Descrizione'!$B$4:$B$1000,$A130))</f>
        <v/>
      </c>
      <c r="G130" s="63" t="str">
        <f>IF($A130="","",COUNTIF('06_Avanzamento'!$B$4:$B$1000,$A130))</f>
        <v/>
      </c>
      <c r="H130" s="63" t="str">
        <f>IF($A130="","",COUNTIF('07_TRL_TLR'!$B$4:$B$1000,$A130))</f>
        <v/>
      </c>
      <c r="I130" s="63" t="str">
        <f>IF($A130="","",COUNTIF('08_Costi_Compet'!$B$4:$B$1000,$A130))</f>
        <v/>
      </c>
      <c r="J130" s="63" t="str">
        <f>IF($A130="","",COUNTIF('09_Settori_Impatto'!$B$4:$B$1000,$A130))</f>
        <v/>
      </c>
      <c r="K130" s="63" t="str">
        <f>IF($A130="","",COUNTIF('16_Mercati_Riferimento'!$B$4:$B$1000,$A130))</f>
        <v/>
      </c>
      <c r="L130" s="22" t="str">
        <f>IF($A130="","",COUNTIF('10_Sostenibilita'!$B$4:$B$1000,$A130))</f>
        <v/>
      </c>
      <c r="M130" s="63" t="str">
        <f>IF($A130="","",COUNTIF('11_Best_Practice'!$B$4:$B$1000,$A130))</f>
        <v/>
      </c>
      <c r="N130" s="63" t="str">
        <f>IF($A130="","",COUNTIF('12_Policy_Regolazione'!$B$4:$B$1000,$A130))</f>
        <v/>
      </c>
      <c r="O130" s="63" t="str">
        <f>IF($A130="","",COUNTIF('13_Barriere_Opp'!$B$4:$B$1000,$A130))</f>
        <v/>
      </c>
      <c r="P130" s="63" t="str">
        <f>IF($A130="","",COUNTIF('14_Attori_Imprese'!$B$4:$B$1000,$A130))</f>
        <v/>
      </c>
      <c r="Q130" s="63" t="str">
        <f>IF($A130="","",COUNTIF('15_Prestazioni'!$B$4:$B$1000,$A130))</f>
        <v/>
      </c>
      <c r="R130" s="64" t="str">
        <f t="shared" si="4"/>
        <v/>
      </c>
      <c r="S130" s="65" t="str">
        <f>IF($A130="","",IFERROR(AVERAGEIF('07_TRL_TLR'!$B$4:$B$1000,$A130,'07_TRL_TLR'!$F$4:$F$1000),""))</f>
        <v/>
      </c>
      <c r="T130" s="63" t="str">
        <f t="shared" si="5"/>
        <v/>
      </c>
      <c r="U130" s="66" t="str">
        <f t="shared" si="6"/>
        <v/>
      </c>
      <c r="V130" s="66" t="str">
        <f t="shared" si="7"/>
        <v/>
      </c>
    </row>
    <row r="131" spans="1:22">
      <c r="A131" s="67" t="str">
        <f>IF('03_Tecnologie'!A131="","",'03_Tecnologie'!A131)</f>
        <v/>
      </c>
      <c r="B131" s="67" t="str">
        <f>IF($A131="","",'03_Tecnologie'!D131)</f>
        <v/>
      </c>
      <c r="C131" s="67" t="str">
        <f>IF($A131="","",'03_Tecnologie'!B131)</f>
        <v/>
      </c>
      <c r="D131" s="67" t="str">
        <f>IF($A131="","",'03_Tecnologie'!F131)</f>
        <v/>
      </c>
      <c r="E131" s="63" t="str">
        <f>IF($A131="","",COUNTIF('04_Componenti'!$B$4:$B$1000,$A131))</f>
        <v/>
      </c>
      <c r="F131" s="63" t="str">
        <f>IF($A131="","",COUNTIF('05_Descrizione'!$B$4:$B$1000,$A131))</f>
        <v/>
      </c>
      <c r="G131" s="63" t="str">
        <f>IF($A131="","",COUNTIF('06_Avanzamento'!$B$4:$B$1000,$A131))</f>
        <v/>
      </c>
      <c r="H131" s="63" t="str">
        <f>IF($A131="","",COUNTIF('07_TRL_TLR'!$B$4:$B$1000,$A131))</f>
        <v/>
      </c>
      <c r="I131" s="63" t="str">
        <f>IF($A131="","",COUNTIF('08_Costi_Compet'!$B$4:$B$1000,$A131))</f>
        <v/>
      </c>
      <c r="J131" s="63" t="str">
        <f>IF($A131="","",COUNTIF('09_Settori_Impatto'!$B$4:$B$1000,$A131))</f>
        <v/>
      </c>
      <c r="K131" s="63" t="str">
        <f>IF($A131="","",COUNTIF('16_Mercati_Riferimento'!$B$4:$B$1000,$A131))</f>
        <v/>
      </c>
      <c r="L131" s="22" t="str">
        <f>IF($A131="","",COUNTIF('10_Sostenibilita'!$B$4:$B$1000,$A131))</f>
        <v/>
      </c>
      <c r="M131" s="63" t="str">
        <f>IF($A131="","",COUNTIF('11_Best_Practice'!$B$4:$B$1000,$A131))</f>
        <v/>
      </c>
      <c r="N131" s="63" t="str">
        <f>IF($A131="","",COUNTIF('12_Policy_Regolazione'!$B$4:$B$1000,$A131))</f>
        <v/>
      </c>
      <c r="O131" s="63" t="str">
        <f>IF($A131="","",COUNTIF('13_Barriere_Opp'!$B$4:$B$1000,$A131))</f>
        <v/>
      </c>
      <c r="P131" s="63" t="str">
        <f>IF($A131="","",COUNTIF('14_Attori_Imprese'!$B$4:$B$1000,$A131))</f>
        <v/>
      </c>
      <c r="Q131" s="63" t="str">
        <f>IF($A131="","",COUNTIF('15_Prestazioni'!$B$4:$B$1000,$A131))</f>
        <v/>
      </c>
      <c r="R131" s="64" t="str">
        <f t="shared" si="4"/>
        <v/>
      </c>
      <c r="S131" s="65" t="str">
        <f>IF($A131="","",IFERROR(AVERAGEIF('07_TRL_TLR'!$B$4:$B$1000,$A131,'07_TRL_TLR'!$F$4:$F$1000),""))</f>
        <v/>
      </c>
      <c r="T131" s="63" t="str">
        <f t="shared" si="5"/>
        <v/>
      </c>
      <c r="U131" s="66" t="str">
        <f t="shared" si="6"/>
        <v/>
      </c>
      <c r="V131" s="66" t="str">
        <f t="shared" si="7"/>
        <v/>
      </c>
    </row>
    <row r="132" spans="1:22">
      <c r="A132" s="67" t="str">
        <f>IF('03_Tecnologie'!A132="","",'03_Tecnologie'!A132)</f>
        <v/>
      </c>
      <c r="B132" s="67" t="str">
        <f>IF($A132="","",'03_Tecnologie'!D132)</f>
        <v/>
      </c>
      <c r="C132" s="67" t="str">
        <f>IF($A132="","",'03_Tecnologie'!B132)</f>
        <v/>
      </c>
      <c r="D132" s="67" t="str">
        <f>IF($A132="","",'03_Tecnologie'!F132)</f>
        <v/>
      </c>
      <c r="E132" s="63" t="str">
        <f>IF($A132="","",COUNTIF('04_Componenti'!$B$4:$B$1000,$A132))</f>
        <v/>
      </c>
      <c r="F132" s="63" t="str">
        <f>IF($A132="","",COUNTIF('05_Descrizione'!$B$4:$B$1000,$A132))</f>
        <v/>
      </c>
      <c r="G132" s="63" t="str">
        <f>IF($A132="","",COUNTIF('06_Avanzamento'!$B$4:$B$1000,$A132))</f>
        <v/>
      </c>
      <c r="H132" s="63" t="str">
        <f>IF($A132="","",COUNTIF('07_TRL_TLR'!$B$4:$B$1000,$A132))</f>
        <v/>
      </c>
      <c r="I132" s="63" t="str">
        <f>IF($A132="","",COUNTIF('08_Costi_Compet'!$B$4:$B$1000,$A132))</f>
        <v/>
      </c>
      <c r="J132" s="63" t="str">
        <f>IF($A132="","",COUNTIF('09_Settori_Impatto'!$B$4:$B$1000,$A132))</f>
        <v/>
      </c>
      <c r="K132" s="63" t="str">
        <f>IF($A132="","",COUNTIF('16_Mercati_Riferimento'!$B$4:$B$1000,$A132))</f>
        <v/>
      </c>
      <c r="L132" s="22" t="str">
        <f>IF($A132="","",COUNTIF('10_Sostenibilita'!$B$4:$B$1000,$A132))</f>
        <v/>
      </c>
      <c r="M132" s="63" t="str">
        <f>IF($A132="","",COUNTIF('11_Best_Practice'!$B$4:$B$1000,$A132))</f>
        <v/>
      </c>
      <c r="N132" s="63" t="str">
        <f>IF($A132="","",COUNTIF('12_Policy_Regolazione'!$B$4:$B$1000,$A132))</f>
        <v/>
      </c>
      <c r="O132" s="63" t="str">
        <f>IF($A132="","",COUNTIF('13_Barriere_Opp'!$B$4:$B$1000,$A132))</f>
        <v/>
      </c>
      <c r="P132" s="63" t="str">
        <f>IF($A132="","",COUNTIF('14_Attori_Imprese'!$B$4:$B$1000,$A132))</f>
        <v/>
      </c>
      <c r="Q132" s="63" t="str">
        <f>IF($A132="","",COUNTIF('15_Prestazioni'!$B$4:$B$1000,$A132))</f>
        <v/>
      </c>
      <c r="R132" s="64" t="str">
        <f t="shared" ref="R132:R195" si="8">IF($A132="","",COUNTIF(F132:Q132,"&gt;0")/12)</f>
        <v/>
      </c>
      <c r="S132" s="65" t="str">
        <f>IF($A132="","",IFERROR(AVERAGEIF('07_TRL_TLR'!$B$4:$B$1000,$A132,'07_TRL_TLR'!$F$4:$F$1000),""))</f>
        <v/>
      </c>
      <c r="T132" s="63" t="str">
        <f t="shared" ref="T132:T195" si="9">IF($A132="","",SUM(F132:Q132))</f>
        <v/>
      </c>
      <c r="U132" s="66" t="str">
        <f t="shared" ref="U132:U195" si="10">IF($A132="","",IF(T132=0,"Da avviare",IF(R132&lt;0.3,"Copertura base",IF(R132&lt;0.7,"Copertura intermedia","Copertura avanzata"))))</f>
        <v/>
      </c>
      <c r="V132" s="66" t="str">
        <f t="shared" ref="V132:V195" si="11">IF($A132="","",IF(AND(D132="Prioritaria",R132&lt;0.5),"Alta priorita",IF(AND(D132="Monitoraggio attivo",R132&lt;0.3),"Media priorita",IF(T132=0,"Da avviare","Presidio adeguato"))))</f>
        <v/>
      </c>
    </row>
    <row r="133" spans="1:22">
      <c r="A133" s="67" t="str">
        <f>IF('03_Tecnologie'!A133="","",'03_Tecnologie'!A133)</f>
        <v/>
      </c>
      <c r="B133" s="67" t="str">
        <f>IF($A133="","",'03_Tecnologie'!D133)</f>
        <v/>
      </c>
      <c r="C133" s="67" t="str">
        <f>IF($A133="","",'03_Tecnologie'!B133)</f>
        <v/>
      </c>
      <c r="D133" s="67" t="str">
        <f>IF($A133="","",'03_Tecnologie'!F133)</f>
        <v/>
      </c>
      <c r="E133" s="63" t="str">
        <f>IF($A133="","",COUNTIF('04_Componenti'!$B$4:$B$1000,$A133))</f>
        <v/>
      </c>
      <c r="F133" s="63" t="str">
        <f>IF($A133="","",COUNTIF('05_Descrizione'!$B$4:$B$1000,$A133))</f>
        <v/>
      </c>
      <c r="G133" s="63" t="str">
        <f>IF($A133="","",COUNTIF('06_Avanzamento'!$B$4:$B$1000,$A133))</f>
        <v/>
      </c>
      <c r="H133" s="63" t="str">
        <f>IF($A133="","",COUNTIF('07_TRL_TLR'!$B$4:$B$1000,$A133))</f>
        <v/>
      </c>
      <c r="I133" s="63" t="str">
        <f>IF($A133="","",COUNTIF('08_Costi_Compet'!$B$4:$B$1000,$A133))</f>
        <v/>
      </c>
      <c r="J133" s="63" t="str">
        <f>IF($A133="","",COUNTIF('09_Settori_Impatto'!$B$4:$B$1000,$A133))</f>
        <v/>
      </c>
      <c r="K133" s="63" t="str">
        <f>IF($A133="","",COUNTIF('16_Mercati_Riferimento'!$B$4:$B$1000,$A133))</f>
        <v/>
      </c>
      <c r="L133" s="22" t="str">
        <f>IF($A133="","",COUNTIF('10_Sostenibilita'!$B$4:$B$1000,$A133))</f>
        <v/>
      </c>
      <c r="M133" s="63" t="str">
        <f>IF($A133="","",COUNTIF('11_Best_Practice'!$B$4:$B$1000,$A133))</f>
        <v/>
      </c>
      <c r="N133" s="63" t="str">
        <f>IF($A133="","",COUNTIF('12_Policy_Regolazione'!$B$4:$B$1000,$A133))</f>
        <v/>
      </c>
      <c r="O133" s="63" t="str">
        <f>IF($A133="","",COUNTIF('13_Barriere_Opp'!$B$4:$B$1000,$A133))</f>
        <v/>
      </c>
      <c r="P133" s="63" t="str">
        <f>IF($A133="","",COUNTIF('14_Attori_Imprese'!$B$4:$B$1000,$A133))</f>
        <v/>
      </c>
      <c r="Q133" s="63" t="str">
        <f>IF($A133="","",COUNTIF('15_Prestazioni'!$B$4:$B$1000,$A133))</f>
        <v/>
      </c>
      <c r="R133" s="64" t="str">
        <f t="shared" si="8"/>
        <v/>
      </c>
      <c r="S133" s="65" t="str">
        <f>IF($A133="","",IFERROR(AVERAGEIF('07_TRL_TLR'!$B$4:$B$1000,$A133,'07_TRL_TLR'!$F$4:$F$1000),""))</f>
        <v/>
      </c>
      <c r="T133" s="63" t="str">
        <f t="shared" si="9"/>
        <v/>
      </c>
      <c r="U133" s="66" t="str">
        <f t="shared" si="10"/>
        <v/>
      </c>
      <c r="V133" s="66" t="str">
        <f t="shared" si="11"/>
        <v/>
      </c>
    </row>
    <row r="134" spans="1:22">
      <c r="A134" s="67" t="str">
        <f>IF('03_Tecnologie'!A134="","",'03_Tecnologie'!A134)</f>
        <v/>
      </c>
      <c r="B134" s="67" t="str">
        <f>IF($A134="","",'03_Tecnologie'!D134)</f>
        <v/>
      </c>
      <c r="C134" s="67" t="str">
        <f>IF($A134="","",'03_Tecnologie'!B134)</f>
        <v/>
      </c>
      <c r="D134" s="67" t="str">
        <f>IF($A134="","",'03_Tecnologie'!F134)</f>
        <v/>
      </c>
      <c r="E134" s="63" t="str">
        <f>IF($A134="","",COUNTIF('04_Componenti'!$B$4:$B$1000,$A134))</f>
        <v/>
      </c>
      <c r="F134" s="63" t="str">
        <f>IF($A134="","",COUNTIF('05_Descrizione'!$B$4:$B$1000,$A134))</f>
        <v/>
      </c>
      <c r="G134" s="63" t="str">
        <f>IF($A134="","",COUNTIF('06_Avanzamento'!$B$4:$B$1000,$A134))</f>
        <v/>
      </c>
      <c r="H134" s="63" t="str">
        <f>IF($A134="","",COUNTIF('07_TRL_TLR'!$B$4:$B$1000,$A134))</f>
        <v/>
      </c>
      <c r="I134" s="63" t="str">
        <f>IF($A134="","",COUNTIF('08_Costi_Compet'!$B$4:$B$1000,$A134))</f>
        <v/>
      </c>
      <c r="J134" s="63" t="str">
        <f>IF($A134="","",COUNTIF('09_Settori_Impatto'!$B$4:$B$1000,$A134))</f>
        <v/>
      </c>
      <c r="K134" s="63" t="str">
        <f>IF($A134="","",COUNTIF('16_Mercati_Riferimento'!$B$4:$B$1000,$A134))</f>
        <v/>
      </c>
      <c r="L134" s="22" t="str">
        <f>IF($A134="","",COUNTIF('10_Sostenibilita'!$B$4:$B$1000,$A134))</f>
        <v/>
      </c>
      <c r="M134" s="63" t="str">
        <f>IF($A134="","",COUNTIF('11_Best_Practice'!$B$4:$B$1000,$A134))</f>
        <v/>
      </c>
      <c r="N134" s="63" t="str">
        <f>IF($A134="","",COUNTIF('12_Policy_Regolazione'!$B$4:$B$1000,$A134))</f>
        <v/>
      </c>
      <c r="O134" s="63" t="str">
        <f>IF($A134="","",COUNTIF('13_Barriere_Opp'!$B$4:$B$1000,$A134))</f>
        <v/>
      </c>
      <c r="P134" s="63" t="str">
        <f>IF($A134="","",COUNTIF('14_Attori_Imprese'!$B$4:$B$1000,$A134))</f>
        <v/>
      </c>
      <c r="Q134" s="63" t="str">
        <f>IF($A134="","",COUNTIF('15_Prestazioni'!$B$4:$B$1000,$A134))</f>
        <v/>
      </c>
      <c r="R134" s="64" t="str">
        <f t="shared" si="8"/>
        <v/>
      </c>
      <c r="S134" s="65" t="str">
        <f>IF($A134="","",IFERROR(AVERAGEIF('07_TRL_TLR'!$B$4:$B$1000,$A134,'07_TRL_TLR'!$F$4:$F$1000),""))</f>
        <v/>
      </c>
      <c r="T134" s="63" t="str">
        <f t="shared" si="9"/>
        <v/>
      </c>
      <c r="U134" s="66" t="str">
        <f t="shared" si="10"/>
        <v/>
      </c>
      <c r="V134" s="66" t="str">
        <f t="shared" si="11"/>
        <v/>
      </c>
    </row>
    <row r="135" spans="1:22">
      <c r="A135" s="67" t="str">
        <f>IF('03_Tecnologie'!A135="","",'03_Tecnologie'!A135)</f>
        <v/>
      </c>
      <c r="B135" s="67" t="str">
        <f>IF($A135="","",'03_Tecnologie'!D135)</f>
        <v/>
      </c>
      <c r="C135" s="67" t="str">
        <f>IF($A135="","",'03_Tecnologie'!B135)</f>
        <v/>
      </c>
      <c r="D135" s="67" t="str">
        <f>IF($A135="","",'03_Tecnologie'!F135)</f>
        <v/>
      </c>
      <c r="E135" s="63" t="str">
        <f>IF($A135="","",COUNTIF('04_Componenti'!$B$4:$B$1000,$A135))</f>
        <v/>
      </c>
      <c r="F135" s="63" t="str">
        <f>IF($A135="","",COUNTIF('05_Descrizione'!$B$4:$B$1000,$A135))</f>
        <v/>
      </c>
      <c r="G135" s="63" t="str">
        <f>IF($A135="","",COUNTIF('06_Avanzamento'!$B$4:$B$1000,$A135))</f>
        <v/>
      </c>
      <c r="H135" s="63" t="str">
        <f>IF($A135="","",COUNTIF('07_TRL_TLR'!$B$4:$B$1000,$A135))</f>
        <v/>
      </c>
      <c r="I135" s="63" t="str">
        <f>IF($A135="","",COUNTIF('08_Costi_Compet'!$B$4:$B$1000,$A135))</f>
        <v/>
      </c>
      <c r="J135" s="63" t="str">
        <f>IF($A135="","",COUNTIF('09_Settori_Impatto'!$B$4:$B$1000,$A135))</f>
        <v/>
      </c>
      <c r="K135" s="63" t="str">
        <f>IF($A135="","",COUNTIF('16_Mercati_Riferimento'!$B$4:$B$1000,$A135))</f>
        <v/>
      </c>
      <c r="L135" s="22" t="str">
        <f>IF($A135="","",COUNTIF('10_Sostenibilita'!$B$4:$B$1000,$A135))</f>
        <v/>
      </c>
      <c r="M135" s="63" t="str">
        <f>IF($A135="","",COUNTIF('11_Best_Practice'!$B$4:$B$1000,$A135))</f>
        <v/>
      </c>
      <c r="N135" s="63" t="str">
        <f>IF($A135="","",COUNTIF('12_Policy_Regolazione'!$B$4:$B$1000,$A135))</f>
        <v/>
      </c>
      <c r="O135" s="63" t="str">
        <f>IF($A135="","",COUNTIF('13_Barriere_Opp'!$B$4:$B$1000,$A135))</f>
        <v/>
      </c>
      <c r="P135" s="63" t="str">
        <f>IF($A135="","",COUNTIF('14_Attori_Imprese'!$B$4:$B$1000,$A135))</f>
        <v/>
      </c>
      <c r="Q135" s="63" t="str">
        <f>IF($A135="","",COUNTIF('15_Prestazioni'!$B$4:$B$1000,$A135))</f>
        <v/>
      </c>
      <c r="R135" s="64" t="str">
        <f t="shared" si="8"/>
        <v/>
      </c>
      <c r="S135" s="65" t="str">
        <f>IF($A135="","",IFERROR(AVERAGEIF('07_TRL_TLR'!$B$4:$B$1000,$A135,'07_TRL_TLR'!$F$4:$F$1000),""))</f>
        <v/>
      </c>
      <c r="T135" s="63" t="str">
        <f t="shared" si="9"/>
        <v/>
      </c>
      <c r="U135" s="66" t="str">
        <f t="shared" si="10"/>
        <v/>
      </c>
      <c r="V135" s="66" t="str">
        <f t="shared" si="11"/>
        <v/>
      </c>
    </row>
    <row r="136" spans="1:22">
      <c r="A136" s="67" t="str">
        <f>IF('03_Tecnologie'!A136="","",'03_Tecnologie'!A136)</f>
        <v/>
      </c>
      <c r="B136" s="67" t="str">
        <f>IF($A136="","",'03_Tecnologie'!D136)</f>
        <v/>
      </c>
      <c r="C136" s="67" t="str">
        <f>IF($A136="","",'03_Tecnologie'!B136)</f>
        <v/>
      </c>
      <c r="D136" s="67" t="str">
        <f>IF($A136="","",'03_Tecnologie'!F136)</f>
        <v/>
      </c>
      <c r="E136" s="63" t="str">
        <f>IF($A136="","",COUNTIF('04_Componenti'!$B$4:$B$1000,$A136))</f>
        <v/>
      </c>
      <c r="F136" s="63" t="str">
        <f>IF($A136="","",COUNTIF('05_Descrizione'!$B$4:$B$1000,$A136))</f>
        <v/>
      </c>
      <c r="G136" s="63" t="str">
        <f>IF($A136="","",COUNTIF('06_Avanzamento'!$B$4:$B$1000,$A136))</f>
        <v/>
      </c>
      <c r="H136" s="63" t="str">
        <f>IF($A136="","",COUNTIF('07_TRL_TLR'!$B$4:$B$1000,$A136))</f>
        <v/>
      </c>
      <c r="I136" s="63" t="str">
        <f>IF($A136="","",COUNTIF('08_Costi_Compet'!$B$4:$B$1000,$A136))</f>
        <v/>
      </c>
      <c r="J136" s="63" t="str">
        <f>IF($A136="","",COUNTIF('09_Settori_Impatto'!$B$4:$B$1000,$A136))</f>
        <v/>
      </c>
      <c r="K136" s="63" t="str">
        <f>IF($A136="","",COUNTIF('16_Mercati_Riferimento'!$B$4:$B$1000,$A136))</f>
        <v/>
      </c>
      <c r="L136" s="22" t="str">
        <f>IF($A136="","",COUNTIF('10_Sostenibilita'!$B$4:$B$1000,$A136))</f>
        <v/>
      </c>
      <c r="M136" s="63" t="str">
        <f>IF($A136="","",COUNTIF('11_Best_Practice'!$B$4:$B$1000,$A136))</f>
        <v/>
      </c>
      <c r="N136" s="63" t="str">
        <f>IF($A136="","",COUNTIF('12_Policy_Regolazione'!$B$4:$B$1000,$A136))</f>
        <v/>
      </c>
      <c r="O136" s="63" t="str">
        <f>IF($A136="","",COUNTIF('13_Barriere_Opp'!$B$4:$B$1000,$A136))</f>
        <v/>
      </c>
      <c r="P136" s="63" t="str">
        <f>IF($A136="","",COUNTIF('14_Attori_Imprese'!$B$4:$B$1000,$A136))</f>
        <v/>
      </c>
      <c r="Q136" s="63" t="str">
        <f>IF($A136="","",COUNTIF('15_Prestazioni'!$B$4:$B$1000,$A136))</f>
        <v/>
      </c>
      <c r="R136" s="64" t="str">
        <f t="shared" si="8"/>
        <v/>
      </c>
      <c r="S136" s="65" t="str">
        <f>IF($A136="","",IFERROR(AVERAGEIF('07_TRL_TLR'!$B$4:$B$1000,$A136,'07_TRL_TLR'!$F$4:$F$1000),""))</f>
        <v/>
      </c>
      <c r="T136" s="63" t="str">
        <f t="shared" si="9"/>
        <v/>
      </c>
      <c r="U136" s="66" t="str">
        <f t="shared" si="10"/>
        <v/>
      </c>
      <c r="V136" s="66" t="str">
        <f t="shared" si="11"/>
        <v/>
      </c>
    </row>
    <row r="137" spans="1:22">
      <c r="A137" s="67" t="str">
        <f>IF('03_Tecnologie'!A137="","",'03_Tecnologie'!A137)</f>
        <v/>
      </c>
      <c r="B137" s="67" t="str">
        <f>IF($A137="","",'03_Tecnologie'!D137)</f>
        <v/>
      </c>
      <c r="C137" s="67" t="str">
        <f>IF($A137="","",'03_Tecnologie'!B137)</f>
        <v/>
      </c>
      <c r="D137" s="67" t="str">
        <f>IF($A137="","",'03_Tecnologie'!F137)</f>
        <v/>
      </c>
      <c r="E137" s="63" t="str">
        <f>IF($A137="","",COUNTIF('04_Componenti'!$B$4:$B$1000,$A137))</f>
        <v/>
      </c>
      <c r="F137" s="63" t="str">
        <f>IF($A137="","",COUNTIF('05_Descrizione'!$B$4:$B$1000,$A137))</f>
        <v/>
      </c>
      <c r="G137" s="63" t="str">
        <f>IF($A137="","",COUNTIF('06_Avanzamento'!$B$4:$B$1000,$A137))</f>
        <v/>
      </c>
      <c r="H137" s="63" t="str">
        <f>IF($A137="","",COUNTIF('07_TRL_TLR'!$B$4:$B$1000,$A137))</f>
        <v/>
      </c>
      <c r="I137" s="63" t="str">
        <f>IF($A137="","",COUNTIF('08_Costi_Compet'!$B$4:$B$1000,$A137))</f>
        <v/>
      </c>
      <c r="J137" s="63" t="str">
        <f>IF($A137="","",COUNTIF('09_Settori_Impatto'!$B$4:$B$1000,$A137))</f>
        <v/>
      </c>
      <c r="K137" s="63" t="str">
        <f>IF($A137="","",COUNTIF('16_Mercati_Riferimento'!$B$4:$B$1000,$A137))</f>
        <v/>
      </c>
      <c r="L137" s="22" t="str">
        <f>IF($A137="","",COUNTIF('10_Sostenibilita'!$B$4:$B$1000,$A137))</f>
        <v/>
      </c>
      <c r="M137" s="63" t="str">
        <f>IF($A137="","",COUNTIF('11_Best_Practice'!$B$4:$B$1000,$A137))</f>
        <v/>
      </c>
      <c r="N137" s="63" t="str">
        <f>IF($A137="","",COUNTIF('12_Policy_Regolazione'!$B$4:$B$1000,$A137))</f>
        <v/>
      </c>
      <c r="O137" s="63" t="str">
        <f>IF($A137="","",COUNTIF('13_Barriere_Opp'!$B$4:$B$1000,$A137))</f>
        <v/>
      </c>
      <c r="P137" s="63" t="str">
        <f>IF($A137="","",COUNTIF('14_Attori_Imprese'!$B$4:$B$1000,$A137))</f>
        <v/>
      </c>
      <c r="Q137" s="63" t="str">
        <f>IF($A137="","",COUNTIF('15_Prestazioni'!$B$4:$B$1000,$A137))</f>
        <v/>
      </c>
      <c r="R137" s="64" t="str">
        <f t="shared" si="8"/>
        <v/>
      </c>
      <c r="S137" s="65" t="str">
        <f>IF($A137="","",IFERROR(AVERAGEIF('07_TRL_TLR'!$B$4:$B$1000,$A137,'07_TRL_TLR'!$F$4:$F$1000),""))</f>
        <v/>
      </c>
      <c r="T137" s="63" t="str">
        <f t="shared" si="9"/>
        <v/>
      </c>
      <c r="U137" s="66" t="str">
        <f t="shared" si="10"/>
        <v/>
      </c>
      <c r="V137" s="66" t="str">
        <f t="shared" si="11"/>
        <v/>
      </c>
    </row>
    <row r="138" spans="1:22">
      <c r="A138" s="67" t="str">
        <f>IF('03_Tecnologie'!A138="","",'03_Tecnologie'!A138)</f>
        <v/>
      </c>
      <c r="B138" s="67" t="str">
        <f>IF($A138="","",'03_Tecnologie'!D138)</f>
        <v/>
      </c>
      <c r="C138" s="67" t="str">
        <f>IF($A138="","",'03_Tecnologie'!B138)</f>
        <v/>
      </c>
      <c r="D138" s="67" t="str">
        <f>IF($A138="","",'03_Tecnologie'!F138)</f>
        <v/>
      </c>
      <c r="E138" s="63" t="str">
        <f>IF($A138="","",COUNTIF('04_Componenti'!$B$4:$B$1000,$A138))</f>
        <v/>
      </c>
      <c r="F138" s="63" t="str">
        <f>IF($A138="","",COUNTIF('05_Descrizione'!$B$4:$B$1000,$A138))</f>
        <v/>
      </c>
      <c r="G138" s="63" t="str">
        <f>IF($A138="","",COUNTIF('06_Avanzamento'!$B$4:$B$1000,$A138))</f>
        <v/>
      </c>
      <c r="H138" s="63" t="str">
        <f>IF($A138="","",COUNTIF('07_TRL_TLR'!$B$4:$B$1000,$A138))</f>
        <v/>
      </c>
      <c r="I138" s="63" t="str">
        <f>IF($A138="","",COUNTIF('08_Costi_Compet'!$B$4:$B$1000,$A138))</f>
        <v/>
      </c>
      <c r="J138" s="63" t="str">
        <f>IF($A138="","",COUNTIF('09_Settori_Impatto'!$B$4:$B$1000,$A138))</f>
        <v/>
      </c>
      <c r="K138" s="63" t="str">
        <f>IF($A138="","",COUNTIF('16_Mercati_Riferimento'!$B$4:$B$1000,$A138))</f>
        <v/>
      </c>
      <c r="L138" s="22" t="str">
        <f>IF($A138="","",COUNTIF('10_Sostenibilita'!$B$4:$B$1000,$A138))</f>
        <v/>
      </c>
      <c r="M138" s="63" t="str">
        <f>IF($A138="","",COUNTIF('11_Best_Practice'!$B$4:$B$1000,$A138))</f>
        <v/>
      </c>
      <c r="N138" s="63" t="str">
        <f>IF($A138="","",COUNTIF('12_Policy_Regolazione'!$B$4:$B$1000,$A138))</f>
        <v/>
      </c>
      <c r="O138" s="63" t="str">
        <f>IF($A138="","",COUNTIF('13_Barriere_Opp'!$B$4:$B$1000,$A138))</f>
        <v/>
      </c>
      <c r="P138" s="63" t="str">
        <f>IF($A138="","",COUNTIF('14_Attori_Imprese'!$B$4:$B$1000,$A138))</f>
        <v/>
      </c>
      <c r="Q138" s="63" t="str">
        <f>IF($A138="","",COUNTIF('15_Prestazioni'!$B$4:$B$1000,$A138))</f>
        <v/>
      </c>
      <c r="R138" s="64" t="str">
        <f t="shared" si="8"/>
        <v/>
      </c>
      <c r="S138" s="65" t="str">
        <f>IF($A138="","",IFERROR(AVERAGEIF('07_TRL_TLR'!$B$4:$B$1000,$A138,'07_TRL_TLR'!$F$4:$F$1000),""))</f>
        <v/>
      </c>
      <c r="T138" s="63" t="str">
        <f t="shared" si="9"/>
        <v/>
      </c>
      <c r="U138" s="66" t="str">
        <f t="shared" si="10"/>
        <v/>
      </c>
      <c r="V138" s="66" t="str">
        <f t="shared" si="11"/>
        <v/>
      </c>
    </row>
    <row r="139" spans="1:22">
      <c r="A139" s="67" t="str">
        <f>IF('03_Tecnologie'!A139="","",'03_Tecnologie'!A139)</f>
        <v/>
      </c>
      <c r="B139" s="67" t="str">
        <f>IF($A139="","",'03_Tecnologie'!D139)</f>
        <v/>
      </c>
      <c r="C139" s="67" t="str">
        <f>IF($A139="","",'03_Tecnologie'!B139)</f>
        <v/>
      </c>
      <c r="D139" s="67" t="str">
        <f>IF($A139="","",'03_Tecnologie'!F139)</f>
        <v/>
      </c>
      <c r="E139" s="63" t="str">
        <f>IF($A139="","",COUNTIF('04_Componenti'!$B$4:$B$1000,$A139))</f>
        <v/>
      </c>
      <c r="F139" s="63" t="str">
        <f>IF($A139="","",COUNTIF('05_Descrizione'!$B$4:$B$1000,$A139))</f>
        <v/>
      </c>
      <c r="G139" s="63" t="str">
        <f>IF($A139="","",COUNTIF('06_Avanzamento'!$B$4:$B$1000,$A139))</f>
        <v/>
      </c>
      <c r="H139" s="63" t="str">
        <f>IF($A139="","",COUNTIF('07_TRL_TLR'!$B$4:$B$1000,$A139))</f>
        <v/>
      </c>
      <c r="I139" s="63" t="str">
        <f>IF($A139="","",COUNTIF('08_Costi_Compet'!$B$4:$B$1000,$A139))</f>
        <v/>
      </c>
      <c r="J139" s="63" t="str">
        <f>IF($A139="","",COUNTIF('09_Settori_Impatto'!$B$4:$B$1000,$A139))</f>
        <v/>
      </c>
      <c r="K139" s="63" t="str">
        <f>IF($A139="","",COUNTIF('16_Mercati_Riferimento'!$B$4:$B$1000,$A139))</f>
        <v/>
      </c>
      <c r="L139" s="22" t="str">
        <f>IF($A139="","",COUNTIF('10_Sostenibilita'!$B$4:$B$1000,$A139))</f>
        <v/>
      </c>
      <c r="M139" s="63" t="str">
        <f>IF($A139="","",COUNTIF('11_Best_Practice'!$B$4:$B$1000,$A139))</f>
        <v/>
      </c>
      <c r="N139" s="63" t="str">
        <f>IF($A139="","",COUNTIF('12_Policy_Regolazione'!$B$4:$B$1000,$A139))</f>
        <v/>
      </c>
      <c r="O139" s="63" t="str">
        <f>IF($A139="","",COUNTIF('13_Barriere_Opp'!$B$4:$B$1000,$A139))</f>
        <v/>
      </c>
      <c r="P139" s="63" t="str">
        <f>IF($A139="","",COUNTIF('14_Attori_Imprese'!$B$4:$B$1000,$A139))</f>
        <v/>
      </c>
      <c r="Q139" s="63" t="str">
        <f>IF($A139="","",COUNTIF('15_Prestazioni'!$B$4:$B$1000,$A139))</f>
        <v/>
      </c>
      <c r="R139" s="64" t="str">
        <f t="shared" si="8"/>
        <v/>
      </c>
      <c r="S139" s="65" t="str">
        <f>IF($A139="","",IFERROR(AVERAGEIF('07_TRL_TLR'!$B$4:$B$1000,$A139,'07_TRL_TLR'!$F$4:$F$1000),""))</f>
        <v/>
      </c>
      <c r="T139" s="63" t="str">
        <f t="shared" si="9"/>
        <v/>
      </c>
      <c r="U139" s="66" t="str">
        <f t="shared" si="10"/>
        <v/>
      </c>
      <c r="V139" s="66" t="str">
        <f t="shared" si="11"/>
        <v/>
      </c>
    </row>
    <row r="140" spans="1:22">
      <c r="A140" s="67" t="str">
        <f>IF('03_Tecnologie'!A140="","",'03_Tecnologie'!A140)</f>
        <v/>
      </c>
      <c r="B140" s="67" t="str">
        <f>IF($A140="","",'03_Tecnologie'!D140)</f>
        <v/>
      </c>
      <c r="C140" s="67" t="str">
        <f>IF($A140="","",'03_Tecnologie'!B140)</f>
        <v/>
      </c>
      <c r="D140" s="67" t="str">
        <f>IF($A140="","",'03_Tecnologie'!F140)</f>
        <v/>
      </c>
      <c r="E140" s="63" t="str">
        <f>IF($A140="","",COUNTIF('04_Componenti'!$B$4:$B$1000,$A140))</f>
        <v/>
      </c>
      <c r="F140" s="63" t="str">
        <f>IF($A140="","",COUNTIF('05_Descrizione'!$B$4:$B$1000,$A140))</f>
        <v/>
      </c>
      <c r="G140" s="63" t="str">
        <f>IF($A140="","",COUNTIF('06_Avanzamento'!$B$4:$B$1000,$A140))</f>
        <v/>
      </c>
      <c r="H140" s="63" t="str">
        <f>IF($A140="","",COUNTIF('07_TRL_TLR'!$B$4:$B$1000,$A140))</f>
        <v/>
      </c>
      <c r="I140" s="63" t="str">
        <f>IF($A140="","",COUNTIF('08_Costi_Compet'!$B$4:$B$1000,$A140))</f>
        <v/>
      </c>
      <c r="J140" s="63" t="str">
        <f>IF($A140="","",COUNTIF('09_Settori_Impatto'!$B$4:$B$1000,$A140))</f>
        <v/>
      </c>
      <c r="K140" s="63" t="str">
        <f>IF($A140="","",COUNTIF('16_Mercati_Riferimento'!$B$4:$B$1000,$A140))</f>
        <v/>
      </c>
      <c r="L140" s="22" t="str">
        <f>IF($A140="","",COUNTIF('10_Sostenibilita'!$B$4:$B$1000,$A140))</f>
        <v/>
      </c>
      <c r="M140" s="63" t="str">
        <f>IF($A140="","",COUNTIF('11_Best_Practice'!$B$4:$B$1000,$A140))</f>
        <v/>
      </c>
      <c r="N140" s="63" t="str">
        <f>IF($A140="","",COUNTIF('12_Policy_Regolazione'!$B$4:$B$1000,$A140))</f>
        <v/>
      </c>
      <c r="O140" s="63" t="str">
        <f>IF($A140="","",COUNTIF('13_Barriere_Opp'!$B$4:$B$1000,$A140))</f>
        <v/>
      </c>
      <c r="P140" s="63" t="str">
        <f>IF($A140="","",COUNTIF('14_Attori_Imprese'!$B$4:$B$1000,$A140))</f>
        <v/>
      </c>
      <c r="Q140" s="63" t="str">
        <f>IF($A140="","",COUNTIF('15_Prestazioni'!$B$4:$B$1000,$A140))</f>
        <v/>
      </c>
      <c r="R140" s="64" t="str">
        <f t="shared" si="8"/>
        <v/>
      </c>
      <c r="S140" s="65" t="str">
        <f>IF($A140="","",IFERROR(AVERAGEIF('07_TRL_TLR'!$B$4:$B$1000,$A140,'07_TRL_TLR'!$F$4:$F$1000),""))</f>
        <v/>
      </c>
      <c r="T140" s="63" t="str">
        <f t="shared" si="9"/>
        <v/>
      </c>
      <c r="U140" s="66" t="str">
        <f t="shared" si="10"/>
        <v/>
      </c>
      <c r="V140" s="66" t="str">
        <f t="shared" si="11"/>
        <v/>
      </c>
    </row>
    <row r="141" spans="1:22">
      <c r="A141" s="67" t="str">
        <f>IF('03_Tecnologie'!A141="","",'03_Tecnologie'!A141)</f>
        <v/>
      </c>
      <c r="B141" s="67" t="str">
        <f>IF($A141="","",'03_Tecnologie'!D141)</f>
        <v/>
      </c>
      <c r="C141" s="67" t="str">
        <f>IF($A141="","",'03_Tecnologie'!B141)</f>
        <v/>
      </c>
      <c r="D141" s="67" t="str">
        <f>IF($A141="","",'03_Tecnologie'!F141)</f>
        <v/>
      </c>
      <c r="E141" s="63" t="str">
        <f>IF($A141="","",COUNTIF('04_Componenti'!$B$4:$B$1000,$A141))</f>
        <v/>
      </c>
      <c r="F141" s="63" t="str">
        <f>IF($A141="","",COUNTIF('05_Descrizione'!$B$4:$B$1000,$A141))</f>
        <v/>
      </c>
      <c r="G141" s="63" t="str">
        <f>IF($A141="","",COUNTIF('06_Avanzamento'!$B$4:$B$1000,$A141))</f>
        <v/>
      </c>
      <c r="H141" s="63" t="str">
        <f>IF($A141="","",COUNTIF('07_TRL_TLR'!$B$4:$B$1000,$A141))</f>
        <v/>
      </c>
      <c r="I141" s="63" t="str">
        <f>IF($A141="","",COUNTIF('08_Costi_Compet'!$B$4:$B$1000,$A141))</f>
        <v/>
      </c>
      <c r="J141" s="63" t="str">
        <f>IF($A141="","",COUNTIF('09_Settori_Impatto'!$B$4:$B$1000,$A141))</f>
        <v/>
      </c>
      <c r="K141" s="63" t="str">
        <f>IF($A141="","",COUNTIF('16_Mercati_Riferimento'!$B$4:$B$1000,$A141))</f>
        <v/>
      </c>
      <c r="L141" s="22" t="str">
        <f>IF($A141="","",COUNTIF('10_Sostenibilita'!$B$4:$B$1000,$A141))</f>
        <v/>
      </c>
      <c r="M141" s="63" t="str">
        <f>IF($A141="","",COUNTIF('11_Best_Practice'!$B$4:$B$1000,$A141))</f>
        <v/>
      </c>
      <c r="N141" s="63" t="str">
        <f>IF($A141="","",COUNTIF('12_Policy_Regolazione'!$B$4:$B$1000,$A141))</f>
        <v/>
      </c>
      <c r="O141" s="63" t="str">
        <f>IF($A141="","",COUNTIF('13_Barriere_Opp'!$B$4:$B$1000,$A141))</f>
        <v/>
      </c>
      <c r="P141" s="63" t="str">
        <f>IF($A141="","",COUNTIF('14_Attori_Imprese'!$B$4:$B$1000,$A141))</f>
        <v/>
      </c>
      <c r="Q141" s="63" t="str">
        <f>IF($A141="","",COUNTIF('15_Prestazioni'!$B$4:$B$1000,$A141))</f>
        <v/>
      </c>
      <c r="R141" s="64" t="str">
        <f t="shared" si="8"/>
        <v/>
      </c>
      <c r="S141" s="65" t="str">
        <f>IF($A141="","",IFERROR(AVERAGEIF('07_TRL_TLR'!$B$4:$B$1000,$A141,'07_TRL_TLR'!$F$4:$F$1000),""))</f>
        <v/>
      </c>
      <c r="T141" s="63" t="str">
        <f t="shared" si="9"/>
        <v/>
      </c>
      <c r="U141" s="66" t="str">
        <f t="shared" si="10"/>
        <v/>
      </c>
      <c r="V141" s="66" t="str">
        <f t="shared" si="11"/>
        <v/>
      </c>
    </row>
    <row r="142" spans="1:22">
      <c r="A142" s="67" t="str">
        <f>IF('03_Tecnologie'!A142="","",'03_Tecnologie'!A142)</f>
        <v/>
      </c>
      <c r="B142" s="67" t="str">
        <f>IF($A142="","",'03_Tecnologie'!D142)</f>
        <v/>
      </c>
      <c r="C142" s="67" t="str">
        <f>IF($A142="","",'03_Tecnologie'!B142)</f>
        <v/>
      </c>
      <c r="D142" s="67" t="str">
        <f>IF($A142="","",'03_Tecnologie'!F142)</f>
        <v/>
      </c>
      <c r="E142" s="63" t="str">
        <f>IF($A142="","",COUNTIF('04_Componenti'!$B$4:$B$1000,$A142))</f>
        <v/>
      </c>
      <c r="F142" s="63" t="str">
        <f>IF($A142="","",COUNTIF('05_Descrizione'!$B$4:$B$1000,$A142))</f>
        <v/>
      </c>
      <c r="G142" s="63" t="str">
        <f>IF($A142="","",COUNTIF('06_Avanzamento'!$B$4:$B$1000,$A142))</f>
        <v/>
      </c>
      <c r="H142" s="63" t="str">
        <f>IF($A142="","",COUNTIF('07_TRL_TLR'!$B$4:$B$1000,$A142))</f>
        <v/>
      </c>
      <c r="I142" s="63" t="str">
        <f>IF($A142="","",COUNTIF('08_Costi_Compet'!$B$4:$B$1000,$A142))</f>
        <v/>
      </c>
      <c r="J142" s="63" t="str">
        <f>IF($A142="","",COUNTIF('09_Settori_Impatto'!$B$4:$B$1000,$A142))</f>
        <v/>
      </c>
      <c r="K142" s="63" t="str">
        <f>IF($A142="","",COUNTIF('16_Mercati_Riferimento'!$B$4:$B$1000,$A142))</f>
        <v/>
      </c>
      <c r="L142" s="22" t="str">
        <f>IF($A142="","",COUNTIF('10_Sostenibilita'!$B$4:$B$1000,$A142))</f>
        <v/>
      </c>
      <c r="M142" s="63" t="str">
        <f>IF($A142="","",COUNTIF('11_Best_Practice'!$B$4:$B$1000,$A142))</f>
        <v/>
      </c>
      <c r="N142" s="63" t="str">
        <f>IF($A142="","",COUNTIF('12_Policy_Regolazione'!$B$4:$B$1000,$A142))</f>
        <v/>
      </c>
      <c r="O142" s="63" t="str">
        <f>IF($A142="","",COUNTIF('13_Barriere_Opp'!$B$4:$B$1000,$A142))</f>
        <v/>
      </c>
      <c r="P142" s="63" t="str">
        <f>IF($A142="","",COUNTIF('14_Attori_Imprese'!$B$4:$B$1000,$A142))</f>
        <v/>
      </c>
      <c r="Q142" s="63" t="str">
        <f>IF($A142="","",COUNTIF('15_Prestazioni'!$B$4:$B$1000,$A142))</f>
        <v/>
      </c>
      <c r="R142" s="64" t="str">
        <f t="shared" si="8"/>
        <v/>
      </c>
      <c r="S142" s="65" t="str">
        <f>IF($A142="","",IFERROR(AVERAGEIF('07_TRL_TLR'!$B$4:$B$1000,$A142,'07_TRL_TLR'!$F$4:$F$1000),""))</f>
        <v/>
      </c>
      <c r="T142" s="63" t="str">
        <f t="shared" si="9"/>
        <v/>
      </c>
      <c r="U142" s="66" t="str">
        <f t="shared" si="10"/>
        <v/>
      </c>
      <c r="V142" s="66" t="str">
        <f t="shared" si="11"/>
        <v/>
      </c>
    </row>
    <row r="143" spans="1:22">
      <c r="A143" s="67" t="str">
        <f>IF('03_Tecnologie'!A143="","",'03_Tecnologie'!A143)</f>
        <v/>
      </c>
      <c r="B143" s="67" t="str">
        <f>IF($A143="","",'03_Tecnologie'!D143)</f>
        <v/>
      </c>
      <c r="C143" s="67" t="str">
        <f>IF($A143="","",'03_Tecnologie'!B143)</f>
        <v/>
      </c>
      <c r="D143" s="67" t="str">
        <f>IF($A143="","",'03_Tecnologie'!F143)</f>
        <v/>
      </c>
      <c r="E143" s="63" t="str">
        <f>IF($A143="","",COUNTIF('04_Componenti'!$B$4:$B$1000,$A143))</f>
        <v/>
      </c>
      <c r="F143" s="63" t="str">
        <f>IF($A143="","",COUNTIF('05_Descrizione'!$B$4:$B$1000,$A143))</f>
        <v/>
      </c>
      <c r="G143" s="63" t="str">
        <f>IF($A143="","",COUNTIF('06_Avanzamento'!$B$4:$B$1000,$A143))</f>
        <v/>
      </c>
      <c r="H143" s="63" t="str">
        <f>IF($A143="","",COUNTIF('07_TRL_TLR'!$B$4:$B$1000,$A143))</f>
        <v/>
      </c>
      <c r="I143" s="63" t="str">
        <f>IF($A143="","",COUNTIF('08_Costi_Compet'!$B$4:$B$1000,$A143))</f>
        <v/>
      </c>
      <c r="J143" s="63" t="str">
        <f>IF($A143="","",COUNTIF('09_Settori_Impatto'!$B$4:$B$1000,$A143))</f>
        <v/>
      </c>
      <c r="K143" s="63" t="str">
        <f>IF($A143="","",COUNTIF('16_Mercati_Riferimento'!$B$4:$B$1000,$A143))</f>
        <v/>
      </c>
      <c r="L143" s="22" t="str">
        <f>IF($A143="","",COUNTIF('10_Sostenibilita'!$B$4:$B$1000,$A143))</f>
        <v/>
      </c>
      <c r="M143" s="63" t="str">
        <f>IF($A143="","",COUNTIF('11_Best_Practice'!$B$4:$B$1000,$A143))</f>
        <v/>
      </c>
      <c r="N143" s="63" t="str">
        <f>IF($A143="","",COUNTIF('12_Policy_Regolazione'!$B$4:$B$1000,$A143))</f>
        <v/>
      </c>
      <c r="O143" s="63" t="str">
        <f>IF($A143="","",COUNTIF('13_Barriere_Opp'!$B$4:$B$1000,$A143))</f>
        <v/>
      </c>
      <c r="P143" s="63" t="str">
        <f>IF($A143="","",COUNTIF('14_Attori_Imprese'!$B$4:$B$1000,$A143))</f>
        <v/>
      </c>
      <c r="Q143" s="63" t="str">
        <f>IF($A143="","",COUNTIF('15_Prestazioni'!$B$4:$B$1000,$A143))</f>
        <v/>
      </c>
      <c r="R143" s="64" t="str">
        <f t="shared" si="8"/>
        <v/>
      </c>
      <c r="S143" s="65" t="str">
        <f>IF($A143="","",IFERROR(AVERAGEIF('07_TRL_TLR'!$B$4:$B$1000,$A143,'07_TRL_TLR'!$F$4:$F$1000),""))</f>
        <v/>
      </c>
      <c r="T143" s="63" t="str">
        <f t="shared" si="9"/>
        <v/>
      </c>
      <c r="U143" s="66" t="str">
        <f t="shared" si="10"/>
        <v/>
      </c>
      <c r="V143" s="66" t="str">
        <f t="shared" si="11"/>
        <v/>
      </c>
    </row>
    <row r="144" spans="1:22">
      <c r="A144" s="67" t="str">
        <f>IF('03_Tecnologie'!A144="","",'03_Tecnologie'!A144)</f>
        <v/>
      </c>
      <c r="B144" s="67" t="str">
        <f>IF($A144="","",'03_Tecnologie'!D144)</f>
        <v/>
      </c>
      <c r="C144" s="67" t="str">
        <f>IF($A144="","",'03_Tecnologie'!B144)</f>
        <v/>
      </c>
      <c r="D144" s="67" t="str">
        <f>IF($A144="","",'03_Tecnologie'!F144)</f>
        <v/>
      </c>
      <c r="E144" s="63" t="str">
        <f>IF($A144="","",COUNTIF('04_Componenti'!$B$4:$B$1000,$A144))</f>
        <v/>
      </c>
      <c r="F144" s="63" t="str">
        <f>IF($A144="","",COUNTIF('05_Descrizione'!$B$4:$B$1000,$A144))</f>
        <v/>
      </c>
      <c r="G144" s="63" t="str">
        <f>IF($A144="","",COUNTIF('06_Avanzamento'!$B$4:$B$1000,$A144))</f>
        <v/>
      </c>
      <c r="H144" s="63" t="str">
        <f>IF($A144="","",COUNTIF('07_TRL_TLR'!$B$4:$B$1000,$A144))</f>
        <v/>
      </c>
      <c r="I144" s="63" t="str">
        <f>IF($A144="","",COUNTIF('08_Costi_Compet'!$B$4:$B$1000,$A144))</f>
        <v/>
      </c>
      <c r="J144" s="63" t="str">
        <f>IF($A144="","",COUNTIF('09_Settori_Impatto'!$B$4:$B$1000,$A144))</f>
        <v/>
      </c>
      <c r="K144" s="63" t="str">
        <f>IF($A144="","",COUNTIF('16_Mercati_Riferimento'!$B$4:$B$1000,$A144))</f>
        <v/>
      </c>
      <c r="L144" s="22" t="str">
        <f>IF($A144="","",COUNTIF('10_Sostenibilita'!$B$4:$B$1000,$A144))</f>
        <v/>
      </c>
      <c r="M144" s="63" t="str">
        <f>IF($A144="","",COUNTIF('11_Best_Practice'!$B$4:$B$1000,$A144))</f>
        <v/>
      </c>
      <c r="N144" s="63" t="str">
        <f>IF($A144="","",COUNTIF('12_Policy_Regolazione'!$B$4:$B$1000,$A144))</f>
        <v/>
      </c>
      <c r="O144" s="63" t="str">
        <f>IF($A144="","",COUNTIF('13_Barriere_Opp'!$B$4:$B$1000,$A144))</f>
        <v/>
      </c>
      <c r="P144" s="63" t="str">
        <f>IF($A144="","",COUNTIF('14_Attori_Imprese'!$B$4:$B$1000,$A144))</f>
        <v/>
      </c>
      <c r="Q144" s="63" t="str">
        <f>IF($A144="","",COUNTIF('15_Prestazioni'!$B$4:$B$1000,$A144))</f>
        <v/>
      </c>
      <c r="R144" s="64" t="str">
        <f t="shared" si="8"/>
        <v/>
      </c>
      <c r="S144" s="65" t="str">
        <f>IF($A144="","",IFERROR(AVERAGEIF('07_TRL_TLR'!$B$4:$B$1000,$A144,'07_TRL_TLR'!$F$4:$F$1000),""))</f>
        <v/>
      </c>
      <c r="T144" s="63" t="str">
        <f t="shared" si="9"/>
        <v/>
      </c>
      <c r="U144" s="66" t="str">
        <f t="shared" si="10"/>
        <v/>
      </c>
      <c r="V144" s="66" t="str">
        <f t="shared" si="11"/>
        <v/>
      </c>
    </row>
    <row r="145" spans="1:22">
      <c r="A145" s="67" t="str">
        <f>IF('03_Tecnologie'!A145="","",'03_Tecnologie'!A145)</f>
        <v/>
      </c>
      <c r="B145" s="67" t="str">
        <f>IF($A145="","",'03_Tecnologie'!D145)</f>
        <v/>
      </c>
      <c r="C145" s="67" t="str">
        <f>IF($A145="","",'03_Tecnologie'!B145)</f>
        <v/>
      </c>
      <c r="D145" s="67" t="str">
        <f>IF($A145="","",'03_Tecnologie'!F145)</f>
        <v/>
      </c>
      <c r="E145" s="63" t="str">
        <f>IF($A145="","",COUNTIF('04_Componenti'!$B$4:$B$1000,$A145))</f>
        <v/>
      </c>
      <c r="F145" s="63" t="str">
        <f>IF($A145="","",COUNTIF('05_Descrizione'!$B$4:$B$1000,$A145))</f>
        <v/>
      </c>
      <c r="G145" s="63" t="str">
        <f>IF($A145="","",COUNTIF('06_Avanzamento'!$B$4:$B$1000,$A145))</f>
        <v/>
      </c>
      <c r="H145" s="63" t="str">
        <f>IF($A145="","",COUNTIF('07_TRL_TLR'!$B$4:$B$1000,$A145))</f>
        <v/>
      </c>
      <c r="I145" s="63" t="str">
        <f>IF($A145="","",COUNTIF('08_Costi_Compet'!$B$4:$B$1000,$A145))</f>
        <v/>
      </c>
      <c r="J145" s="63" t="str">
        <f>IF($A145="","",COUNTIF('09_Settori_Impatto'!$B$4:$B$1000,$A145))</f>
        <v/>
      </c>
      <c r="K145" s="63" t="str">
        <f>IF($A145="","",COUNTIF('16_Mercati_Riferimento'!$B$4:$B$1000,$A145))</f>
        <v/>
      </c>
      <c r="L145" s="22" t="str">
        <f>IF($A145="","",COUNTIF('10_Sostenibilita'!$B$4:$B$1000,$A145))</f>
        <v/>
      </c>
      <c r="M145" s="63" t="str">
        <f>IF($A145="","",COUNTIF('11_Best_Practice'!$B$4:$B$1000,$A145))</f>
        <v/>
      </c>
      <c r="N145" s="63" t="str">
        <f>IF($A145="","",COUNTIF('12_Policy_Regolazione'!$B$4:$B$1000,$A145))</f>
        <v/>
      </c>
      <c r="O145" s="63" t="str">
        <f>IF($A145="","",COUNTIF('13_Barriere_Opp'!$B$4:$B$1000,$A145))</f>
        <v/>
      </c>
      <c r="P145" s="63" t="str">
        <f>IF($A145="","",COUNTIF('14_Attori_Imprese'!$B$4:$B$1000,$A145))</f>
        <v/>
      </c>
      <c r="Q145" s="63" t="str">
        <f>IF($A145="","",COUNTIF('15_Prestazioni'!$B$4:$B$1000,$A145))</f>
        <v/>
      </c>
      <c r="R145" s="64" t="str">
        <f t="shared" si="8"/>
        <v/>
      </c>
      <c r="S145" s="65" t="str">
        <f>IF($A145="","",IFERROR(AVERAGEIF('07_TRL_TLR'!$B$4:$B$1000,$A145,'07_TRL_TLR'!$F$4:$F$1000),""))</f>
        <v/>
      </c>
      <c r="T145" s="63" t="str">
        <f t="shared" si="9"/>
        <v/>
      </c>
      <c r="U145" s="66" t="str">
        <f t="shared" si="10"/>
        <v/>
      </c>
      <c r="V145" s="66" t="str">
        <f t="shared" si="11"/>
        <v/>
      </c>
    </row>
    <row r="146" spans="1:22">
      <c r="A146" s="67" t="str">
        <f>IF('03_Tecnologie'!A146="","",'03_Tecnologie'!A146)</f>
        <v/>
      </c>
      <c r="B146" s="67" t="str">
        <f>IF($A146="","",'03_Tecnologie'!D146)</f>
        <v/>
      </c>
      <c r="C146" s="67" t="str">
        <f>IF($A146="","",'03_Tecnologie'!B146)</f>
        <v/>
      </c>
      <c r="D146" s="67" t="str">
        <f>IF($A146="","",'03_Tecnologie'!F146)</f>
        <v/>
      </c>
      <c r="E146" s="63" t="str">
        <f>IF($A146="","",COUNTIF('04_Componenti'!$B$4:$B$1000,$A146))</f>
        <v/>
      </c>
      <c r="F146" s="63" t="str">
        <f>IF($A146="","",COUNTIF('05_Descrizione'!$B$4:$B$1000,$A146))</f>
        <v/>
      </c>
      <c r="G146" s="63" t="str">
        <f>IF($A146="","",COUNTIF('06_Avanzamento'!$B$4:$B$1000,$A146))</f>
        <v/>
      </c>
      <c r="H146" s="63" t="str">
        <f>IF($A146="","",COUNTIF('07_TRL_TLR'!$B$4:$B$1000,$A146))</f>
        <v/>
      </c>
      <c r="I146" s="63" t="str">
        <f>IF($A146="","",COUNTIF('08_Costi_Compet'!$B$4:$B$1000,$A146))</f>
        <v/>
      </c>
      <c r="J146" s="63" t="str">
        <f>IF($A146="","",COUNTIF('09_Settori_Impatto'!$B$4:$B$1000,$A146))</f>
        <v/>
      </c>
      <c r="K146" s="63" t="str">
        <f>IF($A146="","",COUNTIF('16_Mercati_Riferimento'!$B$4:$B$1000,$A146))</f>
        <v/>
      </c>
      <c r="L146" s="22" t="str">
        <f>IF($A146="","",COUNTIF('10_Sostenibilita'!$B$4:$B$1000,$A146))</f>
        <v/>
      </c>
      <c r="M146" s="63" t="str">
        <f>IF($A146="","",COUNTIF('11_Best_Practice'!$B$4:$B$1000,$A146))</f>
        <v/>
      </c>
      <c r="N146" s="63" t="str">
        <f>IF($A146="","",COUNTIF('12_Policy_Regolazione'!$B$4:$B$1000,$A146))</f>
        <v/>
      </c>
      <c r="O146" s="63" t="str">
        <f>IF($A146="","",COUNTIF('13_Barriere_Opp'!$B$4:$B$1000,$A146))</f>
        <v/>
      </c>
      <c r="P146" s="63" t="str">
        <f>IF($A146="","",COUNTIF('14_Attori_Imprese'!$B$4:$B$1000,$A146))</f>
        <v/>
      </c>
      <c r="Q146" s="63" t="str">
        <f>IF($A146="","",COUNTIF('15_Prestazioni'!$B$4:$B$1000,$A146))</f>
        <v/>
      </c>
      <c r="R146" s="64" t="str">
        <f t="shared" si="8"/>
        <v/>
      </c>
      <c r="S146" s="65" t="str">
        <f>IF($A146="","",IFERROR(AVERAGEIF('07_TRL_TLR'!$B$4:$B$1000,$A146,'07_TRL_TLR'!$F$4:$F$1000),""))</f>
        <v/>
      </c>
      <c r="T146" s="63" t="str">
        <f t="shared" si="9"/>
        <v/>
      </c>
      <c r="U146" s="66" t="str">
        <f t="shared" si="10"/>
        <v/>
      </c>
      <c r="V146" s="66" t="str">
        <f t="shared" si="11"/>
        <v/>
      </c>
    </row>
    <row r="147" spans="1:22">
      <c r="A147" s="67" t="str">
        <f>IF('03_Tecnologie'!A147="","",'03_Tecnologie'!A147)</f>
        <v/>
      </c>
      <c r="B147" s="67" t="str">
        <f>IF($A147="","",'03_Tecnologie'!D147)</f>
        <v/>
      </c>
      <c r="C147" s="67" t="str">
        <f>IF($A147="","",'03_Tecnologie'!B147)</f>
        <v/>
      </c>
      <c r="D147" s="67" t="str">
        <f>IF($A147="","",'03_Tecnologie'!F147)</f>
        <v/>
      </c>
      <c r="E147" s="63" t="str">
        <f>IF($A147="","",COUNTIF('04_Componenti'!$B$4:$B$1000,$A147))</f>
        <v/>
      </c>
      <c r="F147" s="63" t="str">
        <f>IF($A147="","",COUNTIF('05_Descrizione'!$B$4:$B$1000,$A147))</f>
        <v/>
      </c>
      <c r="G147" s="63" t="str">
        <f>IF($A147="","",COUNTIF('06_Avanzamento'!$B$4:$B$1000,$A147))</f>
        <v/>
      </c>
      <c r="H147" s="63" t="str">
        <f>IF($A147="","",COUNTIF('07_TRL_TLR'!$B$4:$B$1000,$A147))</f>
        <v/>
      </c>
      <c r="I147" s="63" t="str">
        <f>IF($A147="","",COUNTIF('08_Costi_Compet'!$B$4:$B$1000,$A147))</f>
        <v/>
      </c>
      <c r="J147" s="63" t="str">
        <f>IF($A147="","",COUNTIF('09_Settori_Impatto'!$B$4:$B$1000,$A147))</f>
        <v/>
      </c>
      <c r="K147" s="63" t="str">
        <f>IF($A147="","",COUNTIF('16_Mercati_Riferimento'!$B$4:$B$1000,$A147))</f>
        <v/>
      </c>
      <c r="L147" s="22" t="str">
        <f>IF($A147="","",COUNTIF('10_Sostenibilita'!$B$4:$B$1000,$A147))</f>
        <v/>
      </c>
      <c r="M147" s="63" t="str">
        <f>IF($A147="","",COUNTIF('11_Best_Practice'!$B$4:$B$1000,$A147))</f>
        <v/>
      </c>
      <c r="N147" s="63" t="str">
        <f>IF($A147="","",COUNTIF('12_Policy_Regolazione'!$B$4:$B$1000,$A147))</f>
        <v/>
      </c>
      <c r="O147" s="63" t="str">
        <f>IF($A147="","",COUNTIF('13_Barriere_Opp'!$B$4:$B$1000,$A147))</f>
        <v/>
      </c>
      <c r="P147" s="63" t="str">
        <f>IF($A147="","",COUNTIF('14_Attori_Imprese'!$B$4:$B$1000,$A147))</f>
        <v/>
      </c>
      <c r="Q147" s="63" t="str">
        <f>IF($A147="","",COUNTIF('15_Prestazioni'!$B$4:$B$1000,$A147))</f>
        <v/>
      </c>
      <c r="R147" s="64" t="str">
        <f t="shared" si="8"/>
        <v/>
      </c>
      <c r="S147" s="65" t="str">
        <f>IF($A147="","",IFERROR(AVERAGEIF('07_TRL_TLR'!$B$4:$B$1000,$A147,'07_TRL_TLR'!$F$4:$F$1000),""))</f>
        <v/>
      </c>
      <c r="T147" s="63" t="str">
        <f t="shared" si="9"/>
        <v/>
      </c>
      <c r="U147" s="66" t="str">
        <f t="shared" si="10"/>
        <v/>
      </c>
      <c r="V147" s="66" t="str">
        <f t="shared" si="11"/>
        <v/>
      </c>
    </row>
    <row r="148" spans="1:22">
      <c r="A148" s="67" t="str">
        <f>IF('03_Tecnologie'!A148="","",'03_Tecnologie'!A148)</f>
        <v/>
      </c>
      <c r="B148" s="67" t="str">
        <f>IF($A148="","",'03_Tecnologie'!D148)</f>
        <v/>
      </c>
      <c r="C148" s="67" t="str">
        <f>IF($A148="","",'03_Tecnologie'!B148)</f>
        <v/>
      </c>
      <c r="D148" s="67" t="str">
        <f>IF($A148="","",'03_Tecnologie'!F148)</f>
        <v/>
      </c>
      <c r="E148" s="63" t="str">
        <f>IF($A148="","",COUNTIF('04_Componenti'!$B$4:$B$1000,$A148))</f>
        <v/>
      </c>
      <c r="F148" s="63" t="str">
        <f>IF($A148="","",COUNTIF('05_Descrizione'!$B$4:$B$1000,$A148))</f>
        <v/>
      </c>
      <c r="G148" s="63" t="str">
        <f>IF($A148="","",COUNTIF('06_Avanzamento'!$B$4:$B$1000,$A148))</f>
        <v/>
      </c>
      <c r="H148" s="63" t="str">
        <f>IF($A148="","",COUNTIF('07_TRL_TLR'!$B$4:$B$1000,$A148))</f>
        <v/>
      </c>
      <c r="I148" s="63" t="str">
        <f>IF($A148="","",COUNTIF('08_Costi_Compet'!$B$4:$B$1000,$A148))</f>
        <v/>
      </c>
      <c r="J148" s="63" t="str">
        <f>IF($A148="","",COUNTIF('09_Settori_Impatto'!$B$4:$B$1000,$A148))</f>
        <v/>
      </c>
      <c r="K148" s="63" t="str">
        <f>IF($A148="","",COUNTIF('16_Mercati_Riferimento'!$B$4:$B$1000,$A148))</f>
        <v/>
      </c>
      <c r="L148" s="22" t="str">
        <f>IF($A148="","",COUNTIF('10_Sostenibilita'!$B$4:$B$1000,$A148))</f>
        <v/>
      </c>
      <c r="M148" s="63" t="str">
        <f>IF($A148="","",COUNTIF('11_Best_Practice'!$B$4:$B$1000,$A148))</f>
        <v/>
      </c>
      <c r="N148" s="63" t="str">
        <f>IF($A148="","",COUNTIF('12_Policy_Regolazione'!$B$4:$B$1000,$A148))</f>
        <v/>
      </c>
      <c r="O148" s="63" t="str">
        <f>IF($A148="","",COUNTIF('13_Barriere_Opp'!$B$4:$B$1000,$A148))</f>
        <v/>
      </c>
      <c r="P148" s="63" t="str">
        <f>IF($A148="","",COUNTIF('14_Attori_Imprese'!$B$4:$B$1000,$A148))</f>
        <v/>
      </c>
      <c r="Q148" s="63" t="str">
        <f>IF($A148="","",COUNTIF('15_Prestazioni'!$B$4:$B$1000,$A148))</f>
        <v/>
      </c>
      <c r="R148" s="64" t="str">
        <f t="shared" si="8"/>
        <v/>
      </c>
      <c r="S148" s="65" t="str">
        <f>IF($A148="","",IFERROR(AVERAGEIF('07_TRL_TLR'!$B$4:$B$1000,$A148,'07_TRL_TLR'!$F$4:$F$1000),""))</f>
        <v/>
      </c>
      <c r="T148" s="63" t="str">
        <f t="shared" si="9"/>
        <v/>
      </c>
      <c r="U148" s="66" t="str">
        <f t="shared" si="10"/>
        <v/>
      </c>
      <c r="V148" s="66" t="str">
        <f t="shared" si="11"/>
        <v/>
      </c>
    </row>
    <row r="149" spans="1:22">
      <c r="A149" s="67" t="str">
        <f>IF('03_Tecnologie'!A149="","",'03_Tecnologie'!A149)</f>
        <v/>
      </c>
      <c r="B149" s="67" t="str">
        <f>IF($A149="","",'03_Tecnologie'!D149)</f>
        <v/>
      </c>
      <c r="C149" s="67" t="str">
        <f>IF($A149="","",'03_Tecnologie'!B149)</f>
        <v/>
      </c>
      <c r="D149" s="67" t="str">
        <f>IF($A149="","",'03_Tecnologie'!F149)</f>
        <v/>
      </c>
      <c r="E149" s="63" t="str">
        <f>IF($A149="","",COUNTIF('04_Componenti'!$B$4:$B$1000,$A149))</f>
        <v/>
      </c>
      <c r="F149" s="63" t="str">
        <f>IF($A149="","",COUNTIF('05_Descrizione'!$B$4:$B$1000,$A149))</f>
        <v/>
      </c>
      <c r="G149" s="63" t="str">
        <f>IF($A149="","",COUNTIF('06_Avanzamento'!$B$4:$B$1000,$A149))</f>
        <v/>
      </c>
      <c r="H149" s="63" t="str">
        <f>IF($A149="","",COUNTIF('07_TRL_TLR'!$B$4:$B$1000,$A149))</f>
        <v/>
      </c>
      <c r="I149" s="63" t="str">
        <f>IF($A149="","",COUNTIF('08_Costi_Compet'!$B$4:$B$1000,$A149))</f>
        <v/>
      </c>
      <c r="J149" s="63" t="str">
        <f>IF($A149="","",COUNTIF('09_Settori_Impatto'!$B$4:$B$1000,$A149))</f>
        <v/>
      </c>
      <c r="K149" s="63" t="str">
        <f>IF($A149="","",COUNTIF('16_Mercati_Riferimento'!$B$4:$B$1000,$A149))</f>
        <v/>
      </c>
      <c r="L149" s="22" t="str">
        <f>IF($A149="","",COUNTIF('10_Sostenibilita'!$B$4:$B$1000,$A149))</f>
        <v/>
      </c>
      <c r="M149" s="63" t="str">
        <f>IF($A149="","",COUNTIF('11_Best_Practice'!$B$4:$B$1000,$A149))</f>
        <v/>
      </c>
      <c r="N149" s="63" t="str">
        <f>IF($A149="","",COUNTIF('12_Policy_Regolazione'!$B$4:$B$1000,$A149))</f>
        <v/>
      </c>
      <c r="O149" s="63" t="str">
        <f>IF($A149="","",COUNTIF('13_Barriere_Opp'!$B$4:$B$1000,$A149))</f>
        <v/>
      </c>
      <c r="P149" s="63" t="str">
        <f>IF($A149="","",COUNTIF('14_Attori_Imprese'!$B$4:$B$1000,$A149))</f>
        <v/>
      </c>
      <c r="Q149" s="63" t="str">
        <f>IF($A149="","",COUNTIF('15_Prestazioni'!$B$4:$B$1000,$A149))</f>
        <v/>
      </c>
      <c r="R149" s="64" t="str">
        <f t="shared" si="8"/>
        <v/>
      </c>
      <c r="S149" s="65" t="str">
        <f>IF($A149="","",IFERROR(AVERAGEIF('07_TRL_TLR'!$B$4:$B$1000,$A149,'07_TRL_TLR'!$F$4:$F$1000),""))</f>
        <v/>
      </c>
      <c r="T149" s="63" t="str">
        <f t="shared" si="9"/>
        <v/>
      </c>
      <c r="U149" s="66" t="str">
        <f t="shared" si="10"/>
        <v/>
      </c>
      <c r="V149" s="66" t="str">
        <f t="shared" si="11"/>
        <v/>
      </c>
    </row>
    <row r="150" spans="1:22">
      <c r="A150" s="67" t="str">
        <f>IF('03_Tecnologie'!A150="","",'03_Tecnologie'!A150)</f>
        <v/>
      </c>
      <c r="B150" s="67" t="str">
        <f>IF($A150="","",'03_Tecnologie'!D150)</f>
        <v/>
      </c>
      <c r="C150" s="67" t="str">
        <f>IF($A150="","",'03_Tecnologie'!B150)</f>
        <v/>
      </c>
      <c r="D150" s="67" t="str">
        <f>IF($A150="","",'03_Tecnologie'!F150)</f>
        <v/>
      </c>
      <c r="E150" s="63" t="str">
        <f>IF($A150="","",COUNTIF('04_Componenti'!$B$4:$B$1000,$A150))</f>
        <v/>
      </c>
      <c r="F150" s="63" t="str">
        <f>IF($A150="","",COUNTIF('05_Descrizione'!$B$4:$B$1000,$A150))</f>
        <v/>
      </c>
      <c r="G150" s="63" t="str">
        <f>IF($A150="","",COUNTIF('06_Avanzamento'!$B$4:$B$1000,$A150))</f>
        <v/>
      </c>
      <c r="H150" s="63" t="str">
        <f>IF($A150="","",COUNTIF('07_TRL_TLR'!$B$4:$B$1000,$A150))</f>
        <v/>
      </c>
      <c r="I150" s="63" t="str">
        <f>IF($A150="","",COUNTIF('08_Costi_Compet'!$B$4:$B$1000,$A150))</f>
        <v/>
      </c>
      <c r="J150" s="63" t="str">
        <f>IF($A150="","",COUNTIF('09_Settori_Impatto'!$B$4:$B$1000,$A150))</f>
        <v/>
      </c>
      <c r="K150" s="63" t="str">
        <f>IF($A150="","",COUNTIF('16_Mercati_Riferimento'!$B$4:$B$1000,$A150))</f>
        <v/>
      </c>
      <c r="L150" s="22" t="str">
        <f>IF($A150="","",COUNTIF('10_Sostenibilita'!$B$4:$B$1000,$A150))</f>
        <v/>
      </c>
      <c r="M150" s="63" t="str">
        <f>IF($A150="","",COUNTIF('11_Best_Practice'!$B$4:$B$1000,$A150))</f>
        <v/>
      </c>
      <c r="N150" s="63" t="str">
        <f>IF($A150="","",COUNTIF('12_Policy_Regolazione'!$B$4:$B$1000,$A150))</f>
        <v/>
      </c>
      <c r="O150" s="63" t="str">
        <f>IF($A150="","",COUNTIF('13_Barriere_Opp'!$B$4:$B$1000,$A150))</f>
        <v/>
      </c>
      <c r="P150" s="63" t="str">
        <f>IF($A150="","",COUNTIF('14_Attori_Imprese'!$B$4:$B$1000,$A150))</f>
        <v/>
      </c>
      <c r="Q150" s="63" t="str">
        <f>IF($A150="","",COUNTIF('15_Prestazioni'!$B$4:$B$1000,$A150))</f>
        <v/>
      </c>
      <c r="R150" s="64" t="str">
        <f t="shared" si="8"/>
        <v/>
      </c>
      <c r="S150" s="65" t="str">
        <f>IF($A150="","",IFERROR(AVERAGEIF('07_TRL_TLR'!$B$4:$B$1000,$A150,'07_TRL_TLR'!$F$4:$F$1000),""))</f>
        <v/>
      </c>
      <c r="T150" s="63" t="str">
        <f t="shared" si="9"/>
        <v/>
      </c>
      <c r="U150" s="66" t="str">
        <f t="shared" si="10"/>
        <v/>
      </c>
      <c r="V150" s="66" t="str">
        <f t="shared" si="11"/>
        <v/>
      </c>
    </row>
    <row r="151" spans="1:22">
      <c r="A151" s="67" t="str">
        <f>IF('03_Tecnologie'!A151="","",'03_Tecnologie'!A151)</f>
        <v/>
      </c>
      <c r="B151" s="67" t="str">
        <f>IF($A151="","",'03_Tecnologie'!D151)</f>
        <v/>
      </c>
      <c r="C151" s="67" t="str">
        <f>IF($A151="","",'03_Tecnologie'!B151)</f>
        <v/>
      </c>
      <c r="D151" s="67" t="str">
        <f>IF($A151="","",'03_Tecnologie'!F151)</f>
        <v/>
      </c>
      <c r="E151" s="63" t="str">
        <f>IF($A151="","",COUNTIF('04_Componenti'!$B$4:$B$1000,$A151))</f>
        <v/>
      </c>
      <c r="F151" s="63" t="str">
        <f>IF($A151="","",COUNTIF('05_Descrizione'!$B$4:$B$1000,$A151))</f>
        <v/>
      </c>
      <c r="G151" s="63" t="str">
        <f>IF($A151="","",COUNTIF('06_Avanzamento'!$B$4:$B$1000,$A151))</f>
        <v/>
      </c>
      <c r="H151" s="63" t="str">
        <f>IF($A151="","",COUNTIF('07_TRL_TLR'!$B$4:$B$1000,$A151))</f>
        <v/>
      </c>
      <c r="I151" s="63" t="str">
        <f>IF($A151="","",COUNTIF('08_Costi_Compet'!$B$4:$B$1000,$A151))</f>
        <v/>
      </c>
      <c r="J151" s="63" t="str">
        <f>IF($A151="","",COUNTIF('09_Settori_Impatto'!$B$4:$B$1000,$A151))</f>
        <v/>
      </c>
      <c r="K151" s="63" t="str">
        <f>IF($A151="","",COUNTIF('16_Mercati_Riferimento'!$B$4:$B$1000,$A151))</f>
        <v/>
      </c>
      <c r="L151" s="22" t="str">
        <f>IF($A151="","",COUNTIF('10_Sostenibilita'!$B$4:$B$1000,$A151))</f>
        <v/>
      </c>
      <c r="M151" s="63" t="str">
        <f>IF($A151="","",COUNTIF('11_Best_Practice'!$B$4:$B$1000,$A151))</f>
        <v/>
      </c>
      <c r="N151" s="63" t="str">
        <f>IF($A151="","",COUNTIF('12_Policy_Regolazione'!$B$4:$B$1000,$A151))</f>
        <v/>
      </c>
      <c r="O151" s="63" t="str">
        <f>IF($A151="","",COUNTIF('13_Barriere_Opp'!$B$4:$B$1000,$A151))</f>
        <v/>
      </c>
      <c r="P151" s="63" t="str">
        <f>IF($A151="","",COUNTIF('14_Attori_Imprese'!$B$4:$B$1000,$A151))</f>
        <v/>
      </c>
      <c r="Q151" s="63" t="str">
        <f>IF($A151="","",COUNTIF('15_Prestazioni'!$B$4:$B$1000,$A151))</f>
        <v/>
      </c>
      <c r="R151" s="64" t="str">
        <f t="shared" si="8"/>
        <v/>
      </c>
      <c r="S151" s="65" t="str">
        <f>IF($A151="","",IFERROR(AVERAGEIF('07_TRL_TLR'!$B$4:$B$1000,$A151,'07_TRL_TLR'!$F$4:$F$1000),""))</f>
        <v/>
      </c>
      <c r="T151" s="63" t="str">
        <f t="shared" si="9"/>
        <v/>
      </c>
      <c r="U151" s="66" t="str">
        <f t="shared" si="10"/>
        <v/>
      </c>
      <c r="V151" s="66" t="str">
        <f t="shared" si="11"/>
        <v/>
      </c>
    </row>
    <row r="152" spans="1:22">
      <c r="A152" s="67" t="str">
        <f>IF('03_Tecnologie'!A152="","",'03_Tecnologie'!A152)</f>
        <v/>
      </c>
      <c r="B152" s="67" t="str">
        <f>IF($A152="","",'03_Tecnologie'!D152)</f>
        <v/>
      </c>
      <c r="C152" s="67" t="str">
        <f>IF($A152="","",'03_Tecnologie'!B152)</f>
        <v/>
      </c>
      <c r="D152" s="67" t="str">
        <f>IF($A152="","",'03_Tecnologie'!F152)</f>
        <v/>
      </c>
      <c r="E152" s="63" t="str">
        <f>IF($A152="","",COUNTIF('04_Componenti'!$B$4:$B$1000,$A152))</f>
        <v/>
      </c>
      <c r="F152" s="63" t="str">
        <f>IF($A152="","",COUNTIF('05_Descrizione'!$B$4:$B$1000,$A152))</f>
        <v/>
      </c>
      <c r="G152" s="63" t="str">
        <f>IF($A152="","",COUNTIF('06_Avanzamento'!$B$4:$B$1000,$A152))</f>
        <v/>
      </c>
      <c r="H152" s="63" t="str">
        <f>IF($A152="","",COUNTIF('07_TRL_TLR'!$B$4:$B$1000,$A152))</f>
        <v/>
      </c>
      <c r="I152" s="63" t="str">
        <f>IF($A152="","",COUNTIF('08_Costi_Compet'!$B$4:$B$1000,$A152))</f>
        <v/>
      </c>
      <c r="J152" s="63" t="str">
        <f>IF($A152="","",COUNTIF('09_Settori_Impatto'!$B$4:$B$1000,$A152))</f>
        <v/>
      </c>
      <c r="K152" s="63" t="str">
        <f>IF($A152="","",COUNTIF('16_Mercati_Riferimento'!$B$4:$B$1000,$A152))</f>
        <v/>
      </c>
      <c r="L152" s="22" t="str">
        <f>IF($A152="","",COUNTIF('10_Sostenibilita'!$B$4:$B$1000,$A152))</f>
        <v/>
      </c>
      <c r="M152" s="63" t="str">
        <f>IF($A152="","",COUNTIF('11_Best_Practice'!$B$4:$B$1000,$A152))</f>
        <v/>
      </c>
      <c r="N152" s="63" t="str">
        <f>IF($A152="","",COUNTIF('12_Policy_Regolazione'!$B$4:$B$1000,$A152))</f>
        <v/>
      </c>
      <c r="O152" s="63" t="str">
        <f>IF($A152="","",COUNTIF('13_Barriere_Opp'!$B$4:$B$1000,$A152))</f>
        <v/>
      </c>
      <c r="P152" s="63" t="str">
        <f>IF($A152="","",COUNTIF('14_Attori_Imprese'!$B$4:$B$1000,$A152))</f>
        <v/>
      </c>
      <c r="Q152" s="63" t="str">
        <f>IF($A152="","",COUNTIF('15_Prestazioni'!$B$4:$B$1000,$A152))</f>
        <v/>
      </c>
      <c r="R152" s="64" t="str">
        <f t="shared" si="8"/>
        <v/>
      </c>
      <c r="S152" s="65" t="str">
        <f>IF($A152="","",IFERROR(AVERAGEIF('07_TRL_TLR'!$B$4:$B$1000,$A152,'07_TRL_TLR'!$F$4:$F$1000),""))</f>
        <v/>
      </c>
      <c r="T152" s="63" t="str">
        <f t="shared" si="9"/>
        <v/>
      </c>
      <c r="U152" s="66" t="str">
        <f t="shared" si="10"/>
        <v/>
      </c>
      <c r="V152" s="66" t="str">
        <f t="shared" si="11"/>
        <v/>
      </c>
    </row>
    <row r="153" spans="1:22">
      <c r="A153" s="67" t="str">
        <f>IF('03_Tecnologie'!A153="","",'03_Tecnologie'!A153)</f>
        <v/>
      </c>
      <c r="B153" s="67" t="str">
        <f>IF($A153="","",'03_Tecnologie'!D153)</f>
        <v/>
      </c>
      <c r="C153" s="67" t="str">
        <f>IF($A153="","",'03_Tecnologie'!B153)</f>
        <v/>
      </c>
      <c r="D153" s="67" t="str">
        <f>IF($A153="","",'03_Tecnologie'!F153)</f>
        <v/>
      </c>
      <c r="E153" s="63" t="str">
        <f>IF($A153="","",COUNTIF('04_Componenti'!$B$4:$B$1000,$A153))</f>
        <v/>
      </c>
      <c r="F153" s="63" t="str">
        <f>IF($A153="","",COUNTIF('05_Descrizione'!$B$4:$B$1000,$A153))</f>
        <v/>
      </c>
      <c r="G153" s="63" t="str">
        <f>IF($A153="","",COUNTIF('06_Avanzamento'!$B$4:$B$1000,$A153))</f>
        <v/>
      </c>
      <c r="H153" s="63" t="str">
        <f>IF($A153="","",COUNTIF('07_TRL_TLR'!$B$4:$B$1000,$A153))</f>
        <v/>
      </c>
      <c r="I153" s="63" t="str">
        <f>IF($A153="","",COUNTIF('08_Costi_Compet'!$B$4:$B$1000,$A153))</f>
        <v/>
      </c>
      <c r="J153" s="63" t="str">
        <f>IF($A153="","",COUNTIF('09_Settori_Impatto'!$B$4:$B$1000,$A153))</f>
        <v/>
      </c>
      <c r="K153" s="63" t="str">
        <f>IF($A153="","",COUNTIF('16_Mercati_Riferimento'!$B$4:$B$1000,$A153))</f>
        <v/>
      </c>
      <c r="L153" s="22" t="str">
        <f>IF($A153="","",COUNTIF('10_Sostenibilita'!$B$4:$B$1000,$A153))</f>
        <v/>
      </c>
      <c r="M153" s="63" t="str">
        <f>IF($A153="","",COUNTIF('11_Best_Practice'!$B$4:$B$1000,$A153))</f>
        <v/>
      </c>
      <c r="N153" s="63" t="str">
        <f>IF($A153="","",COUNTIF('12_Policy_Regolazione'!$B$4:$B$1000,$A153))</f>
        <v/>
      </c>
      <c r="O153" s="63" t="str">
        <f>IF($A153="","",COUNTIF('13_Barriere_Opp'!$B$4:$B$1000,$A153))</f>
        <v/>
      </c>
      <c r="P153" s="63" t="str">
        <f>IF($A153="","",COUNTIF('14_Attori_Imprese'!$B$4:$B$1000,$A153))</f>
        <v/>
      </c>
      <c r="Q153" s="63" t="str">
        <f>IF($A153="","",COUNTIF('15_Prestazioni'!$B$4:$B$1000,$A153))</f>
        <v/>
      </c>
      <c r="R153" s="64" t="str">
        <f t="shared" si="8"/>
        <v/>
      </c>
      <c r="S153" s="65" t="str">
        <f>IF($A153="","",IFERROR(AVERAGEIF('07_TRL_TLR'!$B$4:$B$1000,$A153,'07_TRL_TLR'!$F$4:$F$1000),""))</f>
        <v/>
      </c>
      <c r="T153" s="63" t="str">
        <f t="shared" si="9"/>
        <v/>
      </c>
      <c r="U153" s="66" t="str">
        <f t="shared" si="10"/>
        <v/>
      </c>
      <c r="V153" s="66" t="str">
        <f t="shared" si="11"/>
        <v/>
      </c>
    </row>
    <row r="154" spans="1:22">
      <c r="A154" s="67" t="str">
        <f>IF('03_Tecnologie'!A154="","",'03_Tecnologie'!A154)</f>
        <v/>
      </c>
      <c r="B154" s="67" t="str">
        <f>IF($A154="","",'03_Tecnologie'!D154)</f>
        <v/>
      </c>
      <c r="C154" s="67" t="str">
        <f>IF($A154="","",'03_Tecnologie'!B154)</f>
        <v/>
      </c>
      <c r="D154" s="67" t="str">
        <f>IF($A154="","",'03_Tecnologie'!F154)</f>
        <v/>
      </c>
      <c r="E154" s="63" t="str">
        <f>IF($A154="","",COUNTIF('04_Componenti'!$B$4:$B$1000,$A154))</f>
        <v/>
      </c>
      <c r="F154" s="63" t="str">
        <f>IF($A154="","",COUNTIF('05_Descrizione'!$B$4:$B$1000,$A154))</f>
        <v/>
      </c>
      <c r="G154" s="63" t="str">
        <f>IF($A154="","",COUNTIF('06_Avanzamento'!$B$4:$B$1000,$A154))</f>
        <v/>
      </c>
      <c r="H154" s="63" t="str">
        <f>IF($A154="","",COUNTIF('07_TRL_TLR'!$B$4:$B$1000,$A154))</f>
        <v/>
      </c>
      <c r="I154" s="63" t="str">
        <f>IF($A154="","",COUNTIF('08_Costi_Compet'!$B$4:$B$1000,$A154))</f>
        <v/>
      </c>
      <c r="J154" s="63" t="str">
        <f>IF($A154="","",COUNTIF('09_Settori_Impatto'!$B$4:$B$1000,$A154))</f>
        <v/>
      </c>
      <c r="K154" s="63" t="str">
        <f>IF($A154="","",COUNTIF('16_Mercati_Riferimento'!$B$4:$B$1000,$A154))</f>
        <v/>
      </c>
      <c r="L154" s="22" t="str">
        <f>IF($A154="","",COUNTIF('10_Sostenibilita'!$B$4:$B$1000,$A154))</f>
        <v/>
      </c>
      <c r="M154" s="63" t="str">
        <f>IF($A154="","",COUNTIF('11_Best_Practice'!$B$4:$B$1000,$A154))</f>
        <v/>
      </c>
      <c r="N154" s="63" t="str">
        <f>IF($A154="","",COUNTIF('12_Policy_Regolazione'!$B$4:$B$1000,$A154))</f>
        <v/>
      </c>
      <c r="O154" s="63" t="str">
        <f>IF($A154="","",COUNTIF('13_Barriere_Opp'!$B$4:$B$1000,$A154))</f>
        <v/>
      </c>
      <c r="P154" s="63" t="str">
        <f>IF($A154="","",COUNTIF('14_Attori_Imprese'!$B$4:$B$1000,$A154))</f>
        <v/>
      </c>
      <c r="Q154" s="63" t="str">
        <f>IF($A154="","",COUNTIF('15_Prestazioni'!$B$4:$B$1000,$A154))</f>
        <v/>
      </c>
      <c r="R154" s="64" t="str">
        <f t="shared" si="8"/>
        <v/>
      </c>
      <c r="S154" s="65" t="str">
        <f>IF($A154="","",IFERROR(AVERAGEIF('07_TRL_TLR'!$B$4:$B$1000,$A154,'07_TRL_TLR'!$F$4:$F$1000),""))</f>
        <v/>
      </c>
      <c r="T154" s="63" t="str">
        <f t="shared" si="9"/>
        <v/>
      </c>
      <c r="U154" s="66" t="str">
        <f t="shared" si="10"/>
        <v/>
      </c>
      <c r="V154" s="66" t="str">
        <f t="shared" si="11"/>
        <v/>
      </c>
    </row>
    <row r="155" spans="1:22">
      <c r="A155" s="67" t="str">
        <f>IF('03_Tecnologie'!A155="","",'03_Tecnologie'!A155)</f>
        <v/>
      </c>
      <c r="B155" s="67" t="str">
        <f>IF($A155="","",'03_Tecnologie'!D155)</f>
        <v/>
      </c>
      <c r="C155" s="67" t="str">
        <f>IF($A155="","",'03_Tecnologie'!B155)</f>
        <v/>
      </c>
      <c r="D155" s="67" t="str">
        <f>IF($A155="","",'03_Tecnologie'!F155)</f>
        <v/>
      </c>
      <c r="E155" s="63" t="str">
        <f>IF($A155="","",COUNTIF('04_Componenti'!$B$4:$B$1000,$A155))</f>
        <v/>
      </c>
      <c r="F155" s="63" t="str">
        <f>IF($A155="","",COUNTIF('05_Descrizione'!$B$4:$B$1000,$A155))</f>
        <v/>
      </c>
      <c r="G155" s="63" t="str">
        <f>IF($A155="","",COUNTIF('06_Avanzamento'!$B$4:$B$1000,$A155))</f>
        <v/>
      </c>
      <c r="H155" s="63" t="str">
        <f>IF($A155="","",COUNTIF('07_TRL_TLR'!$B$4:$B$1000,$A155))</f>
        <v/>
      </c>
      <c r="I155" s="63" t="str">
        <f>IF($A155="","",COUNTIF('08_Costi_Compet'!$B$4:$B$1000,$A155))</f>
        <v/>
      </c>
      <c r="J155" s="63" t="str">
        <f>IF($A155="","",COUNTIF('09_Settori_Impatto'!$B$4:$B$1000,$A155))</f>
        <v/>
      </c>
      <c r="K155" s="63" t="str">
        <f>IF($A155="","",COUNTIF('16_Mercati_Riferimento'!$B$4:$B$1000,$A155))</f>
        <v/>
      </c>
      <c r="L155" s="22" t="str">
        <f>IF($A155="","",COUNTIF('10_Sostenibilita'!$B$4:$B$1000,$A155))</f>
        <v/>
      </c>
      <c r="M155" s="63" t="str">
        <f>IF($A155="","",COUNTIF('11_Best_Practice'!$B$4:$B$1000,$A155))</f>
        <v/>
      </c>
      <c r="N155" s="63" t="str">
        <f>IF($A155="","",COUNTIF('12_Policy_Regolazione'!$B$4:$B$1000,$A155))</f>
        <v/>
      </c>
      <c r="O155" s="63" t="str">
        <f>IF($A155="","",COUNTIF('13_Barriere_Opp'!$B$4:$B$1000,$A155))</f>
        <v/>
      </c>
      <c r="P155" s="63" t="str">
        <f>IF($A155="","",COUNTIF('14_Attori_Imprese'!$B$4:$B$1000,$A155))</f>
        <v/>
      </c>
      <c r="Q155" s="63" t="str">
        <f>IF($A155="","",COUNTIF('15_Prestazioni'!$B$4:$B$1000,$A155))</f>
        <v/>
      </c>
      <c r="R155" s="64" t="str">
        <f t="shared" si="8"/>
        <v/>
      </c>
      <c r="S155" s="65" t="str">
        <f>IF($A155="","",IFERROR(AVERAGEIF('07_TRL_TLR'!$B$4:$B$1000,$A155,'07_TRL_TLR'!$F$4:$F$1000),""))</f>
        <v/>
      </c>
      <c r="T155" s="63" t="str">
        <f t="shared" si="9"/>
        <v/>
      </c>
      <c r="U155" s="66" t="str">
        <f t="shared" si="10"/>
        <v/>
      </c>
      <c r="V155" s="66" t="str">
        <f t="shared" si="11"/>
        <v/>
      </c>
    </row>
    <row r="156" spans="1:22">
      <c r="A156" s="67" t="str">
        <f>IF('03_Tecnologie'!A156="","",'03_Tecnologie'!A156)</f>
        <v/>
      </c>
      <c r="B156" s="67" t="str">
        <f>IF($A156="","",'03_Tecnologie'!D156)</f>
        <v/>
      </c>
      <c r="C156" s="67" t="str">
        <f>IF($A156="","",'03_Tecnologie'!B156)</f>
        <v/>
      </c>
      <c r="D156" s="67" t="str">
        <f>IF($A156="","",'03_Tecnologie'!F156)</f>
        <v/>
      </c>
      <c r="E156" s="63" t="str">
        <f>IF($A156="","",COUNTIF('04_Componenti'!$B$4:$B$1000,$A156))</f>
        <v/>
      </c>
      <c r="F156" s="63" t="str">
        <f>IF($A156="","",COUNTIF('05_Descrizione'!$B$4:$B$1000,$A156))</f>
        <v/>
      </c>
      <c r="G156" s="63" t="str">
        <f>IF($A156="","",COUNTIF('06_Avanzamento'!$B$4:$B$1000,$A156))</f>
        <v/>
      </c>
      <c r="H156" s="63" t="str">
        <f>IF($A156="","",COUNTIF('07_TRL_TLR'!$B$4:$B$1000,$A156))</f>
        <v/>
      </c>
      <c r="I156" s="63" t="str">
        <f>IF($A156="","",COUNTIF('08_Costi_Compet'!$B$4:$B$1000,$A156))</f>
        <v/>
      </c>
      <c r="J156" s="63" t="str">
        <f>IF($A156="","",COUNTIF('09_Settori_Impatto'!$B$4:$B$1000,$A156))</f>
        <v/>
      </c>
      <c r="K156" s="63" t="str">
        <f>IF($A156="","",COUNTIF('16_Mercati_Riferimento'!$B$4:$B$1000,$A156))</f>
        <v/>
      </c>
      <c r="L156" s="22" t="str">
        <f>IF($A156="","",COUNTIF('10_Sostenibilita'!$B$4:$B$1000,$A156))</f>
        <v/>
      </c>
      <c r="M156" s="63" t="str">
        <f>IF($A156="","",COUNTIF('11_Best_Practice'!$B$4:$B$1000,$A156))</f>
        <v/>
      </c>
      <c r="N156" s="63" t="str">
        <f>IF($A156="","",COUNTIF('12_Policy_Regolazione'!$B$4:$B$1000,$A156))</f>
        <v/>
      </c>
      <c r="O156" s="63" t="str">
        <f>IF($A156="","",COUNTIF('13_Barriere_Opp'!$B$4:$B$1000,$A156))</f>
        <v/>
      </c>
      <c r="P156" s="63" t="str">
        <f>IF($A156="","",COUNTIF('14_Attori_Imprese'!$B$4:$B$1000,$A156))</f>
        <v/>
      </c>
      <c r="Q156" s="63" t="str">
        <f>IF($A156="","",COUNTIF('15_Prestazioni'!$B$4:$B$1000,$A156))</f>
        <v/>
      </c>
      <c r="R156" s="64" t="str">
        <f t="shared" si="8"/>
        <v/>
      </c>
      <c r="S156" s="65" t="str">
        <f>IF($A156="","",IFERROR(AVERAGEIF('07_TRL_TLR'!$B$4:$B$1000,$A156,'07_TRL_TLR'!$F$4:$F$1000),""))</f>
        <v/>
      </c>
      <c r="T156" s="63" t="str">
        <f t="shared" si="9"/>
        <v/>
      </c>
      <c r="U156" s="66" t="str">
        <f t="shared" si="10"/>
        <v/>
      </c>
      <c r="V156" s="66" t="str">
        <f t="shared" si="11"/>
        <v/>
      </c>
    </row>
    <row r="157" spans="1:22">
      <c r="A157" s="67" t="str">
        <f>IF('03_Tecnologie'!A157="","",'03_Tecnologie'!A157)</f>
        <v/>
      </c>
      <c r="B157" s="67" t="str">
        <f>IF($A157="","",'03_Tecnologie'!D157)</f>
        <v/>
      </c>
      <c r="C157" s="67" t="str">
        <f>IF($A157="","",'03_Tecnologie'!B157)</f>
        <v/>
      </c>
      <c r="D157" s="67" t="str">
        <f>IF($A157="","",'03_Tecnologie'!F157)</f>
        <v/>
      </c>
      <c r="E157" s="63" t="str">
        <f>IF($A157="","",COUNTIF('04_Componenti'!$B$4:$B$1000,$A157))</f>
        <v/>
      </c>
      <c r="F157" s="63" t="str">
        <f>IF($A157="","",COUNTIF('05_Descrizione'!$B$4:$B$1000,$A157))</f>
        <v/>
      </c>
      <c r="G157" s="63" t="str">
        <f>IF($A157="","",COUNTIF('06_Avanzamento'!$B$4:$B$1000,$A157))</f>
        <v/>
      </c>
      <c r="H157" s="63" t="str">
        <f>IF($A157="","",COUNTIF('07_TRL_TLR'!$B$4:$B$1000,$A157))</f>
        <v/>
      </c>
      <c r="I157" s="63" t="str">
        <f>IF($A157="","",COUNTIF('08_Costi_Compet'!$B$4:$B$1000,$A157))</f>
        <v/>
      </c>
      <c r="J157" s="63" t="str">
        <f>IF($A157="","",COUNTIF('09_Settori_Impatto'!$B$4:$B$1000,$A157))</f>
        <v/>
      </c>
      <c r="K157" s="63" t="str">
        <f>IF($A157="","",COUNTIF('16_Mercati_Riferimento'!$B$4:$B$1000,$A157))</f>
        <v/>
      </c>
      <c r="L157" s="22" t="str">
        <f>IF($A157="","",COUNTIF('10_Sostenibilita'!$B$4:$B$1000,$A157))</f>
        <v/>
      </c>
      <c r="M157" s="63" t="str">
        <f>IF($A157="","",COUNTIF('11_Best_Practice'!$B$4:$B$1000,$A157))</f>
        <v/>
      </c>
      <c r="N157" s="63" t="str">
        <f>IF($A157="","",COUNTIF('12_Policy_Regolazione'!$B$4:$B$1000,$A157))</f>
        <v/>
      </c>
      <c r="O157" s="63" t="str">
        <f>IF($A157="","",COUNTIF('13_Barriere_Opp'!$B$4:$B$1000,$A157))</f>
        <v/>
      </c>
      <c r="P157" s="63" t="str">
        <f>IF($A157="","",COUNTIF('14_Attori_Imprese'!$B$4:$B$1000,$A157))</f>
        <v/>
      </c>
      <c r="Q157" s="63" t="str">
        <f>IF($A157="","",COUNTIF('15_Prestazioni'!$B$4:$B$1000,$A157))</f>
        <v/>
      </c>
      <c r="R157" s="64" t="str">
        <f t="shared" si="8"/>
        <v/>
      </c>
      <c r="S157" s="65" t="str">
        <f>IF($A157="","",IFERROR(AVERAGEIF('07_TRL_TLR'!$B$4:$B$1000,$A157,'07_TRL_TLR'!$F$4:$F$1000),""))</f>
        <v/>
      </c>
      <c r="T157" s="63" t="str">
        <f t="shared" si="9"/>
        <v/>
      </c>
      <c r="U157" s="66" t="str">
        <f t="shared" si="10"/>
        <v/>
      </c>
      <c r="V157" s="66" t="str">
        <f t="shared" si="11"/>
        <v/>
      </c>
    </row>
    <row r="158" spans="1:22">
      <c r="A158" s="67" t="str">
        <f>IF('03_Tecnologie'!A158="","",'03_Tecnologie'!A158)</f>
        <v/>
      </c>
      <c r="B158" s="67" t="str">
        <f>IF($A158="","",'03_Tecnologie'!D158)</f>
        <v/>
      </c>
      <c r="C158" s="67" t="str">
        <f>IF($A158="","",'03_Tecnologie'!B158)</f>
        <v/>
      </c>
      <c r="D158" s="67" t="str">
        <f>IF($A158="","",'03_Tecnologie'!F158)</f>
        <v/>
      </c>
      <c r="E158" s="63" t="str">
        <f>IF($A158="","",COUNTIF('04_Componenti'!$B$4:$B$1000,$A158))</f>
        <v/>
      </c>
      <c r="F158" s="63" t="str">
        <f>IF($A158="","",COUNTIF('05_Descrizione'!$B$4:$B$1000,$A158))</f>
        <v/>
      </c>
      <c r="G158" s="63" t="str">
        <f>IF($A158="","",COUNTIF('06_Avanzamento'!$B$4:$B$1000,$A158))</f>
        <v/>
      </c>
      <c r="H158" s="63" t="str">
        <f>IF($A158="","",COUNTIF('07_TRL_TLR'!$B$4:$B$1000,$A158))</f>
        <v/>
      </c>
      <c r="I158" s="63" t="str">
        <f>IF($A158="","",COUNTIF('08_Costi_Compet'!$B$4:$B$1000,$A158))</f>
        <v/>
      </c>
      <c r="J158" s="63" t="str">
        <f>IF($A158="","",COUNTIF('09_Settori_Impatto'!$B$4:$B$1000,$A158))</f>
        <v/>
      </c>
      <c r="K158" s="63" t="str">
        <f>IF($A158="","",COUNTIF('16_Mercati_Riferimento'!$B$4:$B$1000,$A158))</f>
        <v/>
      </c>
      <c r="L158" s="22" t="str">
        <f>IF($A158="","",COUNTIF('10_Sostenibilita'!$B$4:$B$1000,$A158))</f>
        <v/>
      </c>
      <c r="M158" s="63" t="str">
        <f>IF($A158="","",COUNTIF('11_Best_Practice'!$B$4:$B$1000,$A158))</f>
        <v/>
      </c>
      <c r="N158" s="63" t="str">
        <f>IF($A158="","",COUNTIF('12_Policy_Regolazione'!$B$4:$B$1000,$A158))</f>
        <v/>
      </c>
      <c r="O158" s="63" t="str">
        <f>IF($A158="","",COUNTIF('13_Barriere_Opp'!$B$4:$B$1000,$A158))</f>
        <v/>
      </c>
      <c r="P158" s="63" t="str">
        <f>IF($A158="","",COUNTIF('14_Attori_Imprese'!$B$4:$B$1000,$A158))</f>
        <v/>
      </c>
      <c r="Q158" s="63" t="str">
        <f>IF($A158="","",COUNTIF('15_Prestazioni'!$B$4:$B$1000,$A158))</f>
        <v/>
      </c>
      <c r="R158" s="64" t="str">
        <f t="shared" si="8"/>
        <v/>
      </c>
      <c r="S158" s="65" t="str">
        <f>IF($A158="","",IFERROR(AVERAGEIF('07_TRL_TLR'!$B$4:$B$1000,$A158,'07_TRL_TLR'!$F$4:$F$1000),""))</f>
        <v/>
      </c>
      <c r="T158" s="63" t="str">
        <f t="shared" si="9"/>
        <v/>
      </c>
      <c r="U158" s="66" t="str">
        <f t="shared" si="10"/>
        <v/>
      </c>
      <c r="V158" s="66" t="str">
        <f t="shared" si="11"/>
        <v/>
      </c>
    </row>
    <row r="159" spans="1:22">
      <c r="A159" s="67" t="str">
        <f>IF('03_Tecnologie'!A159="","",'03_Tecnologie'!A159)</f>
        <v/>
      </c>
      <c r="B159" s="67" t="str">
        <f>IF($A159="","",'03_Tecnologie'!D159)</f>
        <v/>
      </c>
      <c r="C159" s="67" t="str">
        <f>IF($A159="","",'03_Tecnologie'!B159)</f>
        <v/>
      </c>
      <c r="D159" s="67" t="str">
        <f>IF($A159="","",'03_Tecnologie'!F159)</f>
        <v/>
      </c>
      <c r="E159" s="63" t="str">
        <f>IF($A159="","",COUNTIF('04_Componenti'!$B$4:$B$1000,$A159))</f>
        <v/>
      </c>
      <c r="F159" s="63" t="str">
        <f>IF($A159="","",COUNTIF('05_Descrizione'!$B$4:$B$1000,$A159))</f>
        <v/>
      </c>
      <c r="G159" s="63" t="str">
        <f>IF($A159="","",COUNTIF('06_Avanzamento'!$B$4:$B$1000,$A159))</f>
        <v/>
      </c>
      <c r="H159" s="63" t="str">
        <f>IF($A159="","",COUNTIF('07_TRL_TLR'!$B$4:$B$1000,$A159))</f>
        <v/>
      </c>
      <c r="I159" s="63" t="str">
        <f>IF($A159="","",COUNTIF('08_Costi_Compet'!$B$4:$B$1000,$A159))</f>
        <v/>
      </c>
      <c r="J159" s="63" t="str">
        <f>IF($A159="","",COUNTIF('09_Settori_Impatto'!$B$4:$B$1000,$A159))</f>
        <v/>
      </c>
      <c r="K159" s="63" t="str">
        <f>IF($A159="","",COUNTIF('16_Mercati_Riferimento'!$B$4:$B$1000,$A159))</f>
        <v/>
      </c>
      <c r="L159" s="22" t="str">
        <f>IF($A159="","",COUNTIF('10_Sostenibilita'!$B$4:$B$1000,$A159))</f>
        <v/>
      </c>
      <c r="M159" s="63" t="str">
        <f>IF($A159="","",COUNTIF('11_Best_Practice'!$B$4:$B$1000,$A159))</f>
        <v/>
      </c>
      <c r="N159" s="63" t="str">
        <f>IF($A159="","",COUNTIF('12_Policy_Regolazione'!$B$4:$B$1000,$A159))</f>
        <v/>
      </c>
      <c r="O159" s="63" t="str">
        <f>IF($A159="","",COUNTIF('13_Barriere_Opp'!$B$4:$B$1000,$A159))</f>
        <v/>
      </c>
      <c r="P159" s="63" t="str">
        <f>IF($A159="","",COUNTIF('14_Attori_Imprese'!$B$4:$B$1000,$A159))</f>
        <v/>
      </c>
      <c r="Q159" s="63" t="str">
        <f>IF($A159="","",COUNTIF('15_Prestazioni'!$B$4:$B$1000,$A159))</f>
        <v/>
      </c>
      <c r="R159" s="64" t="str">
        <f t="shared" si="8"/>
        <v/>
      </c>
      <c r="S159" s="65" t="str">
        <f>IF($A159="","",IFERROR(AVERAGEIF('07_TRL_TLR'!$B$4:$B$1000,$A159,'07_TRL_TLR'!$F$4:$F$1000),""))</f>
        <v/>
      </c>
      <c r="T159" s="63" t="str">
        <f t="shared" si="9"/>
        <v/>
      </c>
      <c r="U159" s="66" t="str">
        <f t="shared" si="10"/>
        <v/>
      </c>
      <c r="V159" s="66" t="str">
        <f t="shared" si="11"/>
        <v/>
      </c>
    </row>
    <row r="160" spans="1:22">
      <c r="A160" s="67" t="str">
        <f>IF('03_Tecnologie'!A160="","",'03_Tecnologie'!A160)</f>
        <v/>
      </c>
      <c r="B160" s="67" t="str">
        <f>IF($A160="","",'03_Tecnologie'!D160)</f>
        <v/>
      </c>
      <c r="C160" s="67" t="str">
        <f>IF($A160="","",'03_Tecnologie'!B160)</f>
        <v/>
      </c>
      <c r="D160" s="67" t="str">
        <f>IF($A160="","",'03_Tecnologie'!F160)</f>
        <v/>
      </c>
      <c r="E160" s="63" t="str">
        <f>IF($A160="","",COUNTIF('04_Componenti'!$B$4:$B$1000,$A160))</f>
        <v/>
      </c>
      <c r="F160" s="63" t="str">
        <f>IF($A160="","",COUNTIF('05_Descrizione'!$B$4:$B$1000,$A160))</f>
        <v/>
      </c>
      <c r="G160" s="63" t="str">
        <f>IF($A160="","",COUNTIF('06_Avanzamento'!$B$4:$B$1000,$A160))</f>
        <v/>
      </c>
      <c r="H160" s="63" t="str">
        <f>IF($A160="","",COUNTIF('07_TRL_TLR'!$B$4:$B$1000,$A160))</f>
        <v/>
      </c>
      <c r="I160" s="63" t="str">
        <f>IF($A160="","",COUNTIF('08_Costi_Compet'!$B$4:$B$1000,$A160))</f>
        <v/>
      </c>
      <c r="J160" s="63" t="str">
        <f>IF($A160="","",COUNTIF('09_Settori_Impatto'!$B$4:$B$1000,$A160))</f>
        <v/>
      </c>
      <c r="K160" s="63" t="str">
        <f>IF($A160="","",COUNTIF('16_Mercati_Riferimento'!$B$4:$B$1000,$A160))</f>
        <v/>
      </c>
      <c r="L160" s="22" t="str">
        <f>IF($A160="","",COUNTIF('10_Sostenibilita'!$B$4:$B$1000,$A160))</f>
        <v/>
      </c>
      <c r="M160" s="63" t="str">
        <f>IF($A160="","",COUNTIF('11_Best_Practice'!$B$4:$B$1000,$A160))</f>
        <v/>
      </c>
      <c r="N160" s="63" t="str">
        <f>IF($A160="","",COUNTIF('12_Policy_Regolazione'!$B$4:$B$1000,$A160))</f>
        <v/>
      </c>
      <c r="O160" s="63" t="str">
        <f>IF($A160="","",COUNTIF('13_Barriere_Opp'!$B$4:$B$1000,$A160))</f>
        <v/>
      </c>
      <c r="P160" s="63" t="str">
        <f>IF($A160="","",COUNTIF('14_Attori_Imprese'!$B$4:$B$1000,$A160))</f>
        <v/>
      </c>
      <c r="Q160" s="63" t="str">
        <f>IF($A160="","",COUNTIF('15_Prestazioni'!$B$4:$B$1000,$A160))</f>
        <v/>
      </c>
      <c r="R160" s="64" t="str">
        <f t="shared" si="8"/>
        <v/>
      </c>
      <c r="S160" s="65" t="str">
        <f>IF($A160="","",IFERROR(AVERAGEIF('07_TRL_TLR'!$B$4:$B$1000,$A160,'07_TRL_TLR'!$F$4:$F$1000),""))</f>
        <v/>
      </c>
      <c r="T160" s="63" t="str">
        <f t="shared" si="9"/>
        <v/>
      </c>
      <c r="U160" s="66" t="str">
        <f t="shared" si="10"/>
        <v/>
      </c>
      <c r="V160" s="66" t="str">
        <f t="shared" si="11"/>
        <v/>
      </c>
    </row>
    <row r="161" spans="1:22">
      <c r="A161" s="67" t="str">
        <f>IF('03_Tecnologie'!A161="","",'03_Tecnologie'!A161)</f>
        <v/>
      </c>
      <c r="B161" s="67" t="str">
        <f>IF($A161="","",'03_Tecnologie'!D161)</f>
        <v/>
      </c>
      <c r="C161" s="67" t="str">
        <f>IF($A161="","",'03_Tecnologie'!B161)</f>
        <v/>
      </c>
      <c r="D161" s="67" t="str">
        <f>IF($A161="","",'03_Tecnologie'!F161)</f>
        <v/>
      </c>
      <c r="E161" s="63" t="str">
        <f>IF($A161="","",COUNTIF('04_Componenti'!$B$4:$B$1000,$A161))</f>
        <v/>
      </c>
      <c r="F161" s="63" t="str">
        <f>IF($A161="","",COUNTIF('05_Descrizione'!$B$4:$B$1000,$A161))</f>
        <v/>
      </c>
      <c r="G161" s="63" t="str">
        <f>IF($A161="","",COUNTIF('06_Avanzamento'!$B$4:$B$1000,$A161))</f>
        <v/>
      </c>
      <c r="H161" s="63" t="str">
        <f>IF($A161="","",COUNTIF('07_TRL_TLR'!$B$4:$B$1000,$A161))</f>
        <v/>
      </c>
      <c r="I161" s="63" t="str">
        <f>IF($A161="","",COUNTIF('08_Costi_Compet'!$B$4:$B$1000,$A161))</f>
        <v/>
      </c>
      <c r="J161" s="63" t="str">
        <f>IF($A161="","",COUNTIF('09_Settori_Impatto'!$B$4:$B$1000,$A161))</f>
        <v/>
      </c>
      <c r="K161" s="63" t="str">
        <f>IF($A161="","",COUNTIF('16_Mercati_Riferimento'!$B$4:$B$1000,$A161))</f>
        <v/>
      </c>
      <c r="L161" s="22" t="str">
        <f>IF($A161="","",COUNTIF('10_Sostenibilita'!$B$4:$B$1000,$A161))</f>
        <v/>
      </c>
      <c r="M161" s="63" t="str">
        <f>IF($A161="","",COUNTIF('11_Best_Practice'!$B$4:$B$1000,$A161))</f>
        <v/>
      </c>
      <c r="N161" s="63" t="str">
        <f>IF($A161="","",COUNTIF('12_Policy_Regolazione'!$B$4:$B$1000,$A161))</f>
        <v/>
      </c>
      <c r="O161" s="63" t="str">
        <f>IF($A161="","",COUNTIF('13_Barriere_Opp'!$B$4:$B$1000,$A161))</f>
        <v/>
      </c>
      <c r="P161" s="63" t="str">
        <f>IF($A161="","",COUNTIF('14_Attori_Imprese'!$B$4:$B$1000,$A161))</f>
        <v/>
      </c>
      <c r="Q161" s="63" t="str">
        <f>IF($A161="","",COUNTIF('15_Prestazioni'!$B$4:$B$1000,$A161))</f>
        <v/>
      </c>
      <c r="R161" s="64" t="str">
        <f t="shared" si="8"/>
        <v/>
      </c>
      <c r="S161" s="65" t="str">
        <f>IF($A161="","",IFERROR(AVERAGEIF('07_TRL_TLR'!$B$4:$B$1000,$A161,'07_TRL_TLR'!$F$4:$F$1000),""))</f>
        <v/>
      </c>
      <c r="T161" s="63" t="str">
        <f t="shared" si="9"/>
        <v/>
      </c>
      <c r="U161" s="66" t="str">
        <f t="shared" si="10"/>
        <v/>
      </c>
      <c r="V161" s="66" t="str">
        <f t="shared" si="11"/>
        <v/>
      </c>
    </row>
    <row r="162" spans="1:22">
      <c r="A162" s="67" t="str">
        <f>IF('03_Tecnologie'!A162="","",'03_Tecnologie'!A162)</f>
        <v/>
      </c>
      <c r="B162" s="67" t="str">
        <f>IF($A162="","",'03_Tecnologie'!D162)</f>
        <v/>
      </c>
      <c r="C162" s="67" t="str">
        <f>IF($A162="","",'03_Tecnologie'!B162)</f>
        <v/>
      </c>
      <c r="D162" s="67" t="str">
        <f>IF($A162="","",'03_Tecnologie'!F162)</f>
        <v/>
      </c>
      <c r="E162" s="63" t="str">
        <f>IF($A162="","",COUNTIF('04_Componenti'!$B$4:$B$1000,$A162))</f>
        <v/>
      </c>
      <c r="F162" s="63" t="str">
        <f>IF($A162="","",COUNTIF('05_Descrizione'!$B$4:$B$1000,$A162))</f>
        <v/>
      </c>
      <c r="G162" s="63" t="str">
        <f>IF($A162="","",COUNTIF('06_Avanzamento'!$B$4:$B$1000,$A162))</f>
        <v/>
      </c>
      <c r="H162" s="63" t="str">
        <f>IF($A162="","",COUNTIF('07_TRL_TLR'!$B$4:$B$1000,$A162))</f>
        <v/>
      </c>
      <c r="I162" s="63" t="str">
        <f>IF($A162="","",COUNTIF('08_Costi_Compet'!$B$4:$B$1000,$A162))</f>
        <v/>
      </c>
      <c r="J162" s="63" t="str">
        <f>IF($A162="","",COUNTIF('09_Settori_Impatto'!$B$4:$B$1000,$A162))</f>
        <v/>
      </c>
      <c r="K162" s="63" t="str">
        <f>IF($A162="","",COUNTIF('16_Mercati_Riferimento'!$B$4:$B$1000,$A162))</f>
        <v/>
      </c>
      <c r="L162" s="22" t="str">
        <f>IF($A162="","",COUNTIF('10_Sostenibilita'!$B$4:$B$1000,$A162))</f>
        <v/>
      </c>
      <c r="M162" s="63" t="str">
        <f>IF($A162="","",COUNTIF('11_Best_Practice'!$B$4:$B$1000,$A162))</f>
        <v/>
      </c>
      <c r="N162" s="63" t="str">
        <f>IF($A162="","",COUNTIF('12_Policy_Regolazione'!$B$4:$B$1000,$A162))</f>
        <v/>
      </c>
      <c r="O162" s="63" t="str">
        <f>IF($A162="","",COUNTIF('13_Barriere_Opp'!$B$4:$B$1000,$A162))</f>
        <v/>
      </c>
      <c r="P162" s="63" t="str">
        <f>IF($A162="","",COUNTIF('14_Attori_Imprese'!$B$4:$B$1000,$A162))</f>
        <v/>
      </c>
      <c r="Q162" s="63" t="str">
        <f>IF($A162="","",COUNTIF('15_Prestazioni'!$B$4:$B$1000,$A162))</f>
        <v/>
      </c>
      <c r="R162" s="64" t="str">
        <f t="shared" si="8"/>
        <v/>
      </c>
      <c r="S162" s="65" t="str">
        <f>IF($A162="","",IFERROR(AVERAGEIF('07_TRL_TLR'!$B$4:$B$1000,$A162,'07_TRL_TLR'!$F$4:$F$1000),""))</f>
        <v/>
      </c>
      <c r="T162" s="63" t="str">
        <f t="shared" si="9"/>
        <v/>
      </c>
      <c r="U162" s="66" t="str">
        <f t="shared" si="10"/>
        <v/>
      </c>
      <c r="V162" s="66" t="str">
        <f t="shared" si="11"/>
        <v/>
      </c>
    </row>
    <row r="163" spans="1:22">
      <c r="A163" s="67" t="str">
        <f>IF('03_Tecnologie'!A163="","",'03_Tecnologie'!A163)</f>
        <v/>
      </c>
      <c r="B163" s="67" t="str">
        <f>IF($A163="","",'03_Tecnologie'!D163)</f>
        <v/>
      </c>
      <c r="C163" s="67" t="str">
        <f>IF($A163="","",'03_Tecnologie'!B163)</f>
        <v/>
      </c>
      <c r="D163" s="67" t="str">
        <f>IF($A163="","",'03_Tecnologie'!F163)</f>
        <v/>
      </c>
      <c r="E163" s="63" t="str">
        <f>IF($A163="","",COUNTIF('04_Componenti'!$B$4:$B$1000,$A163))</f>
        <v/>
      </c>
      <c r="F163" s="63" t="str">
        <f>IF($A163="","",COUNTIF('05_Descrizione'!$B$4:$B$1000,$A163))</f>
        <v/>
      </c>
      <c r="G163" s="63" t="str">
        <f>IF($A163="","",COUNTIF('06_Avanzamento'!$B$4:$B$1000,$A163))</f>
        <v/>
      </c>
      <c r="H163" s="63" t="str">
        <f>IF($A163="","",COUNTIF('07_TRL_TLR'!$B$4:$B$1000,$A163))</f>
        <v/>
      </c>
      <c r="I163" s="63" t="str">
        <f>IF($A163="","",COUNTIF('08_Costi_Compet'!$B$4:$B$1000,$A163))</f>
        <v/>
      </c>
      <c r="J163" s="63" t="str">
        <f>IF($A163="","",COUNTIF('09_Settori_Impatto'!$B$4:$B$1000,$A163))</f>
        <v/>
      </c>
      <c r="K163" s="63" t="str">
        <f>IF($A163="","",COUNTIF('16_Mercati_Riferimento'!$B$4:$B$1000,$A163))</f>
        <v/>
      </c>
      <c r="L163" s="22" t="str">
        <f>IF($A163="","",COUNTIF('10_Sostenibilita'!$B$4:$B$1000,$A163))</f>
        <v/>
      </c>
      <c r="M163" s="63" t="str">
        <f>IF($A163="","",COUNTIF('11_Best_Practice'!$B$4:$B$1000,$A163))</f>
        <v/>
      </c>
      <c r="N163" s="63" t="str">
        <f>IF($A163="","",COUNTIF('12_Policy_Regolazione'!$B$4:$B$1000,$A163))</f>
        <v/>
      </c>
      <c r="O163" s="63" t="str">
        <f>IF($A163="","",COUNTIF('13_Barriere_Opp'!$B$4:$B$1000,$A163))</f>
        <v/>
      </c>
      <c r="P163" s="63" t="str">
        <f>IF($A163="","",COUNTIF('14_Attori_Imprese'!$B$4:$B$1000,$A163))</f>
        <v/>
      </c>
      <c r="Q163" s="63" t="str">
        <f>IF($A163="","",COUNTIF('15_Prestazioni'!$B$4:$B$1000,$A163))</f>
        <v/>
      </c>
      <c r="R163" s="64" t="str">
        <f t="shared" si="8"/>
        <v/>
      </c>
      <c r="S163" s="65" t="str">
        <f>IF($A163="","",IFERROR(AVERAGEIF('07_TRL_TLR'!$B$4:$B$1000,$A163,'07_TRL_TLR'!$F$4:$F$1000),""))</f>
        <v/>
      </c>
      <c r="T163" s="63" t="str">
        <f t="shared" si="9"/>
        <v/>
      </c>
      <c r="U163" s="66" t="str">
        <f t="shared" si="10"/>
        <v/>
      </c>
      <c r="V163" s="66" t="str">
        <f t="shared" si="11"/>
        <v/>
      </c>
    </row>
    <row r="164" spans="1:22">
      <c r="A164" s="67" t="str">
        <f>IF('03_Tecnologie'!A164="","",'03_Tecnologie'!A164)</f>
        <v/>
      </c>
      <c r="B164" s="67" t="str">
        <f>IF($A164="","",'03_Tecnologie'!D164)</f>
        <v/>
      </c>
      <c r="C164" s="67" t="str">
        <f>IF($A164="","",'03_Tecnologie'!B164)</f>
        <v/>
      </c>
      <c r="D164" s="67" t="str">
        <f>IF($A164="","",'03_Tecnologie'!F164)</f>
        <v/>
      </c>
      <c r="E164" s="63" t="str">
        <f>IF($A164="","",COUNTIF('04_Componenti'!$B$4:$B$1000,$A164))</f>
        <v/>
      </c>
      <c r="F164" s="63" t="str">
        <f>IF($A164="","",COUNTIF('05_Descrizione'!$B$4:$B$1000,$A164))</f>
        <v/>
      </c>
      <c r="G164" s="63" t="str">
        <f>IF($A164="","",COUNTIF('06_Avanzamento'!$B$4:$B$1000,$A164))</f>
        <v/>
      </c>
      <c r="H164" s="63" t="str">
        <f>IF($A164="","",COUNTIF('07_TRL_TLR'!$B$4:$B$1000,$A164))</f>
        <v/>
      </c>
      <c r="I164" s="63" t="str">
        <f>IF($A164="","",COUNTIF('08_Costi_Compet'!$B$4:$B$1000,$A164))</f>
        <v/>
      </c>
      <c r="J164" s="63" t="str">
        <f>IF($A164="","",COUNTIF('09_Settori_Impatto'!$B$4:$B$1000,$A164))</f>
        <v/>
      </c>
      <c r="K164" s="63" t="str">
        <f>IF($A164="","",COUNTIF('16_Mercati_Riferimento'!$B$4:$B$1000,$A164))</f>
        <v/>
      </c>
      <c r="L164" s="22" t="str">
        <f>IF($A164="","",COUNTIF('10_Sostenibilita'!$B$4:$B$1000,$A164))</f>
        <v/>
      </c>
      <c r="M164" s="63" t="str">
        <f>IF($A164="","",COUNTIF('11_Best_Practice'!$B$4:$B$1000,$A164))</f>
        <v/>
      </c>
      <c r="N164" s="63" t="str">
        <f>IF($A164="","",COUNTIF('12_Policy_Regolazione'!$B$4:$B$1000,$A164))</f>
        <v/>
      </c>
      <c r="O164" s="63" t="str">
        <f>IF($A164="","",COUNTIF('13_Barriere_Opp'!$B$4:$B$1000,$A164))</f>
        <v/>
      </c>
      <c r="P164" s="63" t="str">
        <f>IF($A164="","",COUNTIF('14_Attori_Imprese'!$B$4:$B$1000,$A164))</f>
        <v/>
      </c>
      <c r="Q164" s="63" t="str">
        <f>IF($A164="","",COUNTIF('15_Prestazioni'!$B$4:$B$1000,$A164))</f>
        <v/>
      </c>
      <c r="R164" s="64" t="str">
        <f t="shared" si="8"/>
        <v/>
      </c>
      <c r="S164" s="65" t="str">
        <f>IF($A164="","",IFERROR(AVERAGEIF('07_TRL_TLR'!$B$4:$B$1000,$A164,'07_TRL_TLR'!$F$4:$F$1000),""))</f>
        <v/>
      </c>
      <c r="T164" s="63" t="str">
        <f t="shared" si="9"/>
        <v/>
      </c>
      <c r="U164" s="66" t="str">
        <f t="shared" si="10"/>
        <v/>
      </c>
      <c r="V164" s="66" t="str">
        <f t="shared" si="11"/>
        <v/>
      </c>
    </row>
    <row r="165" spans="1:22">
      <c r="A165" s="67" t="str">
        <f>IF('03_Tecnologie'!A165="","",'03_Tecnologie'!A165)</f>
        <v/>
      </c>
      <c r="B165" s="67" t="str">
        <f>IF($A165="","",'03_Tecnologie'!D165)</f>
        <v/>
      </c>
      <c r="C165" s="67" t="str">
        <f>IF($A165="","",'03_Tecnologie'!B165)</f>
        <v/>
      </c>
      <c r="D165" s="67" t="str">
        <f>IF($A165="","",'03_Tecnologie'!F165)</f>
        <v/>
      </c>
      <c r="E165" s="63" t="str">
        <f>IF($A165="","",COUNTIF('04_Componenti'!$B$4:$B$1000,$A165))</f>
        <v/>
      </c>
      <c r="F165" s="63" t="str">
        <f>IF($A165="","",COUNTIF('05_Descrizione'!$B$4:$B$1000,$A165))</f>
        <v/>
      </c>
      <c r="G165" s="63" t="str">
        <f>IF($A165="","",COUNTIF('06_Avanzamento'!$B$4:$B$1000,$A165))</f>
        <v/>
      </c>
      <c r="H165" s="63" t="str">
        <f>IF($A165="","",COUNTIF('07_TRL_TLR'!$B$4:$B$1000,$A165))</f>
        <v/>
      </c>
      <c r="I165" s="63" t="str">
        <f>IF($A165="","",COUNTIF('08_Costi_Compet'!$B$4:$B$1000,$A165))</f>
        <v/>
      </c>
      <c r="J165" s="63" t="str">
        <f>IF($A165="","",COUNTIF('09_Settori_Impatto'!$B$4:$B$1000,$A165))</f>
        <v/>
      </c>
      <c r="K165" s="63" t="str">
        <f>IF($A165="","",COUNTIF('16_Mercati_Riferimento'!$B$4:$B$1000,$A165))</f>
        <v/>
      </c>
      <c r="L165" s="22" t="str">
        <f>IF($A165="","",COUNTIF('10_Sostenibilita'!$B$4:$B$1000,$A165))</f>
        <v/>
      </c>
      <c r="M165" s="63" t="str">
        <f>IF($A165="","",COUNTIF('11_Best_Practice'!$B$4:$B$1000,$A165))</f>
        <v/>
      </c>
      <c r="N165" s="63" t="str">
        <f>IF($A165="","",COUNTIF('12_Policy_Regolazione'!$B$4:$B$1000,$A165))</f>
        <v/>
      </c>
      <c r="O165" s="63" t="str">
        <f>IF($A165="","",COUNTIF('13_Barriere_Opp'!$B$4:$B$1000,$A165))</f>
        <v/>
      </c>
      <c r="P165" s="63" t="str">
        <f>IF($A165="","",COUNTIF('14_Attori_Imprese'!$B$4:$B$1000,$A165))</f>
        <v/>
      </c>
      <c r="Q165" s="63" t="str">
        <f>IF($A165="","",COUNTIF('15_Prestazioni'!$B$4:$B$1000,$A165))</f>
        <v/>
      </c>
      <c r="R165" s="64" t="str">
        <f t="shared" si="8"/>
        <v/>
      </c>
      <c r="S165" s="65" t="str">
        <f>IF($A165="","",IFERROR(AVERAGEIF('07_TRL_TLR'!$B$4:$B$1000,$A165,'07_TRL_TLR'!$F$4:$F$1000),""))</f>
        <v/>
      </c>
      <c r="T165" s="63" t="str">
        <f t="shared" si="9"/>
        <v/>
      </c>
      <c r="U165" s="66" t="str">
        <f t="shared" si="10"/>
        <v/>
      </c>
      <c r="V165" s="66" t="str">
        <f t="shared" si="11"/>
        <v/>
      </c>
    </row>
    <row r="166" spans="1:22">
      <c r="A166" s="67" t="str">
        <f>IF('03_Tecnologie'!A166="","",'03_Tecnologie'!A166)</f>
        <v/>
      </c>
      <c r="B166" s="67" t="str">
        <f>IF($A166="","",'03_Tecnologie'!D166)</f>
        <v/>
      </c>
      <c r="C166" s="67" t="str">
        <f>IF($A166="","",'03_Tecnologie'!B166)</f>
        <v/>
      </c>
      <c r="D166" s="67" t="str">
        <f>IF($A166="","",'03_Tecnologie'!F166)</f>
        <v/>
      </c>
      <c r="E166" s="63" t="str">
        <f>IF($A166="","",COUNTIF('04_Componenti'!$B$4:$B$1000,$A166))</f>
        <v/>
      </c>
      <c r="F166" s="63" t="str">
        <f>IF($A166="","",COUNTIF('05_Descrizione'!$B$4:$B$1000,$A166))</f>
        <v/>
      </c>
      <c r="G166" s="63" t="str">
        <f>IF($A166="","",COUNTIF('06_Avanzamento'!$B$4:$B$1000,$A166))</f>
        <v/>
      </c>
      <c r="H166" s="63" t="str">
        <f>IF($A166="","",COUNTIF('07_TRL_TLR'!$B$4:$B$1000,$A166))</f>
        <v/>
      </c>
      <c r="I166" s="63" t="str">
        <f>IF($A166="","",COUNTIF('08_Costi_Compet'!$B$4:$B$1000,$A166))</f>
        <v/>
      </c>
      <c r="J166" s="63" t="str">
        <f>IF($A166="","",COUNTIF('09_Settori_Impatto'!$B$4:$B$1000,$A166))</f>
        <v/>
      </c>
      <c r="K166" s="63" t="str">
        <f>IF($A166="","",COUNTIF('16_Mercati_Riferimento'!$B$4:$B$1000,$A166))</f>
        <v/>
      </c>
      <c r="L166" s="22" t="str">
        <f>IF($A166="","",COUNTIF('10_Sostenibilita'!$B$4:$B$1000,$A166))</f>
        <v/>
      </c>
      <c r="M166" s="63" t="str">
        <f>IF($A166="","",COUNTIF('11_Best_Practice'!$B$4:$B$1000,$A166))</f>
        <v/>
      </c>
      <c r="N166" s="63" t="str">
        <f>IF($A166="","",COUNTIF('12_Policy_Regolazione'!$B$4:$B$1000,$A166))</f>
        <v/>
      </c>
      <c r="O166" s="63" t="str">
        <f>IF($A166="","",COUNTIF('13_Barriere_Opp'!$B$4:$B$1000,$A166))</f>
        <v/>
      </c>
      <c r="P166" s="63" t="str">
        <f>IF($A166="","",COUNTIF('14_Attori_Imprese'!$B$4:$B$1000,$A166))</f>
        <v/>
      </c>
      <c r="Q166" s="63" t="str">
        <f>IF($A166="","",COUNTIF('15_Prestazioni'!$B$4:$B$1000,$A166))</f>
        <v/>
      </c>
      <c r="R166" s="64" t="str">
        <f t="shared" si="8"/>
        <v/>
      </c>
      <c r="S166" s="65" t="str">
        <f>IF($A166="","",IFERROR(AVERAGEIF('07_TRL_TLR'!$B$4:$B$1000,$A166,'07_TRL_TLR'!$F$4:$F$1000),""))</f>
        <v/>
      </c>
      <c r="T166" s="63" t="str">
        <f t="shared" si="9"/>
        <v/>
      </c>
      <c r="U166" s="66" t="str">
        <f t="shared" si="10"/>
        <v/>
      </c>
      <c r="V166" s="66" t="str">
        <f t="shared" si="11"/>
        <v/>
      </c>
    </row>
    <row r="167" spans="1:22">
      <c r="A167" s="67" t="str">
        <f>IF('03_Tecnologie'!A167="","",'03_Tecnologie'!A167)</f>
        <v/>
      </c>
      <c r="B167" s="67" t="str">
        <f>IF($A167="","",'03_Tecnologie'!D167)</f>
        <v/>
      </c>
      <c r="C167" s="67" t="str">
        <f>IF($A167="","",'03_Tecnologie'!B167)</f>
        <v/>
      </c>
      <c r="D167" s="67" t="str">
        <f>IF($A167="","",'03_Tecnologie'!F167)</f>
        <v/>
      </c>
      <c r="E167" s="63" t="str">
        <f>IF($A167="","",COUNTIF('04_Componenti'!$B$4:$B$1000,$A167))</f>
        <v/>
      </c>
      <c r="F167" s="63" t="str">
        <f>IF($A167="","",COUNTIF('05_Descrizione'!$B$4:$B$1000,$A167))</f>
        <v/>
      </c>
      <c r="G167" s="63" t="str">
        <f>IF($A167="","",COUNTIF('06_Avanzamento'!$B$4:$B$1000,$A167))</f>
        <v/>
      </c>
      <c r="H167" s="63" t="str">
        <f>IF($A167="","",COUNTIF('07_TRL_TLR'!$B$4:$B$1000,$A167))</f>
        <v/>
      </c>
      <c r="I167" s="63" t="str">
        <f>IF($A167="","",COUNTIF('08_Costi_Compet'!$B$4:$B$1000,$A167))</f>
        <v/>
      </c>
      <c r="J167" s="63" t="str">
        <f>IF($A167="","",COUNTIF('09_Settori_Impatto'!$B$4:$B$1000,$A167))</f>
        <v/>
      </c>
      <c r="K167" s="63" t="str">
        <f>IF($A167="","",COUNTIF('16_Mercati_Riferimento'!$B$4:$B$1000,$A167))</f>
        <v/>
      </c>
      <c r="L167" s="22" t="str">
        <f>IF($A167="","",COUNTIF('10_Sostenibilita'!$B$4:$B$1000,$A167))</f>
        <v/>
      </c>
      <c r="M167" s="63" t="str">
        <f>IF($A167="","",COUNTIF('11_Best_Practice'!$B$4:$B$1000,$A167))</f>
        <v/>
      </c>
      <c r="N167" s="63" t="str">
        <f>IF($A167="","",COUNTIF('12_Policy_Regolazione'!$B$4:$B$1000,$A167))</f>
        <v/>
      </c>
      <c r="O167" s="63" t="str">
        <f>IF($A167="","",COUNTIF('13_Barriere_Opp'!$B$4:$B$1000,$A167))</f>
        <v/>
      </c>
      <c r="P167" s="63" t="str">
        <f>IF($A167="","",COUNTIF('14_Attori_Imprese'!$B$4:$B$1000,$A167))</f>
        <v/>
      </c>
      <c r="Q167" s="63" t="str">
        <f>IF($A167="","",COUNTIF('15_Prestazioni'!$B$4:$B$1000,$A167))</f>
        <v/>
      </c>
      <c r="R167" s="64" t="str">
        <f t="shared" si="8"/>
        <v/>
      </c>
      <c r="S167" s="65" t="str">
        <f>IF($A167="","",IFERROR(AVERAGEIF('07_TRL_TLR'!$B$4:$B$1000,$A167,'07_TRL_TLR'!$F$4:$F$1000),""))</f>
        <v/>
      </c>
      <c r="T167" s="63" t="str">
        <f t="shared" si="9"/>
        <v/>
      </c>
      <c r="U167" s="66" t="str">
        <f t="shared" si="10"/>
        <v/>
      </c>
      <c r="V167" s="66" t="str">
        <f t="shared" si="11"/>
        <v/>
      </c>
    </row>
    <row r="168" spans="1:22">
      <c r="A168" s="67" t="str">
        <f>IF('03_Tecnologie'!A168="","",'03_Tecnologie'!A168)</f>
        <v/>
      </c>
      <c r="B168" s="67" t="str">
        <f>IF($A168="","",'03_Tecnologie'!D168)</f>
        <v/>
      </c>
      <c r="C168" s="67" t="str">
        <f>IF($A168="","",'03_Tecnologie'!B168)</f>
        <v/>
      </c>
      <c r="D168" s="67" t="str">
        <f>IF($A168="","",'03_Tecnologie'!F168)</f>
        <v/>
      </c>
      <c r="E168" s="63" t="str">
        <f>IF($A168="","",COUNTIF('04_Componenti'!$B$4:$B$1000,$A168))</f>
        <v/>
      </c>
      <c r="F168" s="63" t="str">
        <f>IF($A168="","",COUNTIF('05_Descrizione'!$B$4:$B$1000,$A168))</f>
        <v/>
      </c>
      <c r="G168" s="63" t="str">
        <f>IF($A168="","",COUNTIF('06_Avanzamento'!$B$4:$B$1000,$A168))</f>
        <v/>
      </c>
      <c r="H168" s="63" t="str">
        <f>IF($A168="","",COUNTIF('07_TRL_TLR'!$B$4:$B$1000,$A168))</f>
        <v/>
      </c>
      <c r="I168" s="63" t="str">
        <f>IF($A168="","",COUNTIF('08_Costi_Compet'!$B$4:$B$1000,$A168))</f>
        <v/>
      </c>
      <c r="J168" s="63" t="str">
        <f>IF($A168="","",COUNTIF('09_Settori_Impatto'!$B$4:$B$1000,$A168))</f>
        <v/>
      </c>
      <c r="K168" s="63" t="str">
        <f>IF($A168="","",COUNTIF('16_Mercati_Riferimento'!$B$4:$B$1000,$A168))</f>
        <v/>
      </c>
      <c r="L168" s="22" t="str">
        <f>IF($A168="","",COUNTIF('10_Sostenibilita'!$B$4:$B$1000,$A168))</f>
        <v/>
      </c>
      <c r="M168" s="63" t="str">
        <f>IF($A168="","",COUNTIF('11_Best_Practice'!$B$4:$B$1000,$A168))</f>
        <v/>
      </c>
      <c r="N168" s="63" t="str">
        <f>IF($A168="","",COUNTIF('12_Policy_Regolazione'!$B$4:$B$1000,$A168))</f>
        <v/>
      </c>
      <c r="O168" s="63" t="str">
        <f>IF($A168="","",COUNTIF('13_Barriere_Opp'!$B$4:$B$1000,$A168))</f>
        <v/>
      </c>
      <c r="P168" s="63" t="str">
        <f>IF($A168="","",COUNTIF('14_Attori_Imprese'!$B$4:$B$1000,$A168))</f>
        <v/>
      </c>
      <c r="Q168" s="63" t="str">
        <f>IF($A168="","",COUNTIF('15_Prestazioni'!$B$4:$B$1000,$A168))</f>
        <v/>
      </c>
      <c r="R168" s="64" t="str">
        <f t="shared" si="8"/>
        <v/>
      </c>
      <c r="S168" s="65" t="str">
        <f>IF($A168="","",IFERROR(AVERAGEIF('07_TRL_TLR'!$B$4:$B$1000,$A168,'07_TRL_TLR'!$F$4:$F$1000),""))</f>
        <v/>
      </c>
      <c r="T168" s="63" t="str">
        <f t="shared" si="9"/>
        <v/>
      </c>
      <c r="U168" s="66" t="str">
        <f t="shared" si="10"/>
        <v/>
      </c>
      <c r="V168" s="66" t="str">
        <f t="shared" si="11"/>
        <v/>
      </c>
    </row>
    <row r="169" spans="1:22">
      <c r="A169" s="67" t="str">
        <f>IF('03_Tecnologie'!A169="","",'03_Tecnologie'!A169)</f>
        <v/>
      </c>
      <c r="B169" s="67" t="str">
        <f>IF($A169="","",'03_Tecnologie'!D169)</f>
        <v/>
      </c>
      <c r="C169" s="67" t="str">
        <f>IF($A169="","",'03_Tecnologie'!B169)</f>
        <v/>
      </c>
      <c r="D169" s="67" t="str">
        <f>IF($A169="","",'03_Tecnologie'!F169)</f>
        <v/>
      </c>
      <c r="E169" s="63" t="str">
        <f>IF($A169="","",COUNTIF('04_Componenti'!$B$4:$B$1000,$A169))</f>
        <v/>
      </c>
      <c r="F169" s="63" t="str">
        <f>IF($A169="","",COUNTIF('05_Descrizione'!$B$4:$B$1000,$A169))</f>
        <v/>
      </c>
      <c r="G169" s="63" t="str">
        <f>IF($A169="","",COUNTIF('06_Avanzamento'!$B$4:$B$1000,$A169))</f>
        <v/>
      </c>
      <c r="H169" s="63" t="str">
        <f>IF($A169="","",COUNTIF('07_TRL_TLR'!$B$4:$B$1000,$A169))</f>
        <v/>
      </c>
      <c r="I169" s="63" t="str">
        <f>IF($A169="","",COUNTIF('08_Costi_Compet'!$B$4:$B$1000,$A169))</f>
        <v/>
      </c>
      <c r="J169" s="63" t="str">
        <f>IF($A169="","",COUNTIF('09_Settori_Impatto'!$B$4:$B$1000,$A169))</f>
        <v/>
      </c>
      <c r="K169" s="63" t="str">
        <f>IF($A169="","",COUNTIF('16_Mercati_Riferimento'!$B$4:$B$1000,$A169))</f>
        <v/>
      </c>
      <c r="L169" s="22" t="str">
        <f>IF($A169="","",COUNTIF('10_Sostenibilita'!$B$4:$B$1000,$A169))</f>
        <v/>
      </c>
      <c r="M169" s="63" t="str">
        <f>IF($A169="","",COUNTIF('11_Best_Practice'!$B$4:$B$1000,$A169))</f>
        <v/>
      </c>
      <c r="N169" s="63" t="str">
        <f>IF($A169="","",COUNTIF('12_Policy_Regolazione'!$B$4:$B$1000,$A169))</f>
        <v/>
      </c>
      <c r="O169" s="63" t="str">
        <f>IF($A169="","",COUNTIF('13_Barriere_Opp'!$B$4:$B$1000,$A169))</f>
        <v/>
      </c>
      <c r="P169" s="63" t="str">
        <f>IF($A169="","",COUNTIF('14_Attori_Imprese'!$B$4:$B$1000,$A169))</f>
        <v/>
      </c>
      <c r="Q169" s="63" t="str">
        <f>IF($A169="","",COUNTIF('15_Prestazioni'!$B$4:$B$1000,$A169))</f>
        <v/>
      </c>
      <c r="R169" s="64" t="str">
        <f t="shared" si="8"/>
        <v/>
      </c>
      <c r="S169" s="65" t="str">
        <f>IF($A169="","",IFERROR(AVERAGEIF('07_TRL_TLR'!$B$4:$B$1000,$A169,'07_TRL_TLR'!$F$4:$F$1000),""))</f>
        <v/>
      </c>
      <c r="T169" s="63" t="str">
        <f t="shared" si="9"/>
        <v/>
      </c>
      <c r="U169" s="66" t="str">
        <f t="shared" si="10"/>
        <v/>
      </c>
      <c r="V169" s="66" t="str">
        <f t="shared" si="11"/>
        <v/>
      </c>
    </row>
    <row r="170" spans="1:22">
      <c r="A170" s="67" t="str">
        <f>IF('03_Tecnologie'!A170="","",'03_Tecnologie'!A170)</f>
        <v/>
      </c>
      <c r="B170" s="67" t="str">
        <f>IF($A170="","",'03_Tecnologie'!D170)</f>
        <v/>
      </c>
      <c r="C170" s="67" t="str">
        <f>IF($A170="","",'03_Tecnologie'!B170)</f>
        <v/>
      </c>
      <c r="D170" s="67" t="str">
        <f>IF($A170="","",'03_Tecnologie'!F170)</f>
        <v/>
      </c>
      <c r="E170" s="63" t="str">
        <f>IF($A170="","",COUNTIF('04_Componenti'!$B$4:$B$1000,$A170))</f>
        <v/>
      </c>
      <c r="F170" s="63" t="str">
        <f>IF($A170="","",COUNTIF('05_Descrizione'!$B$4:$B$1000,$A170))</f>
        <v/>
      </c>
      <c r="G170" s="63" t="str">
        <f>IF($A170="","",COUNTIF('06_Avanzamento'!$B$4:$B$1000,$A170))</f>
        <v/>
      </c>
      <c r="H170" s="63" t="str">
        <f>IF($A170="","",COUNTIF('07_TRL_TLR'!$B$4:$B$1000,$A170))</f>
        <v/>
      </c>
      <c r="I170" s="63" t="str">
        <f>IF($A170="","",COUNTIF('08_Costi_Compet'!$B$4:$B$1000,$A170))</f>
        <v/>
      </c>
      <c r="J170" s="63" t="str">
        <f>IF($A170="","",COUNTIF('09_Settori_Impatto'!$B$4:$B$1000,$A170))</f>
        <v/>
      </c>
      <c r="K170" s="63" t="str">
        <f>IF($A170="","",COUNTIF('16_Mercati_Riferimento'!$B$4:$B$1000,$A170))</f>
        <v/>
      </c>
      <c r="L170" s="22" t="str">
        <f>IF($A170="","",COUNTIF('10_Sostenibilita'!$B$4:$B$1000,$A170))</f>
        <v/>
      </c>
      <c r="M170" s="63" t="str">
        <f>IF($A170="","",COUNTIF('11_Best_Practice'!$B$4:$B$1000,$A170))</f>
        <v/>
      </c>
      <c r="N170" s="63" t="str">
        <f>IF($A170="","",COUNTIF('12_Policy_Regolazione'!$B$4:$B$1000,$A170))</f>
        <v/>
      </c>
      <c r="O170" s="63" t="str">
        <f>IF($A170="","",COUNTIF('13_Barriere_Opp'!$B$4:$B$1000,$A170))</f>
        <v/>
      </c>
      <c r="P170" s="63" t="str">
        <f>IF($A170="","",COUNTIF('14_Attori_Imprese'!$B$4:$B$1000,$A170))</f>
        <v/>
      </c>
      <c r="Q170" s="63" t="str">
        <f>IF($A170="","",COUNTIF('15_Prestazioni'!$B$4:$B$1000,$A170))</f>
        <v/>
      </c>
      <c r="R170" s="64" t="str">
        <f t="shared" si="8"/>
        <v/>
      </c>
      <c r="S170" s="65" t="str">
        <f>IF($A170="","",IFERROR(AVERAGEIF('07_TRL_TLR'!$B$4:$B$1000,$A170,'07_TRL_TLR'!$F$4:$F$1000),""))</f>
        <v/>
      </c>
      <c r="T170" s="63" t="str">
        <f t="shared" si="9"/>
        <v/>
      </c>
      <c r="U170" s="66" t="str">
        <f t="shared" si="10"/>
        <v/>
      </c>
      <c r="V170" s="66" t="str">
        <f t="shared" si="11"/>
        <v/>
      </c>
    </row>
    <row r="171" spans="1:22">
      <c r="A171" s="67" t="str">
        <f>IF('03_Tecnologie'!A171="","",'03_Tecnologie'!A171)</f>
        <v/>
      </c>
      <c r="B171" s="67" t="str">
        <f>IF($A171="","",'03_Tecnologie'!D171)</f>
        <v/>
      </c>
      <c r="C171" s="67" t="str">
        <f>IF($A171="","",'03_Tecnologie'!B171)</f>
        <v/>
      </c>
      <c r="D171" s="67" t="str">
        <f>IF($A171="","",'03_Tecnologie'!F171)</f>
        <v/>
      </c>
      <c r="E171" s="63" t="str">
        <f>IF($A171="","",COUNTIF('04_Componenti'!$B$4:$B$1000,$A171))</f>
        <v/>
      </c>
      <c r="F171" s="63" t="str">
        <f>IF($A171="","",COUNTIF('05_Descrizione'!$B$4:$B$1000,$A171))</f>
        <v/>
      </c>
      <c r="G171" s="63" t="str">
        <f>IF($A171="","",COUNTIF('06_Avanzamento'!$B$4:$B$1000,$A171))</f>
        <v/>
      </c>
      <c r="H171" s="63" t="str">
        <f>IF($A171="","",COUNTIF('07_TRL_TLR'!$B$4:$B$1000,$A171))</f>
        <v/>
      </c>
      <c r="I171" s="63" t="str">
        <f>IF($A171="","",COUNTIF('08_Costi_Compet'!$B$4:$B$1000,$A171))</f>
        <v/>
      </c>
      <c r="J171" s="63" t="str">
        <f>IF($A171="","",COUNTIF('09_Settori_Impatto'!$B$4:$B$1000,$A171))</f>
        <v/>
      </c>
      <c r="K171" s="63" t="str">
        <f>IF($A171="","",COUNTIF('16_Mercati_Riferimento'!$B$4:$B$1000,$A171))</f>
        <v/>
      </c>
      <c r="L171" s="22" t="str">
        <f>IF($A171="","",COUNTIF('10_Sostenibilita'!$B$4:$B$1000,$A171))</f>
        <v/>
      </c>
      <c r="M171" s="63" t="str">
        <f>IF($A171="","",COUNTIF('11_Best_Practice'!$B$4:$B$1000,$A171))</f>
        <v/>
      </c>
      <c r="N171" s="63" t="str">
        <f>IF($A171="","",COUNTIF('12_Policy_Regolazione'!$B$4:$B$1000,$A171))</f>
        <v/>
      </c>
      <c r="O171" s="63" t="str">
        <f>IF($A171="","",COUNTIF('13_Barriere_Opp'!$B$4:$B$1000,$A171))</f>
        <v/>
      </c>
      <c r="P171" s="63" t="str">
        <f>IF($A171="","",COUNTIF('14_Attori_Imprese'!$B$4:$B$1000,$A171))</f>
        <v/>
      </c>
      <c r="Q171" s="63" t="str">
        <f>IF($A171="","",COUNTIF('15_Prestazioni'!$B$4:$B$1000,$A171))</f>
        <v/>
      </c>
      <c r="R171" s="64" t="str">
        <f t="shared" si="8"/>
        <v/>
      </c>
      <c r="S171" s="65" t="str">
        <f>IF($A171="","",IFERROR(AVERAGEIF('07_TRL_TLR'!$B$4:$B$1000,$A171,'07_TRL_TLR'!$F$4:$F$1000),""))</f>
        <v/>
      </c>
      <c r="T171" s="63" t="str">
        <f t="shared" si="9"/>
        <v/>
      </c>
      <c r="U171" s="66" t="str">
        <f t="shared" si="10"/>
        <v/>
      </c>
      <c r="V171" s="66" t="str">
        <f t="shared" si="11"/>
        <v/>
      </c>
    </row>
    <row r="172" spans="1:22">
      <c r="A172" s="67" t="str">
        <f>IF('03_Tecnologie'!A172="","",'03_Tecnologie'!A172)</f>
        <v/>
      </c>
      <c r="B172" s="67" t="str">
        <f>IF($A172="","",'03_Tecnologie'!D172)</f>
        <v/>
      </c>
      <c r="C172" s="67" t="str">
        <f>IF($A172="","",'03_Tecnologie'!B172)</f>
        <v/>
      </c>
      <c r="D172" s="67" t="str">
        <f>IF($A172="","",'03_Tecnologie'!F172)</f>
        <v/>
      </c>
      <c r="E172" s="63" t="str">
        <f>IF($A172="","",COUNTIF('04_Componenti'!$B$4:$B$1000,$A172))</f>
        <v/>
      </c>
      <c r="F172" s="63" t="str">
        <f>IF($A172="","",COUNTIF('05_Descrizione'!$B$4:$B$1000,$A172))</f>
        <v/>
      </c>
      <c r="G172" s="63" t="str">
        <f>IF($A172="","",COUNTIF('06_Avanzamento'!$B$4:$B$1000,$A172))</f>
        <v/>
      </c>
      <c r="H172" s="63" t="str">
        <f>IF($A172="","",COUNTIF('07_TRL_TLR'!$B$4:$B$1000,$A172))</f>
        <v/>
      </c>
      <c r="I172" s="63" t="str">
        <f>IF($A172="","",COUNTIF('08_Costi_Compet'!$B$4:$B$1000,$A172))</f>
        <v/>
      </c>
      <c r="J172" s="63" t="str">
        <f>IF($A172="","",COUNTIF('09_Settori_Impatto'!$B$4:$B$1000,$A172))</f>
        <v/>
      </c>
      <c r="K172" s="63" t="str">
        <f>IF($A172="","",COUNTIF('16_Mercati_Riferimento'!$B$4:$B$1000,$A172))</f>
        <v/>
      </c>
      <c r="L172" s="22" t="str">
        <f>IF($A172="","",COUNTIF('10_Sostenibilita'!$B$4:$B$1000,$A172))</f>
        <v/>
      </c>
      <c r="M172" s="63" t="str">
        <f>IF($A172="","",COUNTIF('11_Best_Practice'!$B$4:$B$1000,$A172))</f>
        <v/>
      </c>
      <c r="N172" s="63" t="str">
        <f>IF($A172="","",COUNTIF('12_Policy_Regolazione'!$B$4:$B$1000,$A172))</f>
        <v/>
      </c>
      <c r="O172" s="63" t="str">
        <f>IF($A172="","",COUNTIF('13_Barriere_Opp'!$B$4:$B$1000,$A172))</f>
        <v/>
      </c>
      <c r="P172" s="63" t="str">
        <f>IF($A172="","",COUNTIF('14_Attori_Imprese'!$B$4:$B$1000,$A172))</f>
        <v/>
      </c>
      <c r="Q172" s="63" t="str">
        <f>IF($A172="","",COUNTIF('15_Prestazioni'!$B$4:$B$1000,$A172))</f>
        <v/>
      </c>
      <c r="R172" s="64" t="str">
        <f t="shared" si="8"/>
        <v/>
      </c>
      <c r="S172" s="65" t="str">
        <f>IF($A172="","",IFERROR(AVERAGEIF('07_TRL_TLR'!$B$4:$B$1000,$A172,'07_TRL_TLR'!$F$4:$F$1000),""))</f>
        <v/>
      </c>
      <c r="T172" s="63" t="str">
        <f t="shared" si="9"/>
        <v/>
      </c>
      <c r="U172" s="66" t="str">
        <f t="shared" si="10"/>
        <v/>
      </c>
      <c r="V172" s="66" t="str">
        <f t="shared" si="11"/>
        <v/>
      </c>
    </row>
    <row r="173" spans="1:22">
      <c r="A173" s="67" t="str">
        <f>IF('03_Tecnologie'!A173="","",'03_Tecnologie'!A173)</f>
        <v/>
      </c>
      <c r="B173" s="67" t="str">
        <f>IF($A173="","",'03_Tecnologie'!D173)</f>
        <v/>
      </c>
      <c r="C173" s="67" t="str">
        <f>IF($A173="","",'03_Tecnologie'!B173)</f>
        <v/>
      </c>
      <c r="D173" s="67" t="str">
        <f>IF($A173="","",'03_Tecnologie'!F173)</f>
        <v/>
      </c>
      <c r="E173" s="63" t="str">
        <f>IF($A173="","",COUNTIF('04_Componenti'!$B$4:$B$1000,$A173))</f>
        <v/>
      </c>
      <c r="F173" s="63" t="str">
        <f>IF($A173="","",COUNTIF('05_Descrizione'!$B$4:$B$1000,$A173))</f>
        <v/>
      </c>
      <c r="G173" s="63" t="str">
        <f>IF($A173="","",COUNTIF('06_Avanzamento'!$B$4:$B$1000,$A173))</f>
        <v/>
      </c>
      <c r="H173" s="63" t="str">
        <f>IF($A173="","",COUNTIF('07_TRL_TLR'!$B$4:$B$1000,$A173))</f>
        <v/>
      </c>
      <c r="I173" s="63" t="str">
        <f>IF($A173="","",COUNTIF('08_Costi_Compet'!$B$4:$B$1000,$A173))</f>
        <v/>
      </c>
      <c r="J173" s="63" t="str">
        <f>IF($A173="","",COUNTIF('09_Settori_Impatto'!$B$4:$B$1000,$A173))</f>
        <v/>
      </c>
      <c r="K173" s="63" t="str">
        <f>IF($A173="","",COUNTIF('16_Mercati_Riferimento'!$B$4:$B$1000,$A173))</f>
        <v/>
      </c>
      <c r="L173" s="22" t="str">
        <f>IF($A173="","",COUNTIF('10_Sostenibilita'!$B$4:$B$1000,$A173))</f>
        <v/>
      </c>
      <c r="M173" s="63" t="str">
        <f>IF($A173="","",COUNTIF('11_Best_Practice'!$B$4:$B$1000,$A173))</f>
        <v/>
      </c>
      <c r="N173" s="63" t="str">
        <f>IF($A173="","",COUNTIF('12_Policy_Regolazione'!$B$4:$B$1000,$A173))</f>
        <v/>
      </c>
      <c r="O173" s="63" t="str">
        <f>IF($A173="","",COUNTIF('13_Barriere_Opp'!$B$4:$B$1000,$A173))</f>
        <v/>
      </c>
      <c r="P173" s="63" t="str">
        <f>IF($A173="","",COUNTIF('14_Attori_Imprese'!$B$4:$B$1000,$A173))</f>
        <v/>
      </c>
      <c r="Q173" s="63" t="str">
        <f>IF($A173="","",COUNTIF('15_Prestazioni'!$B$4:$B$1000,$A173))</f>
        <v/>
      </c>
      <c r="R173" s="64" t="str">
        <f t="shared" si="8"/>
        <v/>
      </c>
      <c r="S173" s="65" t="str">
        <f>IF($A173="","",IFERROR(AVERAGEIF('07_TRL_TLR'!$B$4:$B$1000,$A173,'07_TRL_TLR'!$F$4:$F$1000),""))</f>
        <v/>
      </c>
      <c r="T173" s="63" t="str">
        <f t="shared" si="9"/>
        <v/>
      </c>
      <c r="U173" s="66" t="str">
        <f t="shared" si="10"/>
        <v/>
      </c>
      <c r="V173" s="66" t="str">
        <f t="shared" si="11"/>
        <v/>
      </c>
    </row>
    <row r="174" spans="1:22">
      <c r="A174" s="67" t="str">
        <f>IF('03_Tecnologie'!A174="","",'03_Tecnologie'!A174)</f>
        <v/>
      </c>
      <c r="B174" s="67" t="str">
        <f>IF($A174="","",'03_Tecnologie'!D174)</f>
        <v/>
      </c>
      <c r="C174" s="67" t="str">
        <f>IF($A174="","",'03_Tecnologie'!B174)</f>
        <v/>
      </c>
      <c r="D174" s="67" t="str">
        <f>IF($A174="","",'03_Tecnologie'!F174)</f>
        <v/>
      </c>
      <c r="E174" s="63" t="str">
        <f>IF($A174="","",COUNTIF('04_Componenti'!$B$4:$B$1000,$A174))</f>
        <v/>
      </c>
      <c r="F174" s="63" t="str">
        <f>IF($A174="","",COUNTIF('05_Descrizione'!$B$4:$B$1000,$A174))</f>
        <v/>
      </c>
      <c r="G174" s="63" t="str">
        <f>IF($A174="","",COUNTIF('06_Avanzamento'!$B$4:$B$1000,$A174))</f>
        <v/>
      </c>
      <c r="H174" s="63" t="str">
        <f>IF($A174="","",COUNTIF('07_TRL_TLR'!$B$4:$B$1000,$A174))</f>
        <v/>
      </c>
      <c r="I174" s="63" t="str">
        <f>IF($A174="","",COUNTIF('08_Costi_Compet'!$B$4:$B$1000,$A174))</f>
        <v/>
      </c>
      <c r="J174" s="63" t="str">
        <f>IF($A174="","",COUNTIF('09_Settori_Impatto'!$B$4:$B$1000,$A174))</f>
        <v/>
      </c>
      <c r="K174" s="63" t="str">
        <f>IF($A174="","",COUNTIF('16_Mercati_Riferimento'!$B$4:$B$1000,$A174))</f>
        <v/>
      </c>
      <c r="L174" s="22" t="str">
        <f>IF($A174="","",COUNTIF('10_Sostenibilita'!$B$4:$B$1000,$A174))</f>
        <v/>
      </c>
      <c r="M174" s="63" t="str">
        <f>IF($A174="","",COUNTIF('11_Best_Practice'!$B$4:$B$1000,$A174))</f>
        <v/>
      </c>
      <c r="N174" s="63" t="str">
        <f>IF($A174="","",COUNTIF('12_Policy_Regolazione'!$B$4:$B$1000,$A174))</f>
        <v/>
      </c>
      <c r="O174" s="63" t="str">
        <f>IF($A174="","",COUNTIF('13_Barriere_Opp'!$B$4:$B$1000,$A174))</f>
        <v/>
      </c>
      <c r="P174" s="63" t="str">
        <f>IF($A174="","",COUNTIF('14_Attori_Imprese'!$B$4:$B$1000,$A174))</f>
        <v/>
      </c>
      <c r="Q174" s="63" t="str">
        <f>IF($A174="","",COUNTIF('15_Prestazioni'!$B$4:$B$1000,$A174))</f>
        <v/>
      </c>
      <c r="R174" s="64" t="str">
        <f t="shared" si="8"/>
        <v/>
      </c>
      <c r="S174" s="65" t="str">
        <f>IF($A174="","",IFERROR(AVERAGEIF('07_TRL_TLR'!$B$4:$B$1000,$A174,'07_TRL_TLR'!$F$4:$F$1000),""))</f>
        <v/>
      </c>
      <c r="T174" s="63" t="str">
        <f t="shared" si="9"/>
        <v/>
      </c>
      <c r="U174" s="66" t="str">
        <f t="shared" si="10"/>
        <v/>
      </c>
      <c r="V174" s="66" t="str">
        <f t="shared" si="11"/>
        <v/>
      </c>
    </row>
    <row r="175" spans="1:22">
      <c r="A175" s="67" t="str">
        <f>IF('03_Tecnologie'!A175="","",'03_Tecnologie'!A175)</f>
        <v/>
      </c>
      <c r="B175" s="67" t="str">
        <f>IF($A175="","",'03_Tecnologie'!D175)</f>
        <v/>
      </c>
      <c r="C175" s="67" t="str">
        <f>IF($A175="","",'03_Tecnologie'!B175)</f>
        <v/>
      </c>
      <c r="D175" s="67" t="str">
        <f>IF($A175="","",'03_Tecnologie'!F175)</f>
        <v/>
      </c>
      <c r="E175" s="63" t="str">
        <f>IF($A175="","",COUNTIF('04_Componenti'!$B$4:$B$1000,$A175))</f>
        <v/>
      </c>
      <c r="F175" s="63" t="str">
        <f>IF($A175="","",COUNTIF('05_Descrizione'!$B$4:$B$1000,$A175))</f>
        <v/>
      </c>
      <c r="G175" s="63" t="str">
        <f>IF($A175="","",COUNTIF('06_Avanzamento'!$B$4:$B$1000,$A175))</f>
        <v/>
      </c>
      <c r="H175" s="63" t="str">
        <f>IF($A175="","",COUNTIF('07_TRL_TLR'!$B$4:$B$1000,$A175))</f>
        <v/>
      </c>
      <c r="I175" s="63" t="str">
        <f>IF($A175="","",COUNTIF('08_Costi_Compet'!$B$4:$B$1000,$A175))</f>
        <v/>
      </c>
      <c r="J175" s="63" t="str">
        <f>IF($A175="","",COUNTIF('09_Settori_Impatto'!$B$4:$B$1000,$A175))</f>
        <v/>
      </c>
      <c r="K175" s="63" t="str">
        <f>IF($A175="","",COUNTIF('16_Mercati_Riferimento'!$B$4:$B$1000,$A175))</f>
        <v/>
      </c>
      <c r="L175" s="22" t="str">
        <f>IF($A175="","",COUNTIF('10_Sostenibilita'!$B$4:$B$1000,$A175))</f>
        <v/>
      </c>
      <c r="M175" s="63" t="str">
        <f>IF($A175="","",COUNTIF('11_Best_Practice'!$B$4:$B$1000,$A175))</f>
        <v/>
      </c>
      <c r="N175" s="63" t="str">
        <f>IF($A175="","",COUNTIF('12_Policy_Regolazione'!$B$4:$B$1000,$A175))</f>
        <v/>
      </c>
      <c r="O175" s="63" t="str">
        <f>IF($A175="","",COUNTIF('13_Barriere_Opp'!$B$4:$B$1000,$A175))</f>
        <v/>
      </c>
      <c r="P175" s="63" t="str">
        <f>IF($A175="","",COUNTIF('14_Attori_Imprese'!$B$4:$B$1000,$A175))</f>
        <v/>
      </c>
      <c r="Q175" s="63" t="str">
        <f>IF($A175="","",COUNTIF('15_Prestazioni'!$B$4:$B$1000,$A175))</f>
        <v/>
      </c>
      <c r="R175" s="64" t="str">
        <f t="shared" si="8"/>
        <v/>
      </c>
      <c r="S175" s="65" t="str">
        <f>IF($A175="","",IFERROR(AVERAGEIF('07_TRL_TLR'!$B$4:$B$1000,$A175,'07_TRL_TLR'!$F$4:$F$1000),""))</f>
        <v/>
      </c>
      <c r="T175" s="63" t="str">
        <f t="shared" si="9"/>
        <v/>
      </c>
      <c r="U175" s="66" t="str">
        <f t="shared" si="10"/>
        <v/>
      </c>
      <c r="V175" s="66" t="str">
        <f t="shared" si="11"/>
        <v/>
      </c>
    </row>
    <row r="176" spans="1:22">
      <c r="A176" s="67" t="str">
        <f>IF('03_Tecnologie'!A176="","",'03_Tecnologie'!A176)</f>
        <v/>
      </c>
      <c r="B176" s="67" t="str">
        <f>IF($A176="","",'03_Tecnologie'!D176)</f>
        <v/>
      </c>
      <c r="C176" s="67" t="str">
        <f>IF($A176="","",'03_Tecnologie'!B176)</f>
        <v/>
      </c>
      <c r="D176" s="67" t="str">
        <f>IF($A176="","",'03_Tecnologie'!F176)</f>
        <v/>
      </c>
      <c r="E176" s="63" t="str">
        <f>IF($A176="","",COUNTIF('04_Componenti'!$B$4:$B$1000,$A176))</f>
        <v/>
      </c>
      <c r="F176" s="63" t="str">
        <f>IF($A176="","",COUNTIF('05_Descrizione'!$B$4:$B$1000,$A176))</f>
        <v/>
      </c>
      <c r="G176" s="63" t="str">
        <f>IF($A176="","",COUNTIF('06_Avanzamento'!$B$4:$B$1000,$A176))</f>
        <v/>
      </c>
      <c r="H176" s="63" t="str">
        <f>IF($A176="","",COUNTIF('07_TRL_TLR'!$B$4:$B$1000,$A176))</f>
        <v/>
      </c>
      <c r="I176" s="63" t="str">
        <f>IF($A176="","",COUNTIF('08_Costi_Compet'!$B$4:$B$1000,$A176))</f>
        <v/>
      </c>
      <c r="J176" s="63" t="str">
        <f>IF($A176="","",COUNTIF('09_Settori_Impatto'!$B$4:$B$1000,$A176))</f>
        <v/>
      </c>
      <c r="K176" s="63" t="str">
        <f>IF($A176="","",COUNTIF('16_Mercati_Riferimento'!$B$4:$B$1000,$A176))</f>
        <v/>
      </c>
      <c r="L176" s="22" t="str">
        <f>IF($A176="","",COUNTIF('10_Sostenibilita'!$B$4:$B$1000,$A176))</f>
        <v/>
      </c>
      <c r="M176" s="63" t="str">
        <f>IF($A176="","",COUNTIF('11_Best_Practice'!$B$4:$B$1000,$A176))</f>
        <v/>
      </c>
      <c r="N176" s="63" t="str">
        <f>IF($A176="","",COUNTIF('12_Policy_Regolazione'!$B$4:$B$1000,$A176))</f>
        <v/>
      </c>
      <c r="O176" s="63" t="str">
        <f>IF($A176="","",COUNTIF('13_Barriere_Opp'!$B$4:$B$1000,$A176))</f>
        <v/>
      </c>
      <c r="P176" s="63" t="str">
        <f>IF($A176="","",COUNTIF('14_Attori_Imprese'!$B$4:$B$1000,$A176))</f>
        <v/>
      </c>
      <c r="Q176" s="63" t="str">
        <f>IF($A176="","",COUNTIF('15_Prestazioni'!$B$4:$B$1000,$A176))</f>
        <v/>
      </c>
      <c r="R176" s="64" t="str">
        <f t="shared" si="8"/>
        <v/>
      </c>
      <c r="S176" s="65" t="str">
        <f>IF($A176="","",IFERROR(AVERAGEIF('07_TRL_TLR'!$B$4:$B$1000,$A176,'07_TRL_TLR'!$F$4:$F$1000),""))</f>
        <v/>
      </c>
      <c r="T176" s="63" t="str">
        <f t="shared" si="9"/>
        <v/>
      </c>
      <c r="U176" s="66" t="str">
        <f t="shared" si="10"/>
        <v/>
      </c>
      <c r="V176" s="66" t="str">
        <f t="shared" si="11"/>
        <v/>
      </c>
    </row>
    <row r="177" spans="1:22">
      <c r="A177" s="67" t="str">
        <f>IF('03_Tecnologie'!A177="","",'03_Tecnologie'!A177)</f>
        <v/>
      </c>
      <c r="B177" s="67" t="str">
        <f>IF($A177="","",'03_Tecnologie'!D177)</f>
        <v/>
      </c>
      <c r="C177" s="67" t="str">
        <f>IF($A177="","",'03_Tecnologie'!B177)</f>
        <v/>
      </c>
      <c r="D177" s="67" t="str">
        <f>IF($A177="","",'03_Tecnologie'!F177)</f>
        <v/>
      </c>
      <c r="E177" s="63" t="str">
        <f>IF($A177="","",COUNTIF('04_Componenti'!$B$4:$B$1000,$A177))</f>
        <v/>
      </c>
      <c r="F177" s="63" t="str">
        <f>IF($A177="","",COUNTIF('05_Descrizione'!$B$4:$B$1000,$A177))</f>
        <v/>
      </c>
      <c r="G177" s="63" t="str">
        <f>IF($A177="","",COUNTIF('06_Avanzamento'!$B$4:$B$1000,$A177))</f>
        <v/>
      </c>
      <c r="H177" s="63" t="str">
        <f>IF($A177="","",COUNTIF('07_TRL_TLR'!$B$4:$B$1000,$A177))</f>
        <v/>
      </c>
      <c r="I177" s="63" t="str">
        <f>IF($A177="","",COUNTIF('08_Costi_Compet'!$B$4:$B$1000,$A177))</f>
        <v/>
      </c>
      <c r="J177" s="63" t="str">
        <f>IF($A177="","",COUNTIF('09_Settori_Impatto'!$B$4:$B$1000,$A177))</f>
        <v/>
      </c>
      <c r="K177" s="63" t="str">
        <f>IF($A177="","",COUNTIF('16_Mercati_Riferimento'!$B$4:$B$1000,$A177))</f>
        <v/>
      </c>
      <c r="L177" s="22" t="str">
        <f>IF($A177="","",COUNTIF('10_Sostenibilita'!$B$4:$B$1000,$A177))</f>
        <v/>
      </c>
      <c r="M177" s="63" t="str">
        <f>IF($A177="","",COUNTIF('11_Best_Practice'!$B$4:$B$1000,$A177))</f>
        <v/>
      </c>
      <c r="N177" s="63" t="str">
        <f>IF($A177="","",COUNTIF('12_Policy_Regolazione'!$B$4:$B$1000,$A177))</f>
        <v/>
      </c>
      <c r="O177" s="63" t="str">
        <f>IF($A177="","",COUNTIF('13_Barriere_Opp'!$B$4:$B$1000,$A177))</f>
        <v/>
      </c>
      <c r="P177" s="63" t="str">
        <f>IF($A177="","",COUNTIF('14_Attori_Imprese'!$B$4:$B$1000,$A177))</f>
        <v/>
      </c>
      <c r="Q177" s="63" t="str">
        <f>IF($A177="","",COUNTIF('15_Prestazioni'!$B$4:$B$1000,$A177))</f>
        <v/>
      </c>
      <c r="R177" s="64" t="str">
        <f t="shared" si="8"/>
        <v/>
      </c>
      <c r="S177" s="65" t="str">
        <f>IF($A177="","",IFERROR(AVERAGEIF('07_TRL_TLR'!$B$4:$B$1000,$A177,'07_TRL_TLR'!$F$4:$F$1000),""))</f>
        <v/>
      </c>
      <c r="T177" s="63" t="str">
        <f t="shared" si="9"/>
        <v/>
      </c>
      <c r="U177" s="66" t="str">
        <f t="shared" si="10"/>
        <v/>
      </c>
      <c r="V177" s="66" t="str">
        <f t="shared" si="11"/>
        <v/>
      </c>
    </row>
    <row r="178" spans="1:22">
      <c r="A178" s="67" t="str">
        <f>IF('03_Tecnologie'!A178="","",'03_Tecnologie'!A178)</f>
        <v/>
      </c>
      <c r="B178" s="67" t="str">
        <f>IF($A178="","",'03_Tecnologie'!D178)</f>
        <v/>
      </c>
      <c r="C178" s="67" t="str">
        <f>IF($A178="","",'03_Tecnologie'!B178)</f>
        <v/>
      </c>
      <c r="D178" s="67" t="str">
        <f>IF($A178="","",'03_Tecnologie'!F178)</f>
        <v/>
      </c>
      <c r="E178" s="63" t="str">
        <f>IF($A178="","",COUNTIF('04_Componenti'!$B$4:$B$1000,$A178))</f>
        <v/>
      </c>
      <c r="F178" s="63" t="str">
        <f>IF($A178="","",COUNTIF('05_Descrizione'!$B$4:$B$1000,$A178))</f>
        <v/>
      </c>
      <c r="G178" s="63" t="str">
        <f>IF($A178="","",COUNTIF('06_Avanzamento'!$B$4:$B$1000,$A178))</f>
        <v/>
      </c>
      <c r="H178" s="63" t="str">
        <f>IF($A178="","",COUNTIF('07_TRL_TLR'!$B$4:$B$1000,$A178))</f>
        <v/>
      </c>
      <c r="I178" s="63" t="str">
        <f>IF($A178="","",COUNTIF('08_Costi_Compet'!$B$4:$B$1000,$A178))</f>
        <v/>
      </c>
      <c r="J178" s="63" t="str">
        <f>IF($A178="","",COUNTIF('09_Settori_Impatto'!$B$4:$B$1000,$A178))</f>
        <v/>
      </c>
      <c r="K178" s="63" t="str">
        <f>IF($A178="","",COUNTIF('16_Mercati_Riferimento'!$B$4:$B$1000,$A178))</f>
        <v/>
      </c>
      <c r="L178" s="22" t="str">
        <f>IF($A178="","",COUNTIF('10_Sostenibilita'!$B$4:$B$1000,$A178))</f>
        <v/>
      </c>
      <c r="M178" s="63" t="str">
        <f>IF($A178="","",COUNTIF('11_Best_Practice'!$B$4:$B$1000,$A178))</f>
        <v/>
      </c>
      <c r="N178" s="63" t="str">
        <f>IF($A178="","",COUNTIF('12_Policy_Regolazione'!$B$4:$B$1000,$A178))</f>
        <v/>
      </c>
      <c r="O178" s="63" t="str">
        <f>IF($A178="","",COUNTIF('13_Barriere_Opp'!$B$4:$B$1000,$A178))</f>
        <v/>
      </c>
      <c r="P178" s="63" t="str">
        <f>IF($A178="","",COUNTIF('14_Attori_Imprese'!$B$4:$B$1000,$A178))</f>
        <v/>
      </c>
      <c r="Q178" s="63" t="str">
        <f>IF($A178="","",COUNTIF('15_Prestazioni'!$B$4:$B$1000,$A178))</f>
        <v/>
      </c>
      <c r="R178" s="64" t="str">
        <f t="shared" si="8"/>
        <v/>
      </c>
      <c r="S178" s="65" t="str">
        <f>IF($A178="","",IFERROR(AVERAGEIF('07_TRL_TLR'!$B$4:$B$1000,$A178,'07_TRL_TLR'!$F$4:$F$1000),""))</f>
        <v/>
      </c>
      <c r="T178" s="63" t="str">
        <f t="shared" si="9"/>
        <v/>
      </c>
      <c r="U178" s="66" t="str">
        <f t="shared" si="10"/>
        <v/>
      </c>
      <c r="V178" s="66" t="str">
        <f t="shared" si="11"/>
        <v/>
      </c>
    </row>
    <row r="179" spans="1:22">
      <c r="A179" s="67" t="str">
        <f>IF('03_Tecnologie'!A179="","",'03_Tecnologie'!A179)</f>
        <v/>
      </c>
      <c r="B179" s="67" t="str">
        <f>IF($A179="","",'03_Tecnologie'!D179)</f>
        <v/>
      </c>
      <c r="C179" s="67" t="str">
        <f>IF($A179="","",'03_Tecnologie'!B179)</f>
        <v/>
      </c>
      <c r="D179" s="67" t="str">
        <f>IF($A179="","",'03_Tecnologie'!F179)</f>
        <v/>
      </c>
      <c r="E179" s="63" t="str">
        <f>IF($A179="","",COUNTIF('04_Componenti'!$B$4:$B$1000,$A179))</f>
        <v/>
      </c>
      <c r="F179" s="63" t="str">
        <f>IF($A179="","",COUNTIF('05_Descrizione'!$B$4:$B$1000,$A179))</f>
        <v/>
      </c>
      <c r="G179" s="63" t="str">
        <f>IF($A179="","",COUNTIF('06_Avanzamento'!$B$4:$B$1000,$A179))</f>
        <v/>
      </c>
      <c r="H179" s="63" t="str">
        <f>IF($A179="","",COUNTIF('07_TRL_TLR'!$B$4:$B$1000,$A179))</f>
        <v/>
      </c>
      <c r="I179" s="63" t="str">
        <f>IF($A179="","",COUNTIF('08_Costi_Compet'!$B$4:$B$1000,$A179))</f>
        <v/>
      </c>
      <c r="J179" s="63" t="str">
        <f>IF($A179="","",COUNTIF('09_Settori_Impatto'!$B$4:$B$1000,$A179))</f>
        <v/>
      </c>
      <c r="K179" s="63" t="str">
        <f>IF($A179="","",COUNTIF('16_Mercati_Riferimento'!$B$4:$B$1000,$A179))</f>
        <v/>
      </c>
      <c r="L179" s="22" t="str">
        <f>IF($A179="","",COUNTIF('10_Sostenibilita'!$B$4:$B$1000,$A179))</f>
        <v/>
      </c>
      <c r="M179" s="63" t="str">
        <f>IF($A179="","",COUNTIF('11_Best_Practice'!$B$4:$B$1000,$A179))</f>
        <v/>
      </c>
      <c r="N179" s="63" t="str">
        <f>IF($A179="","",COUNTIF('12_Policy_Regolazione'!$B$4:$B$1000,$A179))</f>
        <v/>
      </c>
      <c r="O179" s="63" t="str">
        <f>IF($A179="","",COUNTIF('13_Barriere_Opp'!$B$4:$B$1000,$A179))</f>
        <v/>
      </c>
      <c r="P179" s="63" t="str">
        <f>IF($A179="","",COUNTIF('14_Attori_Imprese'!$B$4:$B$1000,$A179))</f>
        <v/>
      </c>
      <c r="Q179" s="63" t="str">
        <f>IF($A179="","",COUNTIF('15_Prestazioni'!$B$4:$B$1000,$A179))</f>
        <v/>
      </c>
      <c r="R179" s="64" t="str">
        <f t="shared" si="8"/>
        <v/>
      </c>
      <c r="S179" s="65" t="str">
        <f>IF($A179="","",IFERROR(AVERAGEIF('07_TRL_TLR'!$B$4:$B$1000,$A179,'07_TRL_TLR'!$F$4:$F$1000),""))</f>
        <v/>
      </c>
      <c r="T179" s="63" t="str">
        <f t="shared" si="9"/>
        <v/>
      </c>
      <c r="U179" s="66" t="str">
        <f t="shared" si="10"/>
        <v/>
      </c>
      <c r="V179" s="66" t="str">
        <f t="shared" si="11"/>
        <v/>
      </c>
    </row>
    <row r="180" spans="1:22">
      <c r="A180" s="67" t="str">
        <f>IF('03_Tecnologie'!A180="","",'03_Tecnologie'!A180)</f>
        <v/>
      </c>
      <c r="B180" s="67" t="str">
        <f>IF($A180="","",'03_Tecnologie'!D180)</f>
        <v/>
      </c>
      <c r="C180" s="67" t="str">
        <f>IF($A180="","",'03_Tecnologie'!B180)</f>
        <v/>
      </c>
      <c r="D180" s="67" t="str">
        <f>IF($A180="","",'03_Tecnologie'!F180)</f>
        <v/>
      </c>
      <c r="E180" s="63" t="str">
        <f>IF($A180="","",COUNTIF('04_Componenti'!$B$4:$B$1000,$A180))</f>
        <v/>
      </c>
      <c r="F180" s="63" t="str">
        <f>IF($A180="","",COUNTIF('05_Descrizione'!$B$4:$B$1000,$A180))</f>
        <v/>
      </c>
      <c r="G180" s="63" t="str">
        <f>IF($A180="","",COUNTIF('06_Avanzamento'!$B$4:$B$1000,$A180))</f>
        <v/>
      </c>
      <c r="H180" s="63" t="str">
        <f>IF($A180="","",COUNTIF('07_TRL_TLR'!$B$4:$B$1000,$A180))</f>
        <v/>
      </c>
      <c r="I180" s="63" t="str">
        <f>IF($A180="","",COUNTIF('08_Costi_Compet'!$B$4:$B$1000,$A180))</f>
        <v/>
      </c>
      <c r="J180" s="63" t="str">
        <f>IF($A180="","",COUNTIF('09_Settori_Impatto'!$B$4:$B$1000,$A180))</f>
        <v/>
      </c>
      <c r="K180" s="63" t="str">
        <f>IF($A180="","",COUNTIF('16_Mercati_Riferimento'!$B$4:$B$1000,$A180))</f>
        <v/>
      </c>
      <c r="L180" s="22" t="str">
        <f>IF($A180="","",COUNTIF('10_Sostenibilita'!$B$4:$B$1000,$A180))</f>
        <v/>
      </c>
      <c r="M180" s="63" t="str">
        <f>IF($A180="","",COUNTIF('11_Best_Practice'!$B$4:$B$1000,$A180))</f>
        <v/>
      </c>
      <c r="N180" s="63" t="str">
        <f>IF($A180="","",COUNTIF('12_Policy_Regolazione'!$B$4:$B$1000,$A180))</f>
        <v/>
      </c>
      <c r="O180" s="63" t="str">
        <f>IF($A180="","",COUNTIF('13_Barriere_Opp'!$B$4:$B$1000,$A180))</f>
        <v/>
      </c>
      <c r="P180" s="63" t="str">
        <f>IF($A180="","",COUNTIF('14_Attori_Imprese'!$B$4:$B$1000,$A180))</f>
        <v/>
      </c>
      <c r="Q180" s="63" t="str">
        <f>IF($A180="","",COUNTIF('15_Prestazioni'!$B$4:$B$1000,$A180))</f>
        <v/>
      </c>
      <c r="R180" s="64" t="str">
        <f t="shared" si="8"/>
        <v/>
      </c>
      <c r="S180" s="65" t="str">
        <f>IF($A180="","",IFERROR(AVERAGEIF('07_TRL_TLR'!$B$4:$B$1000,$A180,'07_TRL_TLR'!$F$4:$F$1000),""))</f>
        <v/>
      </c>
      <c r="T180" s="63" t="str">
        <f t="shared" si="9"/>
        <v/>
      </c>
      <c r="U180" s="66" t="str">
        <f t="shared" si="10"/>
        <v/>
      </c>
      <c r="V180" s="66" t="str">
        <f t="shared" si="11"/>
        <v/>
      </c>
    </row>
    <row r="181" spans="1:22">
      <c r="A181" s="67" t="str">
        <f>IF('03_Tecnologie'!A181="","",'03_Tecnologie'!A181)</f>
        <v/>
      </c>
      <c r="B181" s="67" t="str">
        <f>IF($A181="","",'03_Tecnologie'!D181)</f>
        <v/>
      </c>
      <c r="C181" s="67" t="str">
        <f>IF($A181="","",'03_Tecnologie'!B181)</f>
        <v/>
      </c>
      <c r="D181" s="67" t="str">
        <f>IF($A181="","",'03_Tecnologie'!F181)</f>
        <v/>
      </c>
      <c r="E181" s="63" t="str">
        <f>IF($A181="","",COUNTIF('04_Componenti'!$B$4:$B$1000,$A181))</f>
        <v/>
      </c>
      <c r="F181" s="63" t="str">
        <f>IF($A181="","",COUNTIF('05_Descrizione'!$B$4:$B$1000,$A181))</f>
        <v/>
      </c>
      <c r="G181" s="63" t="str">
        <f>IF($A181="","",COUNTIF('06_Avanzamento'!$B$4:$B$1000,$A181))</f>
        <v/>
      </c>
      <c r="H181" s="63" t="str">
        <f>IF($A181="","",COUNTIF('07_TRL_TLR'!$B$4:$B$1000,$A181))</f>
        <v/>
      </c>
      <c r="I181" s="63" t="str">
        <f>IF($A181="","",COUNTIF('08_Costi_Compet'!$B$4:$B$1000,$A181))</f>
        <v/>
      </c>
      <c r="J181" s="63" t="str">
        <f>IF($A181="","",COUNTIF('09_Settori_Impatto'!$B$4:$B$1000,$A181))</f>
        <v/>
      </c>
      <c r="K181" s="63" t="str">
        <f>IF($A181="","",COUNTIF('16_Mercati_Riferimento'!$B$4:$B$1000,$A181))</f>
        <v/>
      </c>
      <c r="L181" s="22" t="str">
        <f>IF($A181="","",COUNTIF('10_Sostenibilita'!$B$4:$B$1000,$A181))</f>
        <v/>
      </c>
      <c r="M181" s="63" t="str">
        <f>IF($A181="","",COUNTIF('11_Best_Practice'!$B$4:$B$1000,$A181))</f>
        <v/>
      </c>
      <c r="N181" s="63" t="str">
        <f>IF($A181="","",COUNTIF('12_Policy_Regolazione'!$B$4:$B$1000,$A181))</f>
        <v/>
      </c>
      <c r="O181" s="63" t="str">
        <f>IF($A181="","",COUNTIF('13_Barriere_Opp'!$B$4:$B$1000,$A181))</f>
        <v/>
      </c>
      <c r="P181" s="63" t="str">
        <f>IF($A181="","",COUNTIF('14_Attori_Imprese'!$B$4:$B$1000,$A181))</f>
        <v/>
      </c>
      <c r="Q181" s="63" t="str">
        <f>IF($A181="","",COUNTIF('15_Prestazioni'!$B$4:$B$1000,$A181))</f>
        <v/>
      </c>
      <c r="R181" s="64" t="str">
        <f t="shared" si="8"/>
        <v/>
      </c>
      <c r="S181" s="65" t="str">
        <f>IF($A181="","",IFERROR(AVERAGEIF('07_TRL_TLR'!$B$4:$B$1000,$A181,'07_TRL_TLR'!$F$4:$F$1000),""))</f>
        <v/>
      </c>
      <c r="T181" s="63" t="str">
        <f t="shared" si="9"/>
        <v/>
      </c>
      <c r="U181" s="66" t="str">
        <f t="shared" si="10"/>
        <v/>
      </c>
      <c r="V181" s="66" t="str">
        <f t="shared" si="11"/>
        <v/>
      </c>
    </row>
    <row r="182" spans="1:22">
      <c r="A182" s="67" t="str">
        <f>IF('03_Tecnologie'!A182="","",'03_Tecnologie'!A182)</f>
        <v/>
      </c>
      <c r="B182" s="67" t="str">
        <f>IF($A182="","",'03_Tecnologie'!D182)</f>
        <v/>
      </c>
      <c r="C182" s="67" t="str">
        <f>IF($A182="","",'03_Tecnologie'!B182)</f>
        <v/>
      </c>
      <c r="D182" s="67" t="str">
        <f>IF($A182="","",'03_Tecnologie'!F182)</f>
        <v/>
      </c>
      <c r="E182" s="63" t="str">
        <f>IF($A182="","",COUNTIF('04_Componenti'!$B$4:$B$1000,$A182))</f>
        <v/>
      </c>
      <c r="F182" s="63" t="str">
        <f>IF($A182="","",COUNTIF('05_Descrizione'!$B$4:$B$1000,$A182))</f>
        <v/>
      </c>
      <c r="G182" s="63" t="str">
        <f>IF($A182="","",COUNTIF('06_Avanzamento'!$B$4:$B$1000,$A182))</f>
        <v/>
      </c>
      <c r="H182" s="63" t="str">
        <f>IF($A182="","",COUNTIF('07_TRL_TLR'!$B$4:$B$1000,$A182))</f>
        <v/>
      </c>
      <c r="I182" s="63" t="str">
        <f>IF($A182="","",COUNTIF('08_Costi_Compet'!$B$4:$B$1000,$A182))</f>
        <v/>
      </c>
      <c r="J182" s="63" t="str">
        <f>IF($A182="","",COUNTIF('09_Settori_Impatto'!$B$4:$B$1000,$A182))</f>
        <v/>
      </c>
      <c r="K182" s="63" t="str">
        <f>IF($A182="","",COUNTIF('16_Mercati_Riferimento'!$B$4:$B$1000,$A182))</f>
        <v/>
      </c>
      <c r="L182" s="22" t="str">
        <f>IF($A182="","",COUNTIF('10_Sostenibilita'!$B$4:$B$1000,$A182))</f>
        <v/>
      </c>
      <c r="M182" s="63" t="str">
        <f>IF($A182="","",COUNTIF('11_Best_Practice'!$B$4:$B$1000,$A182))</f>
        <v/>
      </c>
      <c r="N182" s="63" t="str">
        <f>IF($A182="","",COUNTIF('12_Policy_Regolazione'!$B$4:$B$1000,$A182))</f>
        <v/>
      </c>
      <c r="O182" s="63" t="str">
        <f>IF($A182="","",COUNTIF('13_Barriere_Opp'!$B$4:$B$1000,$A182))</f>
        <v/>
      </c>
      <c r="P182" s="63" t="str">
        <f>IF($A182="","",COUNTIF('14_Attori_Imprese'!$B$4:$B$1000,$A182))</f>
        <v/>
      </c>
      <c r="Q182" s="63" t="str">
        <f>IF($A182="","",COUNTIF('15_Prestazioni'!$B$4:$B$1000,$A182))</f>
        <v/>
      </c>
      <c r="R182" s="64" t="str">
        <f t="shared" si="8"/>
        <v/>
      </c>
      <c r="S182" s="65" t="str">
        <f>IF($A182="","",IFERROR(AVERAGEIF('07_TRL_TLR'!$B$4:$B$1000,$A182,'07_TRL_TLR'!$F$4:$F$1000),""))</f>
        <v/>
      </c>
      <c r="T182" s="63" t="str">
        <f t="shared" si="9"/>
        <v/>
      </c>
      <c r="U182" s="66" t="str">
        <f t="shared" si="10"/>
        <v/>
      </c>
      <c r="V182" s="66" t="str">
        <f t="shared" si="11"/>
        <v/>
      </c>
    </row>
    <row r="183" spans="1:22">
      <c r="A183" s="67" t="str">
        <f>IF('03_Tecnologie'!A183="","",'03_Tecnologie'!A183)</f>
        <v/>
      </c>
      <c r="B183" s="67" t="str">
        <f>IF($A183="","",'03_Tecnologie'!D183)</f>
        <v/>
      </c>
      <c r="C183" s="67" t="str">
        <f>IF($A183="","",'03_Tecnologie'!B183)</f>
        <v/>
      </c>
      <c r="D183" s="67" t="str">
        <f>IF($A183="","",'03_Tecnologie'!F183)</f>
        <v/>
      </c>
      <c r="E183" s="63" t="str">
        <f>IF($A183="","",COUNTIF('04_Componenti'!$B$4:$B$1000,$A183))</f>
        <v/>
      </c>
      <c r="F183" s="63" t="str">
        <f>IF($A183="","",COUNTIF('05_Descrizione'!$B$4:$B$1000,$A183))</f>
        <v/>
      </c>
      <c r="G183" s="63" t="str">
        <f>IF($A183="","",COUNTIF('06_Avanzamento'!$B$4:$B$1000,$A183))</f>
        <v/>
      </c>
      <c r="H183" s="63" t="str">
        <f>IF($A183="","",COUNTIF('07_TRL_TLR'!$B$4:$B$1000,$A183))</f>
        <v/>
      </c>
      <c r="I183" s="63" t="str">
        <f>IF($A183="","",COUNTIF('08_Costi_Compet'!$B$4:$B$1000,$A183))</f>
        <v/>
      </c>
      <c r="J183" s="63" t="str">
        <f>IF($A183="","",COUNTIF('09_Settori_Impatto'!$B$4:$B$1000,$A183))</f>
        <v/>
      </c>
      <c r="K183" s="63" t="str">
        <f>IF($A183="","",COUNTIF('16_Mercati_Riferimento'!$B$4:$B$1000,$A183))</f>
        <v/>
      </c>
      <c r="L183" s="22" t="str">
        <f>IF($A183="","",COUNTIF('10_Sostenibilita'!$B$4:$B$1000,$A183))</f>
        <v/>
      </c>
      <c r="M183" s="63" t="str">
        <f>IF($A183="","",COUNTIF('11_Best_Practice'!$B$4:$B$1000,$A183))</f>
        <v/>
      </c>
      <c r="N183" s="63" t="str">
        <f>IF($A183="","",COUNTIF('12_Policy_Regolazione'!$B$4:$B$1000,$A183))</f>
        <v/>
      </c>
      <c r="O183" s="63" t="str">
        <f>IF($A183="","",COUNTIF('13_Barriere_Opp'!$B$4:$B$1000,$A183))</f>
        <v/>
      </c>
      <c r="P183" s="63" t="str">
        <f>IF($A183="","",COUNTIF('14_Attori_Imprese'!$B$4:$B$1000,$A183))</f>
        <v/>
      </c>
      <c r="Q183" s="63" t="str">
        <f>IF($A183="","",COUNTIF('15_Prestazioni'!$B$4:$B$1000,$A183))</f>
        <v/>
      </c>
      <c r="R183" s="64" t="str">
        <f t="shared" si="8"/>
        <v/>
      </c>
      <c r="S183" s="65" t="str">
        <f>IF($A183="","",IFERROR(AVERAGEIF('07_TRL_TLR'!$B$4:$B$1000,$A183,'07_TRL_TLR'!$F$4:$F$1000),""))</f>
        <v/>
      </c>
      <c r="T183" s="63" t="str">
        <f t="shared" si="9"/>
        <v/>
      </c>
      <c r="U183" s="66" t="str">
        <f t="shared" si="10"/>
        <v/>
      </c>
      <c r="V183" s="66" t="str">
        <f t="shared" si="11"/>
        <v/>
      </c>
    </row>
    <row r="184" spans="1:22">
      <c r="A184" s="67" t="str">
        <f>IF('03_Tecnologie'!A184="","",'03_Tecnologie'!A184)</f>
        <v/>
      </c>
      <c r="B184" s="67" t="str">
        <f>IF($A184="","",'03_Tecnologie'!D184)</f>
        <v/>
      </c>
      <c r="C184" s="67" t="str">
        <f>IF($A184="","",'03_Tecnologie'!B184)</f>
        <v/>
      </c>
      <c r="D184" s="67" t="str">
        <f>IF($A184="","",'03_Tecnologie'!F184)</f>
        <v/>
      </c>
      <c r="E184" s="63" t="str">
        <f>IF($A184="","",COUNTIF('04_Componenti'!$B$4:$B$1000,$A184))</f>
        <v/>
      </c>
      <c r="F184" s="63" t="str">
        <f>IF($A184="","",COUNTIF('05_Descrizione'!$B$4:$B$1000,$A184))</f>
        <v/>
      </c>
      <c r="G184" s="63" t="str">
        <f>IF($A184="","",COUNTIF('06_Avanzamento'!$B$4:$B$1000,$A184))</f>
        <v/>
      </c>
      <c r="H184" s="63" t="str">
        <f>IF($A184="","",COUNTIF('07_TRL_TLR'!$B$4:$B$1000,$A184))</f>
        <v/>
      </c>
      <c r="I184" s="63" t="str">
        <f>IF($A184="","",COUNTIF('08_Costi_Compet'!$B$4:$B$1000,$A184))</f>
        <v/>
      </c>
      <c r="J184" s="63" t="str">
        <f>IF($A184="","",COUNTIF('09_Settori_Impatto'!$B$4:$B$1000,$A184))</f>
        <v/>
      </c>
      <c r="K184" s="63" t="str">
        <f>IF($A184="","",COUNTIF('16_Mercati_Riferimento'!$B$4:$B$1000,$A184))</f>
        <v/>
      </c>
      <c r="L184" s="22" t="str">
        <f>IF($A184="","",COUNTIF('10_Sostenibilita'!$B$4:$B$1000,$A184))</f>
        <v/>
      </c>
      <c r="M184" s="63" t="str">
        <f>IF($A184="","",COUNTIF('11_Best_Practice'!$B$4:$B$1000,$A184))</f>
        <v/>
      </c>
      <c r="N184" s="63" t="str">
        <f>IF($A184="","",COUNTIF('12_Policy_Regolazione'!$B$4:$B$1000,$A184))</f>
        <v/>
      </c>
      <c r="O184" s="63" t="str">
        <f>IF($A184="","",COUNTIF('13_Barriere_Opp'!$B$4:$B$1000,$A184))</f>
        <v/>
      </c>
      <c r="P184" s="63" t="str">
        <f>IF($A184="","",COUNTIF('14_Attori_Imprese'!$B$4:$B$1000,$A184))</f>
        <v/>
      </c>
      <c r="Q184" s="63" t="str">
        <f>IF($A184="","",COUNTIF('15_Prestazioni'!$B$4:$B$1000,$A184))</f>
        <v/>
      </c>
      <c r="R184" s="64" t="str">
        <f t="shared" si="8"/>
        <v/>
      </c>
      <c r="S184" s="65" t="str">
        <f>IF($A184="","",IFERROR(AVERAGEIF('07_TRL_TLR'!$B$4:$B$1000,$A184,'07_TRL_TLR'!$F$4:$F$1000),""))</f>
        <v/>
      </c>
      <c r="T184" s="63" t="str">
        <f t="shared" si="9"/>
        <v/>
      </c>
      <c r="U184" s="66" t="str">
        <f t="shared" si="10"/>
        <v/>
      </c>
      <c r="V184" s="66" t="str">
        <f t="shared" si="11"/>
        <v/>
      </c>
    </row>
    <row r="185" spans="1:22">
      <c r="A185" s="67" t="str">
        <f>IF('03_Tecnologie'!A185="","",'03_Tecnologie'!A185)</f>
        <v/>
      </c>
      <c r="B185" s="67" t="str">
        <f>IF($A185="","",'03_Tecnologie'!D185)</f>
        <v/>
      </c>
      <c r="C185" s="67" t="str">
        <f>IF($A185="","",'03_Tecnologie'!B185)</f>
        <v/>
      </c>
      <c r="D185" s="67" t="str">
        <f>IF($A185="","",'03_Tecnologie'!F185)</f>
        <v/>
      </c>
      <c r="E185" s="63" t="str">
        <f>IF($A185="","",COUNTIF('04_Componenti'!$B$4:$B$1000,$A185))</f>
        <v/>
      </c>
      <c r="F185" s="63" t="str">
        <f>IF($A185="","",COUNTIF('05_Descrizione'!$B$4:$B$1000,$A185))</f>
        <v/>
      </c>
      <c r="G185" s="63" t="str">
        <f>IF($A185="","",COUNTIF('06_Avanzamento'!$B$4:$B$1000,$A185))</f>
        <v/>
      </c>
      <c r="H185" s="63" t="str">
        <f>IF($A185="","",COUNTIF('07_TRL_TLR'!$B$4:$B$1000,$A185))</f>
        <v/>
      </c>
      <c r="I185" s="63" t="str">
        <f>IF($A185="","",COUNTIF('08_Costi_Compet'!$B$4:$B$1000,$A185))</f>
        <v/>
      </c>
      <c r="J185" s="63" t="str">
        <f>IF($A185="","",COUNTIF('09_Settori_Impatto'!$B$4:$B$1000,$A185))</f>
        <v/>
      </c>
      <c r="K185" s="63" t="str">
        <f>IF($A185="","",COUNTIF('16_Mercati_Riferimento'!$B$4:$B$1000,$A185))</f>
        <v/>
      </c>
      <c r="L185" s="22" t="str">
        <f>IF($A185="","",COUNTIF('10_Sostenibilita'!$B$4:$B$1000,$A185))</f>
        <v/>
      </c>
      <c r="M185" s="63" t="str">
        <f>IF($A185="","",COUNTIF('11_Best_Practice'!$B$4:$B$1000,$A185))</f>
        <v/>
      </c>
      <c r="N185" s="63" t="str">
        <f>IF($A185="","",COUNTIF('12_Policy_Regolazione'!$B$4:$B$1000,$A185))</f>
        <v/>
      </c>
      <c r="O185" s="63" t="str">
        <f>IF($A185="","",COUNTIF('13_Barriere_Opp'!$B$4:$B$1000,$A185))</f>
        <v/>
      </c>
      <c r="P185" s="63" t="str">
        <f>IF($A185="","",COUNTIF('14_Attori_Imprese'!$B$4:$B$1000,$A185))</f>
        <v/>
      </c>
      <c r="Q185" s="63" t="str">
        <f>IF($A185="","",COUNTIF('15_Prestazioni'!$B$4:$B$1000,$A185))</f>
        <v/>
      </c>
      <c r="R185" s="64" t="str">
        <f t="shared" si="8"/>
        <v/>
      </c>
      <c r="S185" s="65" t="str">
        <f>IF($A185="","",IFERROR(AVERAGEIF('07_TRL_TLR'!$B$4:$B$1000,$A185,'07_TRL_TLR'!$F$4:$F$1000),""))</f>
        <v/>
      </c>
      <c r="T185" s="63" t="str">
        <f t="shared" si="9"/>
        <v/>
      </c>
      <c r="U185" s="66" t="str">
        <f t="shared" si="10"/>
        <v/>
      </c>
      <c r="V185" s="66" t="str">
        <f t="shared" si="11"/>
        <v/>
      </c>
    </row>
    <row r="186" spans="1:22">
      <c r="A186" s="67" t="str">
        <f>IF('03_Tecnologie'!A186="","",'03_Tecnologie'!A186)</f>
        <v/>
      </c>
      <c r="B186" s="67" t="str">
        <f>IF($A186="","",'03_Tecnologie'!D186)</f>
        <v/>
      </c>
      <c r="C186" s="67" t="str">
        <f>IF($A186="","",'03_Tecnologie'!B186)</f>
        <v/>
      </c>
      <c r="D186" s="67" t="str">
        <f>IF($A186="","",'03_Tecnologie'!F186)</f>
        <v/>
      </c>
      <c r="E186" s="63" t="str">
        <f>IF($A186="","",COUNTIF('04_Componenti'!$B$4:$B$1000,$A186))</f>
        <v/>
      </c>
      <c r="F186" s="63" t="str">
        <f>IF($A186="","",COUNTIF('05_Descrizione'!$B$4:$B$1000,$A186))</f>
        <v/>
      </c>
      <c r="G186" s="63" t="str">
        <f>IF($A186="","",COUNTIF('06_Avanzamento'!$B$4:$B$1000,$A186))</f>
        <v/>
      </c>
      <c r="H186" s="63" t="str">
        <f>IF($A186="","",COUNTIF('07_TRL_TLR'!$B$4:$B$1000,$A186))</f>
        <v/>
      </c>
      <c r="I186" s="63" t="str">
        <f>IF($A186="","",COUNTIF('08_Costi_Compet'!$B$4:$B$1000,$A186))</f>
        <v/>
      </c>
      <c r="J186" s="63" t="str">
        <f>IF($A186="","",COUNTIF('09_Settori_Impatto'!$B$4:$B$1000,$A186))</f>
        <v/>
      </c>
      <c r="K186" s="63" t="str">
        <f>IF($A186="","",COUNTIF('16_Mercati_Riferimento'!$B$4:$B$1000,$A186))</f>
        <v/>
      </c>
      <c r="L186" s="22" t="str">
        <f>IF($A186="","",COUNTIF('10_Sostenibilita'!$B$4:$B$1000,$A186))</f>
        <v/>
      </c>
      <c r="M186" s="63" t="str">
        <f>IF($A186="","",COUNTIF('11_Best_Practice'!$B$4:$B$1000,$A186))</f>
        <v/>
      </c>
      <c r="N186" s="63" t="str">
        <f>IF($A186="","",COUNTIF('12_Policy_Regolazione'!$B$4:$B$1000,$A186))</f>
        <v/>
      </c>
      <c r="O186" s="63" t="str">
        <f>IF($A186="","",COUNTIF('13_Barriere_Opp'!$B$4:$B$1000,$A186))</f>
        <v/>
      </c>
      <c r="P186" s="63" t="str">
        <f>IF($A186="","",COUNTIF('14_Attori_Imprese'!$B$4:$B$1000,$A186))</f>
        <v/>
      </c>
      <c r="Q186" s="63" t="str">
        <f>IF($A186="","",COUNTIF('15_Prestazioni'!$B$4:$B$1000,$A186))</f>
        <v/>
      </c>
      <c r="R186" s="64" t="str">
        <f t="shared" si="8"/>
        <v/>
      </c>
      <c r="S186" s="65" t="str">
        <f>IF($A186="","",IFERROR(AVERAGEIF('07_TRL_TLR'!$B$4:$B$1000,$A186,'07_TRL_TLR'!$F$4:$F$1000),""))</f>
        <v/>
      </c>
      <c r="T186" s="63" t="str">
        <f t="shared" si="9"/>
        <v/>
      </c>
      <c r="U186" s="66" t="str">
        <f t="shared" si="10"/>
        <v/>
      </c>
      <c r="V186" s="66" t="str">
        <f t="shared" si="11"/>
        <v/>
      </c>
    </row>
    <row r="187" spans="1:22">
      <c r="A187" s="67" t="str">
        <f>IF('03_Tecnologie'!A187="","",'03_Tecnologie'!A187)</f>
        <v/>
      </c>
      <c r="B187" s="67" t="str">
        <f>IF($A187="","",'03_Tecnologie'!D187)</f>
        <v/>
      </c>
      <c r="C187" s="67" t="str">
        <f>IF($A187="","",'03_Tecnologie'!B187)</f>
        <v/>
      </c>
      <c r="D187" s="67" t="str">
        <f>IF($A187="","",'03_Tecnologie'!F187)</f>
        <v/>
      </c>
      <c r="E187" s="63" t="str">
        <f>IF($A187="","",COUNTIF('04_Componenti'!$B$4:$B$1000,$A187))</f>
        <v/>
      </c>
      <c r="F187" s="63" t="str">
        <f>IF($A187="","",COUNTIF('05_Descrizione'!$B$4:$B$1000,$A187))</f>
        <v/>
      </c>
      <c r="G187" s="63" t="str">
        <f>IF($A187="","",COUNTIF('06_Avanzamento'!$B$4:$B$1000,$A187))</f>
        <v/>
      </c>
      <c r="H187" s="63" t="str">
        <f>IF($A187="","",COUNTIF('07_TRL_TLR'!$B$4:$B$1000,$A187))</f>
        <v/>
      </c>
      <c r="I187" s="63" t="str">
        <f>IF($A187="","",COUNTIF('08_Costi_Compet'!$B$4:$B$1000,$A187))</f>
        <v/>
      </c>
      <c r="J187" s="63" t="str">
        <f>IF($A187="","",COUNTIF('09_Settori_Impatto'!$B$4:$B$1000,$A187))</f>
        <v/>
      </c>
      <c r="K187" s="63" t="str">
        <f>IF($A187="","",COUNTIF('16_Mercati_Riferimento'!$B$4:$B$1000,$A187))</f>
        <v/>
      </c>
      <c r="L187" s="22" t="str">
        <f>IF($A187="","",COUNTIF('10_Sostenibilita'!$B$4:$B$1000,$A187))</f>
        <v/>
      </c>
      <c r="M187" s="63" t="str">
        <f>IF($A187="","",COUNTIF('11_Best_Practice'!$B$4:$B$1000,$A187))</f>
        <v/>
      </c>
      <c r="N187" s="63" t="str">
        <f>IF($A187="","",COUNTIF('12_Policy_Regolazione'!$B$4:$B$1000,$A187))</f>
        <v/>
      </c>
      <c r="O187" s="63" t="str">
        <f>IF($A187="","",COUNTIF('13_Barriere_Opp'!$B$4:$B$1000,$A187))</f>
        <v/>
      </c>
      <c r="P187" s="63" t="str">
        <f>IF($A187="","",COUNTIF('14_Attori_Imprese'!$B$4:$B$1000,$A187))</f>
        <v/>
      </c>
      <c r="Q187" s="63" t="str">
        <f>IF($A187="","",COUNTIF('15_Prestazioni'!$B$4:$B$1000,$A187))</f>
        <v/>
      </c>
      <c r="R187" s="64" t="str">
        <f t="shared" si="8"/>
        <v/>
      </c>
      <c r="S187" s="65" t="str">
        <f>IF($A187="","",IFERROR(AVERAGEIF('07_TRL_TLR'!$B$4:$B$1000,$A187,'07_TRL_TLR'!$F$4:$F$1000),""))</f>
        <v/>
      </c>
      <c r="T187" s="63" t="str">
        <f t="shared" si="9"/>
        <v/>
      </c>
      <c r="U187" s="66" t="str">
        <f t="shared" si="10"/>
        <v/>
      </c>
      <c r="V187" s="66" t="str">
        <f t="shared" si="11"/>
        <v/>
      </c>
    </row>
    <row r="188" spans="1:22">
      <c r="A188" s="67" t="str">
        <f>IF('03_Tecnologie'!A188="","",'03_Tecnologie'!A188)</f>
        <v/>
      </c>
      <c r="B188" s="67" t="str">
        <f>IF($A188="","",'03_Tecnologie'!D188)</f>
        <v/>
      </c>
      <c r="C188" s="67" t="str">
        <f>IF($A188="","",'03_Tecnologie'!B188)</f>
        <v/>
      </c>
      <c r="D188" s="67" t="str">
        <f>IF($A188="","",'03_Tecnologie'!F188)</f>
        <v/>
      </c>
      <c r="E188" s="63" t="str">
        <f>IF($A188="","",COUNTIF('04_Componenti'!$B$4:$B$1000,$A188))</f>
        <v/>
      </c>
      <c r="F188" s="63" t="str">
        <f>IF($A188="","",COUNTIF('05_Descrizione'!$B$4:$B$1000,$A188))</f>
        <v/>
      </c>
      <c r="G188" s="63" t="str">
        <f>IF($A188="","",COUNTIF('06_Avanzamento'!$B$4:$B$1000,$A188))</f>
        <v/>
      </c>
      <c r="H188" s="63" t="str">
        <f>IF($A188="","",COUNTIF('07_TRL_TLR'!$B$4:$B$1000,$A188))</f>
        <v/>
      </c>
      <c r="I188" s="63" t="str">
        <f>IF($A188="","",COUNTIF('08_Costi_Compet'!$B$4:$B$1000,$A188))</f>
        <v/>
      </c>
      <c r="J188" s="63" t="str">
        <f>IF($A188="","",COUNTIF('09_Settori_Impatto'!$B$4:$B$1000,$A188))</f>
        <v/>
      </c>
      <c r="K188" s="63" t="str">
        <f>IF($A188="","",COUNTIF('16_Mercati_Riferimento'!$B$4:$B$1000,$A188))</f>
        <v/>
      </c>
      <c r="L188" s="22" t="str">
        <f>IF($A188="","",COUNTIF('10_Sostenibilita'!$B$4:$B$1000,$A188))</f>
        <v/>
      </c>
      <c r="M188" s="63" t="str">
        <f>IF($A188="","",COUNTIF('11_Best_Practice'!$B$4:$B$1000,$A188))</f>
        <v/>
      </c>
      <c r="N188" s="63" t="str">
        <f>IF($A188="","",COUNTIF('12_Policy_Regolazione'!$B$4:$B$1000,$A188))</f>
        <v/>
      </c>
      <c r="O188" s="63" t="str">
        <f>IF($A188="","",COUNTIF('13_Barriere_Opp'!$B$4:$B$1000,$A188))</f>
        <v/>
      </c>
      <c r="P188" s="63" t="str">
        <f>IF($A188="","",COUNTIF('14_Attori_Imprese'!$B$4:$B$1000,$A188))</f>
        <v/>
      </c>
      <c r="Q188" s="63" t="str">
        <f>IF($A188="","",COUNTIF('15_Prestazioni'!$B$4:$B$1000,$A188))</f>
        <v/>
      </c>
      <c r="R188" s="64" t="str">
        <f t="shared" si="8"/>
        <v/>
      </c>
      <c r="S188" s="65" t="str">
        <f>IF($A188="","",IFERROR(AVERAGEIF('07_TRL_TLR'!$B$4:$B$1000,$A188,'07_TRL_TLR'!$F$4:$F$1000),""))</f>
        <v/>
      </c>
      <c r="T188" s="63" t="str">
        <f t="shared" si="9"/>
        <v/>
      </c>
      <c r="U188" s="66" t="str">
        <f t="shared" si="10"/>
        <v/>
      </c>
      <c r="V188" s="66" t="str">
        <f t="shared" si="11"/>
        <v/>
      </c>
    </row>
    <row r="189" spans="1:22">
      <c r="A189" s="67" t="str">
        <f>IF('03_Tecnologie'!A189="","",'03_Tecnologie'!A189)</f>
        <v/>
      </c>
      <c r="B189" s="67" t="str">
        <f>IF($A189="","",'03_Tecnologie'!D189)</f>
        <v/>
      </c>
      <c r="C189" s="67" t="str">
        <f>IF($A189="","",'03_Tecnologie'!B189)</f>
        <v/>
      </c>
      <c r="D189" s="67" t="str">
        <f>IF($A189="","",'03_Tecnologie'!F189)</f>
        <v/>
      </c>
      <c r="E189" s="63" t="str">
        <f>IF($A189="","",COUNTIF('04_Componenti'!$B$4:$B$1000,$A189))</f>
        <v/>
      </c>
      <c r="F189" s="63" t="str">
        <f>IF($A189="","",COUNTIF('05_Descrizione'!$B$4:$B$1000,$A189))</f>
        <v/>
      </c>
      <c r="G189" s="63" t="str">
        <f>IF($A189="","",COUNTIF('06_Avanzamento'!$B$4:$B$1000,$A189))</f>
        <v/>
      </c>
      <c r="H189" s="63" t="str">
        <f>IF($A189="","",COUNTIF('07_TRL_TLR'!$B$4:$B$1000,$A189))</f>
        <v/>
      </c>
      <c r="I189" s="63" t="str">
        <f>IF($A189="","",COUNTIF('08_Costi_Compet'!$B$4:$B$1000,$A189))</f>
        <v/>
      </c>
      <c r="J189" s="63" t="str">
        <f>IF($A189="","",COUNTIF('09_Settori_Impatto'!$B$4:$B$1000,$A189))</f>
        <v/>
      </c>
      <c r="K189" s="63" t="str">
        <f>IF($A189="","",COUNTIF('16_Mercati_Riferimento'!$B$4:$B$1000,$A189))</f>
        <v/>
      </c>
      <c r="L189" s="22" t="str">
        <f>IF($A189="","",COUNTIF('10_Sostenibilita'!$B$4:$B$1000,$A189))</f>
        <v/>
      </c>
      <c r="M189" s="63" t="str">
        <f>IF($A189="","",COUNTIF('11_Best_Practice'!$B$4:$B$1000,$A189))</f>
        <v/>
      </c>
      <c r="N189" s="63" t="str">
        <f>IF($A189="","",COUNTIF('12_Policy_Regolazione'!$B$4:$B$1000,$A189))</f>
        <v/>
      </c>
      <c r="O189" s="63" t="str">
        <f>IF($A189="","",COUNTIF('13_Barriere_Opp'!$B$4:$B$1000,$A189))</f>
        <v/>
      </c>
      <c r="P189" s="63" t="str">
        <f>IF($A189="","",COUNTIF('14_Attori_Imprese'!$B$4:$B$1000,$A189))</f>
        <v/>
      </c>
      <c r="Q189" s="63" t="str">
        <f>IF($A189="","",COUNTIF('15_Prestazioni'!$B$4:$B$1000,$A189))</f>
        <v/>
      </c>
      <c r="R189" s="64" t="str">
        <f t="shared" si="8"/>
        <v/>
      </c>
      <c r="S189" s="65" t="str">
        <f>IF($A189="","",IFERROR(AVERAGEIF('07_TRL_TLR'!$B$4:$B$1000,$A189,'07_TRL_TLR'!$F$4:$F$1000),""))</f>
        <v/>
      </c>
      <c r="T189" s="63" t="str">
        <f t="shared" si="9"/>
        <v/>
      </c>
      <c r="U189" s="66" t="str">
        <f t="shared" si="10"/>
        <v/>
      </c>
      <c r="V189" s="66" t="str">
        <f t="shared" si="11"/>
        <v/>
      </c>
    </row>
    <row r="190" spans="1:22">
      <c r="A190" s="67" t="str">
        <f>IF('03_Tecnologie'!A190="","",'03_Tecnologie'!A190)</f>
        <v/>
      </c>
      <c r="B190" s="67" t="str">
        <f>IF($A190="","",'03_Tecnologie'!D190)</f>
        <v/>
      </c>
      <c r="C190" s="67" t="str">
        <f>IF($A190="","",'03_Tecnologie'!B190)</f>
        <v/>
      </c>
      <c r="D190" s="67" t="str">
        <f>IF($A190="","",'03_Tecnologie'!F190)</f>
        <v/>
      </c>
      <c r="E190" s="63" t="str">
        <f>IF($A190="","",COUNTIF('04_Componenti'!$B$4:$B$1000,$A190))</f>
        <v/>
      </c>
      <c r="F190" s="63" t="str">
        <f>IF($A190="","",COUNTIF('05_Descrizione'!$B$4:$B$1000,$A190))</f>
        <v/>
      </c>
      <c r="G190" s="63" t="str">
        <f>IF($A190="","",COUNTIF('06_Avanzamento'!$B$4:$B$1000,$A190))</f>
        <v/>
      </c>
      <c r="H190" s="63" t="str">
        <f>IF($A190="","",COUNTIF('07_TRL_TLR'!$B$4:$B$1000,$A190))</f>
        <v/>
      </c>
      <c r="I190" s="63" t="str">
        <f>IF($A190="","",COUNTIF('08_Costi_Compet'!$B$4:$B$1000,$A190))</f>
        <v/>
      </c>
      <c r="J190" s="63" t="str">
        <f>IF($A190="","",COUNTIF('09_Settori_Impatto'!$B$4:$B$1000,$A190))</f>
        <v/>
      </c>
      <c r="K190" s="63" t="str">
        <f>IF($A190="","",COUNTIF('16_Mercati_Riferimento'!$B$4:$B$1000,$A190))</f>
        <v/>
      </c>
      <c r="L190" s="22" t="str">
        <f>IF($A190="","",COUNTIF('10_Sostenibilita'!$B$4:$B$1000,$A190))</f>
        <v/>
      </c>
      <c r="M190" s="63" t="str">
        <f>IF($A190="","",COUNTIF('11_Best_Practice'!$B$4:$B$1000,$A190))</f>
        <v/>
      </c>
      <c r="N190" s="63" t="str">
        <f>IF($A190="","",COUNTIF('12_Policy_Regolazione'!$B$4:$B$1000,$A190))</f>
        <v/>
      </c>
      <c r="O190" s="63" t="str">
        <f>IF($A190="","",COUNTIF('13_Barriere_Opp'!$B$4:$B$1000,$A190))</f>
        <v/>
      </c>
      <c r="P190" s="63" t="str">
        <f>IF($A190="","",COUNTIF('14_Attori_Imprese'!$B$4:$B$1000,$A190))</f>
        <v/>
      </c>
      <c r="Q190" s="63" t="str">
        <f>IF($A190="","",COUNTIF('15_Prestazioni'!$B$4:$B$1000,$A190))</f>
        <v/>
      </c>
      <c r="R190" s="64" t="str">
        <f t="shared" si="8"/>
        <v/>
      </c>
      <c r="S190" s="65" t="str">
        <f>IF($A190="","",IFERROR(AVERAGEIF('07_TRL_TLR'!$B$4:$B$1000,$A190,'07_TRL_TLR'!$F$4:$F$1000),""))</f>
        <v/>
      </c>
      <c r="T190" s="63" t="str">
        <f t="shared" si="9"/>
        <v/>
      </c>
      <c r="U190" s="66" t="str">
        <f t="shared" si="10"/>
        <v/>
      </c>
      <c r="V190" s="66" t="str">
        <f t="shared" si="11"/>
        <v/>
      </c>
    </row>
    <row r="191" spans="1:22">
      <c r="A191" s="67" t="str">
        <f>IF('03_Tecnologie'!A191="","",'03_Tecnologie'!A191)</f>
        <v/>
      </c>
      <c r="B191" s="67" t="str">
        <f>IF($A191="","",'03_Tecnologie'!D191)</f>
        <v/>
      </c>
      <c r="C191" s="67" t="str">
        <f>IF($A191="","",'03_Tecnologie'!B191)</f>
        <v/>
      </c>
      <c r="D191" s="67" t="str">
        <f>IF($A191="","",'03_Tecnologie'!F191)</f>
        <v/>
      </c>
      <c r="E191" s="63" t="str">
        <f>IF($A191="","",COUNTIF('04_Componenti'!$B$4:$B$1000,$A191))</f>
        <v/>
      </c>
      <c r="F191" s="63" t="str">
        <f>IF($A191="","",COUNTIF('05_Descrizione'!$B$4:$B$1000,$A191))</f>
        <v/>
      </c>
      <c r="G191" s="63" t="str">
        <f>IF($A191="","",COUNTIF('06_Avanzamento'!$B$4:$B$1000,$A191))</f>
        <v/>
      </c>
      <c r="H191" s="63" t="str">
        <f>IF($A191="","",COUNTIF('07_TRL_TLR'!$B$4:$B$1000,$A191))</f>
        <v/>
      </c>
      <c r="I191" s="63" t="str">
        <f>IF($A191="","",COUNTIF('08_Costi_Compet'!$B$4:$B$1000,$A191))</f>
        <v/>
      </c>
      <c r="J191" s="63" t="str">
        <f>IF($A191="","",COUNTIF('09_Settori_Impatto'!$B$4:$B$1000,$A191))</f>
        <v/>
      </c>
      <c r="K191" s="63" t="str">
        <f>IF($A191="","",COUNTIF('16_Mercati_Riferimento'!$B$4:$B$1000,$A191))</f>
        <v/>
      </c>
      <c r="L191" s="22" t="str">
        <f>IF($A191="","",COUNTIF('10_Sostenibilita'!$B$4:$B$1000,$A191))</f>
        <v/>
      </c>
      <c r="M191" s="63" t="str">
        <f>IF($A191="","",COUNTIF('11_Best_Practice'!$B$4:$B$1000,$A191))</f>
        <v/>
      </c>
      <c r="N191" s="63" t="str">
        <f>IF($A191="","",COUNTIF('12_Policy_Regolazione'!$B$4:$B$1000,$A191))</f>
        <v/>
      </c>
      <c r="O191" s="63" t="str">
        <f>IF($A191="","",COUNTIF('13_Barriere_Opp'!$B$4:$B$1000,$A191))</f>
        <v/>
      </c>
      <c r="P191" s="63" t="str">
        <f>IF($A191="","",COUNTIF('14_Attori_Imprese'!$B$4:$B$1000,$A191))</f>
        <v/>
      </c>
      <c r="Q191" s="63" t="str">
        <f>IF($A191="","",COUNTIF('15_Prestazioni'!$B$4:$B$1000,$A191))</f>
        <v/>
      </c>
      <c r="R191" s="64" t="str">
        <f t="shared" si="8"/>
        <v/>
      </c>
      <c r="S191" s="65" t="str">
        <f>IF($A191="","",IFERROR(AVERAGEIF('07_TRL_TLR'!$B$4:$B$1000,$A191,'07_TRL_TLR'!$F$4:$F$1000),""))</f>
        <v/>
      </c>
      <c r="T191" s="63" t="str">
        <f t="shared" si="9"/>
        <v/>
      </c>
      <c r="U191" s="66" t="str">
        <f t="shared" si="10"/>
        <v/>
      </c>
      <c r="V191" s="66" t="str">
        <f t="shared" si="11"/>
        <v/>
      </c>
    </row>
    <row r="192" spans="1:22">
      <c r="A192" s="67" t="str">
        <f>IF('03_Tecnologie'!A192="","",'03_Tecnologie'!A192)</f>
        <v/>
      </c>
      <c r="B192" s="67" t="str">
        <f>IF($A192="","",'03_Tecnologie'!D192)</f>
        <v/>
      </c>
      <c r="C192" s="67" t="str">
        <f>IF($A192="","",'03_Tecnologie'!B192)</f>
        <v/>
      </c>
      <c r="D192" s="67" t="str">
        <f>IF($A192="","",'03_Tecnologie'!F192)</f>
        <v/>
      </c>
      <c r="E192" s="63" t="str">
        <f>IF($A192="","",COUNTIF('04_Componenti'!$B$4:$B$1000,$A192))</f>
        <v/>
      </c>
      <c r="F192" s="63" t="str">
        <f>IF($A192="","",COUNTIF('05_Descrizione'!$B$4:$B$1000,$A192))</f>
        <v/>
      </c>
      <c r="G192" s="63" t="str">
        <f>IF($A192="","",COUNTIF('06_Avanzamento'!$B$4:$B$1000,$A192))</f>
        <v/>
      </c>
      <c r="H192" s="63" t="str">
        <f>IF($A192="","",COUNTIF('07_TRL_TLR'!$B$4:$B$1000,$A192))</f>
        <v/>
      </c>
      <c r="I192" s="63" t="str">
        <f>IF($A192="","",COUNTIF('08_Costi_Compet'!$B$4:$B$1000,$A192))</f>
        <v/>
      </c>
      <c r="J192" s="63" t="str">
        <f>IF($A192="","",COUNTIF('09_Settori_Impatto'!$B$4:$B$1000,$A192))</f>
        <v/>
      </c>
      <c r="K192" s="63" t="str">
        <f>IF($A192="","",COUNTIF('16_Mercati_Riferimento'!$B$4:$B$1000,$A192))</f>
        <v/>
      </c>
      <c r="L192" s="22" t="str">
        <f>IF($A192="","",COUNTIF('10_Sostenibilita'!$B$4:$B$1000,$A192))</f>
        <v/>
      </c>
      <c r="M192" s="63" t="str">
        <f>IF($A192="","",COUNTIF('11_Best_Practice'!$B$4:$B$1000,$A192))</f>
        <v/>
      </c>
      <c r="N192" s="63" t="str">
        <f>IF($A192="","",COUNTIF('12_Policy_Regolazione'!$B$4:$B$1000,$A192))</f>
        <v/>
      </c>
      <c r="O192" s="63" t="str">
        <f>IF($A192="","",COUNTIF('13_Barriere_Opp'!$B$4:$B$1000,$A192))</f>
        <v/>
      </c>
      <c r="P192" s="63" t="str">
        <f>IF($A192="","",COUNTIF('14_Attori_Imprese'!$B$4:$B$1000,$A192))</f>
        <v/>
      </c>
      <c r="Q192" s="63" t="str">
        <f>IF($A192="","",COUNTIF('15_Prestazioni'!$B$4:$B$1000,$A192))</f>
        <v/>
      </c>
      <c r="R192" s="64" t="str">
        <f t="shared" si="8"/>
        <v/>
      </c>
      <c r="S192" s="65" t="str">
        <f>IF($A192="","",IFERROR(AVERAGEIF('07_TRL_TLR'!$B$4:$B$1000,$A192,'07_TRL_TLR'!$F$4:$F$1000),""))</f>
        <v/>
      </c>
      <c r="T192" s="63" t="str">
        <f t="shared" si="9"/>
        <v/>
      </c>
      <c r="U192" s="66" t="str">
        <f t="shared" si="10"/>
        <v/>
      </c>
      <c r="V192" s="66" t="str">
        <f t="shared" si="11"/>
        <v/>
      </c>
    </row>
    <row r="193" spans="1:22">
      <c r="A193" s="67" t="str">
        <f>IF('03_Tecnologie'!A193="","",'03_Tecnologie'!A193)</f>
        <v/>
      </c>
      <c r="B193" s="67" t="str">
        <f>IF($A193="","",'03_Tecnologie'!D193)</f>
        <v/>
      </c>
      <c r="C193" s="67" t="str">
        <f>IF($A193="","",'03_Tecnologie'!B193)</f>
        <v/>
      </c>
      <c r="D193" s="67" t="str">
        <f>IF($A193="","",'03_Tecnologie'!F193)</f>
        <v/>
      </c>
      <c r="E193" s="63" t="str">
        <f>IF($A193="","",COUNTIF('04_Componenti'!$B$4:$B$1000,$A193))</f>
        <v/>
      </c>
      <c r="F193" s="63" t="str">
        <f>IF($A193="","",COUNTIF('05_Descrizione'!$B$4:$B$1000,$A193))</f>
        <v/>
      </c>
      <c r="G193" s="63" t="str">
        <f>IF($A193="","",COUNTIF('06_Avanzamento'!$B$4:$B$1000,$A193))</f>
        <v/>
      </c>
      <c r="H193" s="63" t="str">
        <f>IF($A193="","",COUNTIF('07_TRL_TLR'!$B$4:$B$1000,$A193))</f>
        <v/>
      </c>
      <c r="I193" s="63" t="str">
        <f>IF($A193="","",COUNTIF('08_Costi_Compet'!$B$4:$B$1000,$A193))</f>
        <v/>
      </c>
      <c r="J193" s="63" t="str">
        <f>IF($A193="","",COUNTIF('09_Settori_Impatto'!$B$4:$B$1000,$A193))</f>
        <v/>
      </c>
      <c r="K193" s="63" t="str">
        <f>IF($A193="","",COUNTIF('16_Mercati_Riferimento'!$B$4:$B$1000,$A193))</f>
        <v/>
      </c>
      <c r="L193" s="22" t="str">
        <f>IF($A193="","",COUNTIF('10_Sostenibilita'!$B$4:$B$1000,$A193))</f>
        <v/>
      </c>
      <c r="M193" s="63" t="str">
        <f>IF($A193="","",COUNTIF('11_Best_Practice'!$B$4:$B$1000,$A193))</f>
        <v/>
      </c>
      <c r="N193" s="63" t="str">
        <f>IF($A193="","",COUNTIF('12_Policy_Regolazione'!$B$4:$B$1000,$A193))</f>
        <v/>
      </c>
      <c r="O193" s="63" t="str">
        <f>IF($A193="","",COUNTIF('13_Barriere_Opp'!$B$4:$B$1000,$A193))</f>
        <v/>
      </c>
      <c r="P193" s="63" t="str">
        <f>IF($A193="","",COUNTIF('14_Attori_Imprese'!$B$4:$B$1000,$A193))</f>
        <v/>
      </c>
      <c r="Q193" s="63" t="str">
        <f>IF($A193="","",COUNTIF('15_Prestazioni'!$B$4:$B$1000,$A193))</f>
        <v/>
      </c>
      <c r="R193" s="64" t="str">
        <f t="shared" si="8"/>
        <v/>
      </c>
      <c r="S193" s="65" t="str">
        <f>IF($A193="","",IFERROR(AVERAGEIF('07_TRL_TLR'!$B$4:$B$1000,$A193,'07_TRL_TLR'!$F$4:$F$1000),""))</f>
        <v/>
      </c>
      <c r="T193" s="63" t="str">
        <f t="shared" si="9"/>
        <v/>
      </c>
      <c r="U193" s="66" t="str">
        <f t="shared" si="10"/>
        <v/>
      </c>
      <c r="V193" s="66" t="str">
        <f t="shared" si="11"/>
        <v/>
      </c>
    </row>
    <row r="194" spans="1:22">
      <c r="A194" s="67" t="str">
        <f>IF('03_Tecnologie'!A194="","",'03_Tecnologie'!A194)</f>
        <v/>
      </c>
      <c r="B194" s="67" t="str">
        <f>IF($A194="","",'03_Tecnologie'!D194)</f>
        <v/>
      </c>
      <c r="C194" s="67" t="str">
        <f>IF($A194="","",'03_Tecnologie'!B194)</f>
        <v/>
      </c>
      <c r="D194" s="67" t="str">
        <f>IF($A194="","",'03_Tecnologie'!F194)</f>
        <v/>
      </c>
      <c r="E194" s="63" t="str">
        <f>IF($A194="","",COUNTIF('04_Componenti'!$B$4:$B$1000,$A194))</f>
        <v/>
      </c>
      <c r="F194" s="63" t="str">
        <f>IF($A194="","",COUNTIF('05_Descrizione'!$B$4:$B$1000,$A194))</f>
        <v/>
      </c>
      <c r="G194" s="63" t="str">
        <f>IF($A194="","",COUNTIF('06_Avanzamento'!$B$4:$B$1000,$A194))</f>
        <v/>
      </c>
      <c r="H194" s="63" t="str">
        <f>IF($A194="","",COUNTIF('07_TRL_TLR'!$B$4:$B$1000,$A194))</f>
        <v/>
      </c>
      <c r="I194" s="63" t="str">
        <f>IF($A194="","",COUNTIF('08_Costi_Compet'!$B$4:$B$1000,$A194))</f>
        <v/>
      </c>
      <c r="J194" s="63" t="str">
        <f>IF($A194="","",COUNTIF('09_Settori_Impatto'!$B$4:$B$1000,$A194))</f>
        <v/>
      </c>
      <c r="K194" s="63" t="str">
        <f>IF($A194="","",COUNTIF('16_Mercati_Riferimento'!$B$4:$B$1000,$A194))</f>
        <v/>
      </c>
      <c r="L194" s="22" t="str">
        <f>IF($A194="","",COUNTIF('10_Sostenibilita'!$B$4:$B$1000,$A194))</f>
        <v/>
      </c>
      <c r="M194" s="63" t="str">
        <f>IF($A194="","",COUNTIF('11_Best_Practice'!$B$4:$B$1000,$A194))</f>
        <v/>
      </c>
      <c r="N194" s="63" t="str">
        <f>IF($A194="","",COUNTIF('12_Policy_Regolazione'!$B$4:$B$1000,$A194))</f>
        <v/>
      </c>
      <c r="O194" s="63" t="str">
        <f>IF($A194="","",COUNTIF('13_Barriere_Opp'!$B$4:$B$1000,$A194))</f>
        <v/>
      </c>
      <c r="P194" s="63" t="str">
        <f>IF($A194="","",COUNTIF('14_Attori_Imprese'!$B$4:$B$1000,$A194))</f>
        <v/>
      </c>
      <c r="Q194" s="63" t="str">
        <f>IF($A194="","",COUNTIF('15_Prestazioni'!$B$4:$B$1000,$A194))</f>
        <v/>
      </c>
      <c r="R194" s="64" t="str">
        <f t="shared" si="8"/>
        <v/>
      </c>
      <c r="S194" s="65" t="str">
        <f>IF($A194="","",IFERROR(AVERAGEIF('07_TRL_TLR'!$B$4:$B$1000,$A194,'07_TRL_TLR'!$F$4:$F$1000),""))</f>
        <v/>
      </c>
      <c r="T194" s="63" t="str">
        <f t="shared" si="9"/>
        <v/>
      </c>
      <c r="U194" s="66" t="str">
        <f t="shared" si="10"/>
        <v/>
      </c>
      <c r="V194" s="66" t="str">
        <f t="shared" si="11"/>
        <v/>
      </c>
    </row>
    <row r="195" spans="1:22">
      <c r="A195" s="67" t="str">
        <f>IF('03_Tecnologie'!A195="","",'03_Tecnologie'!A195)</f>
        <v/>
      </c>
      <c r="B195" s="67" t="str">
        <f>IF($A195="","",'03_Tecnologie'!D195)</f>
        <v/>
      </c>
      <c r="C195" s="67" t="str">
        <f>IF($A195="","",'03_Tecnologie'!B195)</f>
        <v/>
      </c>
      <c r="D195" s="67" t="str">
        <f>IF($A195="","",'03_Tecnologie'!F195)</f>
        <v/>
      </c>
      <c r="E195" s="63" t="str">
        <f>IF($A195="","",COUNTIF('04_Componenti'!$B$4:$B$1000,$A195))</f>
        <v/>
      </c>
      <c r="F195" s="63" t="str">
        <f>IF($A195="","",COUNTIF('05_Descrizione'!$B$4:$B$1000,$A195))</f>
        <v/>
      </c>
      <c r="G195" s="63" t="str">
        <f>IF($A195="","",COUNTIF('06_Avanzamento'!$B$4:$B$1000,$A195))</f>
        <v/>
      </c>
      <c r="H195" s="63" t="str">
        <f>IF($A195="","",COUNTIF('07_TRL_TLR'!$B$4:$B$1000,$A195))</f>
        <v/>
      </c>
      <c r="I195" s="63" t="str">
        <f>IF($A195="","",COUNTIF('08_Costi_Compet'!$B$4:$B$1000,$A195))</f>
        <v/>
      </c>
      <c r="J195" s="63" t="str">
        <f>IF($A195="","",COUNTIF('09_Settori_Impatto'!$B$4:$B$1000,$A195))</f>
        <v/>
      </c>
      <c r="K195" s="63" t="str">
        <f>IF($A195="","",COUNTIF('16_Mercati_Riferimento'!$B$4:$B$1000,$A195))</f>
        <v/>
      </c>
      <c r="L195" s="22" t="str">
        <f>IF($A195="","",COUNTIF('10_Sostenibilita'!$B$4:$B$1000,$A195))</f>
        <v/>
      </c>
      <c r="M195" s="63" t="str">
        <f>IF($A195="","",COUNTIF('11_Best_Practice'!$B$4:$B$1000,$A195))</f>
        <v/>
      </c>
      <c r="N195" s="63" t="str">
        <f>IF($A195="","",COUNTIF('12_Policy_Regolazione'!$B$4:$B$1000,$A195))</f>
        <v/>
      </c>
      <c r="O195" s="63" t="str">
        <f>IF($A195="","",COUNTIF('13_Barriere_Opp'!$B$4:$B$1000,$A195))</f>
        <v/>
      </c>
      <c r="P195" s="63" t="str">
        <f>IF($A195="","",COUNTIF('14_Attori_Imprese'!$B$4:$B$1000,$A195))</f>
        <v/>
      </c>
      <c r="Q195" s="63" t="str">
        <f>IF($A195="","",COUNTIF('15_Prestazioni'!$B$4:$B$1000,$A195))</f>
        <v/>
      </c>
      <c r="R195" s="64" t="str">
        <f t="shared" si="8"/>
        <v/>
      </c>
      <c r="S195" s="65" t="str">
        <f>IF($A195="","",IFERROR(AVERAGEIF('07_TRL_TLR'!$B$4:$B$1000,$A195,'07_TRL_TLR'!$F$4:$F$1000),""))</f>
        <v/>
      </c>
      <c r="T195" s="63" t="str">
        <f t="shared" si="9"/>
        <v/>
      </c>
      <c r="U195" s="66" t="str">
        <f t="shared" si="10"/>
        <v/>
      </c>
      <c r="V195" s="66" t="str">
        <f t="shared" si="11"/>
        <v/>
      </c>
    </row>
    <row r="196" spans="1:22">
      <c r="A196" s="67" t="str">
        <f>IF('03_Tecnologie'!A196="","",'03_Tecnologie'!A196)</f>
        <v/>
      </c>
      <c r="B196" s="67" t="str">
        <f>IF($A196="","",'03_Tecnologie'!D196)</f>
        <v/>
      </c>
      <c r="C196" s="67" t="str">
        <f>IF($A196="","",'03_Tecnologie'!B196)</f>
        <v/>
      </c>
      <c r="D196" s="67" t="str">
        <f>IF($A196="","",'03_Tecnologie'!F196)</f>
        <v/>
      </c>
      <c r="E196" s="63" t="str">
        <f>IF($A196="","",COUNTIF('04_Componenti'!$B$4:$B$1000,$A196))</f>
        <v/>
      </c>
      <c r="F196" s="63" t="str">
        <f>IF($A196="","",COUNTIF('05_Descrizione'!$B$4:$B$1000,$A196))</f>
        <v/>
      </c>
      <c r="G196" s="63" t="str">
        <f>IF($A196="","",COUNTIF('06_Avanzamento'!$B$4:$B$1000,$A196))</f>
        <v/>
      </c>
      <c r="H196" s="63" t="str">
        <f>IF($A196="","",COUNTIF('07_TRL_TLR'!$B$4:$B$1000,$A196))</f>
        <v/>
      </c>
      <c r="I196" s="63" t="str">
        <f>IF($A196="","",COUNTIF('08_Costi_Compet'!$B$4:$B$1000,$A196))</f>
        <v/>
      </c>
      <c r="J196" s="63" t="str">
        <f>IF($A196="","",COUNTIF('09_Settori_Impatto'!$B$4:$B$1000,$A196))</f>
        <v/>
      </c>
      <c r="K196" s="63" t="str">
        <f>IF($A196="","",COUNTIF('16_Mercati_Riferimento'!$B$4:$B$1000,$A196))</f>
        <v/>
      </c>
      <c r="L196" s="22" t="str">
        <f>IF($A196="","",COUNTIF('10_Sostenibilita'!$B$4:$B$1000,$A196))</f>
        <v/>
      </c>
      <c r="M196" s="63" t="str">
        <f>IF($A196="","",COUNTIF('11_Best_Practice'!$B$4:$B$1000,$A196))</f>
        <v/>
      </c>
      <c r="N196" s="63" t="str">
        <f>IF($A196="","",COUNTIF('12_Policy_Regolazione'!$B$4:$B$1000,$A196))</f>
        <v/>
      </c>
      <c r="O196" s="63" t="str">
        <f>IF($A196="","",COUNTIF('13_Barriere_Opp'!$B$4:$B$1000,$A196))</f>
        <v/>
      </c>
      <c r="P196" s="63" t="str">
        <f>IF($A196="","",COUNTIF('14_Attori_Imprese'!$B$4:$B$1000,$A196))</f>
        <v/>
      </c>
      <c r="Q196" s="63" t="str">
        <f>IF($A196="","",COUNTIF('15_Prestazioni'!$B$4:$B$1000,$A196))</f>
        <v/>
      </c>
      <c r="R196" s="64" t="str">
        <f t="shared" ref="R196:R250" si="12">IF($A196="","",COUNTIF(F196:Q196,"&gt;0")/12)</f>
        <v/>
      </c>
      <c r="S196" s="65" t="str">
        <f>IF($A196="","",IFERROR(AVERAGEIF('07_TRL_TLR'!$B$4:$B$1000,$A196,'07_TRL_TLR'!$F$4:$F$1000),""))</f>
        <v/>
      </c>
      <c r="T196" s="63" t="str">
        <f t="shared" ref="T196:T250" si="13">IF($A196="","",SUM(F196:Q196))</f>
        <v/>
      </c>
      <c r="U196" s="66" t="str">
        <f t="shared" ref="U196:U250" si="14">IF($A196="","",IF(T196=0,"Da avviare",IF(R196&lt;0.3,"Copertura base",IF(R196&lt;0.7,"Copertura intermedia","Copertura avanzata"))))</f>
        <v/>
      </c>
      <c r="V196" s="66" t="str">
        <f t="shared" ref="V196:V250" si="15">IF($A196="","",IF(AND(D196="Prioritaria",R196&lt;0.5),"Alta priorita",IF(AND(D196="Monitoraggio attivo",R196&lt;0.3),"Media priorita",IF(T196=0,"Da avviare","Presidio adeguato"))))</f>
        <v/>
      </c>
    </row>
    <row r="197" spans="1:22">
      <c r="A197" s="67" t="str">
        <f>IF('03_Tecnologie'!A197="","",'03_Tecnologie'!A197)</f>
        <v/>
      </c>
      <c r="B197" s="67" t="str">
        <f>IF($A197="","",'03_Tecnologie'!D197)</f>
        <v/>
      </c>
      <c r="C197" s="67" t="str">
        <f>IF($A197="","",'03_Tecnologie'!B197)</f>
        <v/>
      </c>
      <c r="D197" s="67" t="str">
        <f>IF($A197="","",'03_Tecnologie'!F197)</f>
        <v/>
      </c>
      <c r="E197" s="63" t="str">
        <f>IF($A197="","",COUNTIF('04_Componenti'!$B$4:$B$1000,$A197))</f>
        <v/>
      </c>
      <c r="F197" s="63" t="str">
        <f>IF($A197="","",COUNTIF('05_Descrizione'!$B$4:$B$1000,$A197))</f>
        <v/>
      </c>
      <c r="G197" s="63" t="str">
        <f>IF($A197="","",COUNTIF('06_Avanzamento'!$B$4:$B$1000,$A197))</f>
        <v/>
      </c>
      <c r="H197" s="63" t="str">
        <f>IF($A197="","",COUNTIF('07_TRL_TLR'!$B$4:$B$1000,$A197))</f>
        <v/>
      </c>
      <c r="I197" s="63" t="str">
        <f>IF($A197="","",COUNTIF('08_Costi_Compet'!$B$4:$B$1000,$A197))</f>
        <v/>
      </c>
      <c r="J197" s="63" t="str">
        <f>IF($A197="","",COUNTIF('09_Settori_Impatto'!$B$4:$B$1000,$A197))</f>
        <v/>
      </c>
      <c r="K197" s="63" t="str">
        <f>IF($A197="","",COUNTIF('16_Mercati_Riferimento'!$B$4:$B$1000,$A197))</f>
        <v/>
      </c>
      <c r="L197" s="22" t="str">
        <f>IF($A197="","",COUNTIF('10_Sostenibilita'!$B$4:$B$1000,$A197))</f>
        <v/>
      </c>
      <c r="M197" s="63" t="str">
        <f>IF($A197="","",COUNTIF('11_Best_Practice'!$B$4:$B$1000,$A197))</f>
        <v/>
      </c>
      <c r="N197" s="63" t="str">
        <f>IF($A197="","",COUNTIF('12_Policy_Regolazione'!$B$4:$B$1000,$A197))</f>
        <v/>
      </c>
      <c r="O197" s="63" t="str">
        <f>IF($A197="","",COUNTIF('13_Barriere_Opp'!$B$4:$B$1000,$A197))</f>
        <v/>
      </c>
      <c r="P197" s="63" t="str">
        <f>IF($A197="","",COUNTIF('14_Attori_Imprese'!$B$4:$B$1000,$A197))</f>
        <v/>
      </c>
      <c r="Q197" s="63" t="str">
        <f>IF($A197="","",COUNTIF('15_Prestazioni'!$B$4:$B$1000,$A197))</f>
        <v/>
      </c>
      <c r="R197" s="64" t="str">
        <f t="shared" si="12"/>
        <v/>
      </c>
      <c r="S197" s="65" t="str">
        <f>IF($A197="","",IFERROR(AVERAGEIF('07_TRL_TLR'!$B$4:$B$1000,$A197,'07_TRL_TLR'!$F$4:$F$1000),""))</f>
        <v/>
      </c>
      <c r="T197" s="63" t="str">
        <f t="shared" si="13"/>
        <v/>
      </c>
      <c r="U197" s="66" t="str">
        <f t="shared" si="14"/>
        <v/>
      </c>
      <c r="V197" s="66" t="str">
        <f t="shared" si="15"/>
        <v/>
      </c>
    </row>
    <row r="198" spans="1:22">
      <c r="A198" s="67" t="str">
        <f>IF('03_Tecnologie'!A198="","",'03_Tecnologie'!A198)</f>
        <v/>
      </c>
      <c r="B198" s="67" t="str">
        <f>IF($A198="","",'03_Tecnologie'!D198)</f>
        <v/>
      </c>
      <c r="C198" s="67" t="str">
        <f>IF($A198="","",'03_Tecnologie'!B198)</f>
        <v/>
      </c>
      <c r="D198" s="67" t="str">
        <f>IF($A198="","",'03_Tecnologie'!F198)</f>
        <v/>
      </c>
      <c r="E198" s="63" t="str">
        <f>IF($A198="","",COUNTIF('04_Componenti'!$B$4:$B$1000,$A198))</f>
        <v/>
      </c>
      <c r="F198" s="63" t="str">
        <f>IF($A198="","",COUNTIF('05_Descrizione'!$B$4:$B$1000,$A198))</f>
        <v/>
      </c>
      <c r="G198" s="63" t="str">
        <f>IF($A198="","",COUNTIF('06_Avanzamento'!$B$4:$B$1000,$A198))</f>
        <v/>
      </c>
      <c r="H198" s="63" t="str">
        <f>IF($A198="","",COUNTIF('07_TRL_TLR'!$B$4:$B$1000,$A198))</f>
        <v/>
      </c>
      <c r="I198" s="63" t="str">
        <f>IF($A198="","",COUNTIF('08_Costi_Compet'!$B$4:$B$1000,$A198))</f>
        <v/>
      </c>
      <c r="J198" s="63" t="str">
        <f>IF($A198="","",COUNTIF('09_Settori_Impatto'!$B$4:$B$1000,$A198))</f>
        <v/>
      </c>
      <c r="K198" s="63" t="str">
        <f>IF($A198="","",COUNTIF('16_Mercati_Riferimento'!$B$4:$B$1000,$A198))</f>
        <v/>
      </c>
      <c r="L198" s="22" t="str">
        <f>IF($A198="","",COUNTIF('10_Sostenibilita'!$B$4:$B$1000,$A198))</f>
        <v/>
      </c>
      <c r="M198" s="63" t="str">
        <f>IF($A198="","",COUNTIF('11_Best_Practice'!$B$4:$B$1000,$A198))</f>
        <v/>
      </c>
      <c r="N198" s="63" t="str">
        <f>IF($A198="","",COUNTIF('12_Policy_Regolazione'!$B$4:$B$1000,$A198))</f>
        <v/>
      </c>
      <c r="O198" s="63" t="str">
        <f>IF($A198="","",COUNTIF('13_Barriere_Opp'!$B$4:$B$1000,$A198))</f>
        <v/>
      </c>
      <c r="P198" s="63" t="str">
        <f>IF($A198="","",COUNTIF('14_Attori_Imprese'!$B$4:$B$1000,$A198))</f>
        <v/>
      </c>
      <c r="Q198" s="63" t="str">
        <f>IF($A198="","",COUNTIF('15_Prestazioni'!$B$4:$B$1000,$A198))</f>
        <v/>
      </c>
      <c r="R198" s="64" t="str">
        <f t="shared" si="12"/>
        <v/>
      </c>
      <c r="S198" s="65" t="str">
        <f>IF($A198="","",IFERROR(AVERAGEIF('07_TRL_TLR'!$B$4:$B$1000,$A198,'07_TRL_TLR'!$F$4:$F$1000),""))</f>
        <v/>
      </c>
      <c r="T198" s="63" t="str">
        <f t="shared" si="13"/>
        <v/>
      </c>
      <c r="U198" s="66" t="str">
        <f t="shared" si="14"/>
        <v/>
      </c>
      <c r="V198" s="66" t="str">
        <f t="shared" si="15"/>
        <v/>
      </c>
    </row>
    <row r="199" spans="1:22">
      <c r="A199" s="67" t="str">
        <f>IF('03_Tecnologie'!A199="","",'03_Tecnologie'!A199)</f>
        <v/>
      </c>
      <c r="B199" s="67" t="str">
        <f>IF($A199="","",'03_Tecnologie'!D199)</f>
        <v/>
      </c>
      <c r="C199" s="67" t="str">
        <f>IF($A199="","",'03_Tecnologie'!B199)</f>
        <v/>
      </c>
      <c r="D199" s="67" t="str">
        <f>IF($A199="","",'03_Tecnologie'!F199)</f>
        <v/>
      </c>
      <c r="E199" s="63" t="str">
        <f>IF($A199="","",COUNTIF('04_Componenti'!$B$4:$B$1000,$A199))</f>
        <v/>
      </c>
      <c r="F199" s="63" t="str">
        <f>IF($A199="","",COUNTIF('05_Descrizione'!$B$4:$B$1000,$A199))</f>
        <v/>
      </c>
      <c r="G199" s="63" t="str">
        <f>IF($A199="","",COUNTIF('06_Avanzamento'!$B$4:$B$1000,$A199))</f>
        <v/>
      </c>
      <c r="H199" s="63" t="str">
        <f>IF($A199="","",COUNTIF('07_TRL_TLR'!$B$4:$B$1000,$A199))</f>
        <v/>
      </c>
      <c r="I199" s="63" t="str">
        <f>IF($A199="","",COUNTIF('08_Costi_Compet'!$B$4:$B$1000,$A199))</f>
        <v/>
      </c>
      <c r="J199" s="63" t="str">
        <f>IF($A199="","",COUNTIF('09_Settori_Impatto'!$B$4:$B$1000,$A199))</f>
        <v/>
      </c>
      <c r="K199" s="63" t="str">
        <f>IF($A199="","",COUNTIF('16_Mercati_Riferimento'!$B$4:$B$1000,$A199))</f>
        <v/>
      </c>
      <c r="L199" s="22" t="str">
        <f>IF($A199="","",COUNTIF('10_Sostenibilita'!$B$4:$B$1000,$A199))</f>
        <v/>
      </c>
      <c r="M199" s="63" t="str">
        <f>IF($A199="","",COUNTIF('11_Best_Practice'!$B$4:$B$1000,$A199))</f>
        <v/>
      </c>
      <c r="N199" s="63" t="str">
        <f>IF($A199="","",COUNTIF('12_Policy_Regolazione'!$B$4:$B$1000,$A199))</f>
        <v/>
      </c>
      <c r="O199" s="63" t="str">
        <f>IF($A199="","",COUNTIF('13_Barriere_Opp'!$B$4:$B$1000,$A199))</f>
        <v/>
      </c>
      <c r="P199" s="63" t="str">
        <f>IF($A199="","",COUNTIF('14_Attori_Imprese'!$B$4:$B$1000,$A199))</f>
        <v/>
      </c>
      <c r="Q199" s="63" t="str">
        <f>IF($A199="","",COUNTIF('15_Prestazioni'!$B$4:$B$1000,$A199))</f>
        <v/>
      </c>
      <c r="R199" s="64" t="str">
        <f t="shared" si="12"/>
        <v/>
      </c>
      <c r="S199" s="65" t="str">
        <f>IF($A199="","",IFERROR(AVERAGEIF('07_TRL_TLR'!$B$4:$B$1000,$A199,'07_TRL_TLR'!$F$4:$F$1000),""))</f>
        <v/>
      </c>
      <c r="T199" s="63" t="str">
        <f t="shared" si="13"/>
        <v/>
      </c>
      <c r="U199" s="66" t="str">
        <f t="shared" si="14"/>
        <v/>
      </c>
      <c r="V199" s="66" t="str">
        <f t="shared" si="15"/>
        <v/>
      </c>
    </row>
    <row r="200" spans="1:22">
      <c r="A200" s="67" t="str">
        <f>IF('03_Tecnologie'!A200="","",'03_Tecnologie'!A200)</f>
        <v/>
      </c>
      <c r="B200" s="67" t="str">
        <f>IF($A200="","",'03_Tecnologie'!D200)</f>
        <v/>
      </c>
      <c r="C200" s="67" t="str">
        <f>IF($A200="","",'03_Tecnologie'!B200)</f>
        <v/>
      </c>
      <c r="D200" s="67" t="str">
        <f>IF($A200="","",'03_Tecnologie'!F200)</f>
        <v/>
      </c>
      <c r="E200" s="63" t="str">
        <f>IF($A200="","",COUNTIF('04_Componenti'!$B$4:$B$1000,$A200))</f>
        <v/>
      </c>
      <c r="F200" s="63" t="str">
        <f>IF($A200="","",COUNTIF('05_Descrizione'!$B$4:$B$1000,$A200))</f>
        <v/>
      </c>
      <c r="G200" s="63" t="str">
        <f>IF($A200="","",COUNTIF('06_Avanzamento'!$B$4:$B$1000,$A200))</f>
        <v/>
      </c>
      <c r="H200" s="63" t="str">
        <f>IF($A200="","",COUNTIF('07_TRL_TLR'!$B$4:$B$1000,$A200))</f>
        <v/>
      </c>
      <c r="I200" s="63" t="str">
        <f>IF($A200="","",COUNTIF('08_Costi_Compet'!$B$4:$B$1000,$A200))</f>
        <v/>
      </c>
      <c r="J200" s="63" t="str">
        <f>IF($A200="","",COUNTIF('09_Settori_Impatto'!$B$4:$B$1000,$A200))</f>
        <v/>
      </c>
      <c r="K200" s="63" t="str">
        <f>IF($A200="","",COUNTIF('16_Mercati_Riferimento'!$B$4:$B$1000,$A200))</f>
        <v/>
      </c>
      <c r="L200" s="22" t="str">
        <f>IF($A200="","",COUNTIF('10_Sostenibilita'!$B$4:$B$1000,$A200))</f>
        <v/>
      </c>
      <c r="M200" s="63" t="str">
        <f>IF($A200="","",COUNTIF('11_Best_Practice'!$B$4:$B$1000,$A200))</f>
        <v/>
      </c>
      <c r="N200" s="63" t="str">
        <f>IF($A200="","",COUNTIF('12_Policy_Regolazione'!$B$4:$B$1000,$A200))</f>
        <v/>
      </c>
      <c r="O200" s="63" t="str">
        <f>IF($A200="","",COUNTIF('13_Barriere_Opp'!$B$4:$B$1000,$A200))</f>
        <v/>
      </c>
      <c r="P200" s="63" t="str">
        <f>IF($A200="","",COUNTIF('14_Attori_Imprese'!$B$4:$B$1000,$A200))</f>
        <v/>
      </c>
      <c r="Q200" s="63" t="str">
        <f>IF($A200="","",COUNTIF('15_Prestazioni'!$B$4:$B$1000,$A200))</f>
        <v/>
      </c>
      <c r="R200" s="64" t="str">
        <f t="shared" si="12"/>
        <v/>
      </c>
      <c r="S200" s="65" t="str">
        <f>IF($A200="","",IFERROR(AVERAGEIF('07_TRL_TLR'!$B$4:$B$1000,$A200,'07_TRL_TLR'!$F$4:$F$1000),""))</f>
        <v/>
      </c>
      <c r="T200" s="63" t="str">
        <f t="shared" si="13"/>
        <v/>
      </c>
      <c r="U200" s="66" t="str">
        <f t="shared" si="14"/>
        <v/>
      </c>
      <c r="V200" s="66" t="str">
        <f t="shared" si="15"/>
        <v/>
      </c>
    </row>
    <row r="201" spans="1:22">
      <c r="A201" s="67" t="str">
        <f>IF('03_Tecnologie'!A201="","",'03_Tecnologie'!A201)</f>
        <v/>
      </c>
      <c r="B201" s="67" t="str">
        <f>IF($A201="","",'03_Tecnologie'!D201)</f>
        <v/>
      </c>
      <c r="C201" s="67" t="str">
        <f>IF($A201="","",'03_Tecnologie'!B201)</f>
        <v/>
      </c>
      <c r="D201" s="67" t="str">
        <f>IF($A201="","",'03_Tecnologie'!F201)</f>
        <v/>
      </c>
      <c r="E201" s="63" t="str">
        <f>IF($A201="","",COUNTIF('04_Componenti'!$B$4:$B$1000,$A201))</f>
        <v/>
      </c>
      <c r="F201" s="63" t="str">
        <f>IF($A201="","",COUNTIF('05_Descrizione'!$B$4:$B$1000,$A201))</f>
        <v/>
      </c>
      <c r="G201" s="63" t="str">
        <f>IF($A201="","",COUNTIF('06_Avanzamento'!$B$4:$B$1000,$A201))</f>
        <v/>
      </c>
      <c r="H201" s="63" t="str">
        <f>IF($A201="","",COUNTIF('07_TRL_TLR'!$B$4:$B$1000,$A201))</f>
        <v/>
      </c>
      <c r="I201" s="63" t="str">
        <f>IF($A201="","",COUNTIF('08_Costi_Compet'!$B$4:$B$1000,$A201))</f>
        <v/>
      </c>
      <c r="J201" s="63" t="str">
        <f>IF($A201="","",COUNTIF('09_Settori_Impatto'!$B$4:$B$1000,$A201))</f>
        <v/>
      </c>
      <c r="K201" s="63" t="str">
        <f>IF($A201="","",COUNTIF('16_Mercati_Riferimento'!$B$4:$B$1000,$A201))</f>
        <v/>
      </c>
      <c r="L201" s="22" t="str">
        <f>IF($A201="","",COUNTIF('10_Sostenibilita'!$B$4:$B$1000,$A201))</f>
        <v/>
      </c>
      <c r="M201" s="63" t="str">
        <f>IF($A201="","",COUNTIF('11_Best_Practice'!$B$4:$B$1000,$A201))</f>
        <v/>
      </c>
      <c r="N201" s="63" t="str">
        <f>IF($A201="","",COUNTIF('12_Policy_Regolazione'!$B$4:$B$1000,$A201))</f>
        <v/>
      </c>
      <c r="O201" s="63" t="str">
        <f>IF($A201="","",COUNTIF('13_Barriere_Opp'!$B$4:$B$1000,$A201))</f>
        <v/>
      </c>
      <c r="P201" s="63" t="str">
        <f>IF($A201="","",COUNTIF('14_Attori_Imprese'!$B$4:$B$1000,$A201))</f>
        <v/>
      </c>
      <c r="Q201" s="63" t="str">
        <f>IF($A201="","",COUNTIF('15_Prestazioni'!$B$4:$B$1000,$A201))</f>
        <v/>
      </c>
      <c r="R201" s="64" t="str">
        <f t="shared" si="12"/>
        <v/>
      </c>
      <c r="S201" s="65" t="str">
        <f>IF($A201="","",IFERROR(AVERAGEIF('07_TRL_TLR'!$B$4:$B$1000,$A201,'07_TRL_TLR'!$F$4:$F$1000),""))</f>
        <v/>
      </c>
      <c r="T201" s="63" t="str">
        <f t="shared" si="13"/>
        <v/>
      </c>
      <c r="U201" s="66" t="str">
        <f t="shared" si="14"/>
        <v/>
      </c>
      <c r="V201" s="66" t="str">
        <f t="shared" si="15"/>
        <v/>
      </c>
    </row>
    <row r="202" spans="1:22">
      <c r="A202" s="67" t="str">
        <f>IF('03_Tecnologie'!A202="","",'03_Tecnologie'!A202)</f>
        <v/>
      </c>
      <c r="B202" s="67" t="str">
        <f>IF($A202="","",'03_Tecnologie'!D202)</f>
        <v/>
      </c>
      <c r="C202" s="67" t="str">
        <f>IF($A202="","",'03_Tecnologie'!B202)</f>
        <v/>
      </c>
      <c r="D202" s="67" t="str">
        <f>IF($A202="","",'03_Tecnologie'!F202)</f>
        <v/>
      </c>
      <c r="E202" s="63" t="str">
        <f>IF($A202="","",COUNTIF('04_Componenti'!$B$4:$B$1000,$A202))</f>
        <v/>
      </c>
      <c r="F202" s="63" t="str">
        <f>IF($A202="","",COUNTIF('05_Descrizione'!$B$4:$B$1000,$A202))</f>
        <v/>
      </c>
      <c r="G202" s="63" t="str">
        <f>IF($A202="","",COUNTIF('06_Avanzamento'!$B$4:$B$1000,$A202))</f>
        <v/>
      </c>
      <c r="H202" s="63" t="str">
        <f>IF($A202="","",COUNTIF('07_TRL_TLR'!$B$4:$B$1000,$A202))</f>
        <v/>
      </c>
      <c r="I202" s="63" t="str">
        <f>IF($A202="","",COUNTIF('08_Costi_Compet'!$B$4:$B$1000,$A202))</f>
        <v/>
      </c>
      <c r="J202" s="63" t="str">
        <f>IF($A202="","",COUNTIF('09_Settori_Impatto'!$B$4:$B$1000,$A202))</f>
        <v/>
      </c>
      <c r="K202" s="63" t="str">
        <f>IF($A202="","",COUNTIF('16_Mercati_Riferimento'!$B$4:$B$1000,$A202))</f>
        <v/>
      </c>
      <c r="L202" s="22" t="str">
        <f>IF($A202="","",COUNTIF('10_Sostenibilita'!$B$4:$B$1000,$A202))</f>
        <v/>
      </c>
      <c r="M202" s="63" t="str">
        <f>IF($A202="","",COUNTIF('11_Best_Practice'!$B$4:$B$1000,$A202))</f>
        <v/>
      </c>
      <c r="N202" s="63" t="str">
        <f>IF($A202="","",COUNTIF('12_Policy_Regolazione'!$B$4:$B$1000,$A202))</f>
        <v/>
      </c>
      <c r="O202" s="63" t="str">
        <f>IF($A202="","",COUNTIF('13_Barriere_Opp'!$B$4:$B$1000,$A202))</f>
        <v/>
      </c>
      <c r="P202" s="63" t="str">
        <f>IF($A202="","",COUNTIF('14_Attori_Imprese'!$B$4:$B$1000,$A202))</f>
        <v/>
      </c>
      <c r="Q202" s="63" t="str">
        <f>IF($A202="","",COUNTIF('15_Prestazioni'!$B$4:$B$1000,$A202))</f>
        <v/>
      </c>
      <c r="R202" s="64" t="str">
        <f t="shared" si="12"/>
        <v/>
      </c>
      <c r="S202" s="65" t="str">
        <f>IF($A202="","",IFERROR(AVERAGEIF('07_TRL_TLR'!$B$4:$B$1000,$A202,'07_TRL_TLR'!$F$4:$F$1000),""))</f>
        <v/>
      </c>
      <c r="T202" s="63" t="str">
        <f t="shared" si="13"/>
        <v/>
      </c>
      <c r="U202" s="66" t="str">
        <f t="shared" si="14"/>
        <v/>
      </c>
      <c r="V202" s="66" t="str">
        <f t="shared" si="15"/>
        <v/>
      </c>
    </row>
    <row r="203" spans="1:22">
      <c r="A203" s="67" t="str">
        <f>IF('03_Tecnologie'!A203="","",'03_Tecnologie'!A203)</f>
        <v/>
      </c>
      <c r="B203" s="67" t="str">
        <f>IF($A203="","",'03_Tecnologie'!D203)</f>
        <v/>
      </c>
      <c r="C203" s="67" t="str">
        <f>IF($A203="","",'03_Tecnologie'!B203)</f>
        <v/>
      </c>
      <c r="D203" s="67" t="str">
        <f>IF($A203="","",'03_Tecnologie'!F203)</f>
        <v/>
      </c>
      <c r="E203" s="63" t="str">
        <f>IF($A203="","",COUNTIF('04_Componenti'!$B$4:$B$1000,$A203))</f>
        <v/>
      </c>
      <c r="F203" s="63" t="str">
        <f>IF($A203="","",COUNTIF('05_Descrizione'!$B$4:$B$1000,$A203))</f>
        <v/>
      </c>
      <c r="G203" s="63" t="str">
        <f>IF($A203="","",COUNTIF('06_Avanzamento'!$B$4:$B$1000,$A203))</f>
        <v/>
      </c>
      <c r="H203" s="63" t="str">
        <f>IF($A203="","",COUNTIF('07_TRL_TLR'!$B$4:$B$1000,$A203))</f>
        <v/>
      </c>
      <c r="I203" s="63" t="str">
        <f>IF($A203="","",COUNTIF('08_Costi_Compet'!$B$4:$B$1000,$A203))</f>
        <v/>
      </c>
      <c r="J203" s="63" t="str">
        <f>IF($A203="","",COUNTIF('09_Settori_Impatto'!$B$4:$B$1000,$A203))</f>
        <v/>
      </c>
      <c r="K203" s="63" t="str">
        <f>IF($A203="","",COUNTIF('16_Mercati_Riferimento'!$B$4:$B$1000,$A203))</f>
        <v/>
      </c>
      <c r="L203" s="22" t="str">
        <f>IF($A203="","",COUNTIF('10_Sostenibilita'!$B$4:$B$1000,$A203))</f>
        <v/>
      </c>
      <c r="M203" s="63" t="str">
        <f>IF($A203="","",COUNTIF('11_Best_Practice'!$B$4:$B$1000,$A203))</f>
        <v/>
      </c>
      <c r="N203" s="63" t="str">
        <f>IF($A203="","",COUNTIF('12_Policy_Regolazione'!$B$4:$B$1000,$A203))</f>
        <v/>
      </c>
      <c r="O203" s="63" t="str">
        <f>IF($A203="","",COUNTIF('13_Barriere_Opp'!$B$4:$B$1000,$A203))</f>
        <v/>
      </c>
      <c r="P203" s="63" t="str">
        <f>IF($A203="","",COUNTIF('14_Attori_Imprese'!$B$4:$B$1000,$A203))</f>
        <v/>
      </c>
      <c r="Q203" s="63" t="str">
        <f>IF($A203="","",COUNTIF('15_Prestazioni'!$B$4:$B$1000,$A203))</f>
        <v/>
      </c>
      <c r="R203" s="64" t="str">
        <f t="shared" si="12"/>
        <v/>
      </c>
      <c r="S203" s="65" t="str">
        <f>IF($A203="","",IFERROR(AVERAGEIF('07_TRL_TLR'!$B$4:$B$1000,$A203,'07_TRL_TLR'!$F$4:$F$1000),""))</f>
        <v/>
      </c>
      <c r="T203" s="63" t="str">
        <f t="shared" si="13"/>
        <v/>
      </c>
      <c r="U203" s="66" t="str">
        <f t="shared" si="14"/>
        <v/>
      </c>
      <c r="V203" s="66" t="str">
        <f t="shared" si="15"/>
        <v/>
      </c>
    </row>
    <row r="204" spans="1:22">
      <c r="A204" s="67" t="str">
        <f>IF('03_Tecnologie'!A204="","",'03_Tecnologie'!A204)</f>
        <v/>
      </c>
      <c r="B204" s="67" t="str">
        <f>IF($A204="","",'03_Tecnologie'!D204)</f>
        <v/>
      </c>
      <c r="C204" s="67" t="str">
        <f>IF($A204="","",'03_Tecnologie'!B204)</f>
        <v/>
      </c>
      <c r="D204" s="67" t="str">
        <f>IF($A204="","",'03_Tecnologie'!F204)</f>
        <v/>
      </c>
      <c r="E204" s="63" t="str">
        <f>IF($A204="","",COUNTIF('04_Componenti'!$B$4:$B$1000,$A204))</f>
        <v/>
      </c>
      <c r="F204" s="63" t="str">
        <f>IF($A204="","",COUNTIF('05_Descrizione'!$B$4:$B$1000,$A204))</f>
        <v/>
      </c>
      <c r="G204" s="63" t="str">
        <f>IF($A204="","",COUNTIF('06_Avanzamento'!$B$4:$B$1000,$A204))</f>
        <v/>
      </c>
      <c r="H204" s="63" t="str">
        <f>IF($A204="","",COUNTIF('07_TRL_TLR'!$B$4:$B$1000,$A204))</f>
        <v/>
      </c>
      <c r="I204" s="63" t="str">
        <f>IF($A204="","",COUNTIF('08_Costi_Compet'!$B$4:$B$1000,$A204))</f>
        <v/>
      </c>
      <c r="J204" s="63" t="str">
        <f>IF($A204="","",COUNTIF('09_Settori_Impatto'!$B$4:$B$1000,$A204))</f>
        <v/>
      </c>
      <c r="K204" s="63" t="str">
        <f>IF($A204="","",COUNTIF('16_Mercati_Riferimento'!$B$4:$B$1000,$A204))</f>
        <v/>
      </c>
      <c r="L204" s="22" t="str">
        <f>IF($A204="","",COUNTIF('10_Sostenibilita'!$B$4:$B$1000,$A204))</f>
        <v/>
      </c>
      <c r="M204" s="63" t="str">
        <f>IF($A204="","",COUNTIF('11_Best_Practice'!$B$4:$B$1000,$A204))</f>
        <v/>
      </c>
      <c r="N204" s="63" t="str">
        <f>IF($A204="","",COUNTIF('12_Policy_Regolazione'!$B$4:$B$1000,$A204))</f>
        <v/>
      </c>
      <c r="O204" s="63" t="str">
        <f>IF($A204="","",COUNTIF('13_Barriere_Opp'!$B$4:$B$1000,$A204))</f>
        <v/>
      </c>
      <c r="P204" s="63" t="str">
        <f>IF($A204="","",COUNTIF('14_Attori_Imprese'!$B$4:$B$1000,$A204))</f>
        <v/>
      </c>
      <c r="Q204" s="63" t="str">
        <f>IF($A204="","",COUNTIF('15_Prestazioni'!$B$4:$B$1000,$A204))</f>
        <v/>
      </c>
      <c r="R204" s="64" t="str">
        <f t="shared" si="12"/>
        <v/>
      </c>
      <c r="S204" s="65" t="str">
        <f>IF($A204="","",IFERROR(AVERAGEIF('07_TRL_TLR'!$B$4:$B$1000,$A204,'07_TRL_TLR'!$F$4:$F$1000),""))</f>
        <v/>
      </c>
      <c r="T204" s="63" t="str">
        <f t="shared" si="13"/>
        <v/>
      </c>
      <c r="U204" s="66" t="str">
        <f t="shared" si="14"/>
        <v/>
      </c>
      <c r="V204" s="66" t="str">
        <f t="shared" si="15"/>
        <v/>
      </c>
    </row>
    <row r="205" spans="1:22">
      <c r="A205" s="67" t="str">
        <f>IF('03_Tecnologie'!A205="","",'03_Tecnologie'!A205)</f>
        <v/>
      </c>
      <c r="B205" s="67" t="str">
        <f>IF($A205="","",'03_Tecnologie'!D205)</f>
        <v/>
      </c>
      <c r="C205" s="67" t="str">
        <f>IF($A205="","",'03_Tecnologie'!B205)</f>
        <v/>
      </c>
      <c r="D205" s="67" t="str">
        <f>IF($A205="","",'03_Tecnologie'!F205)</f>
        <v/>
      </c>
      <c r="E205" s="63" t="str">
        <f>IF($A205="","",COUNTIF('04_Componenti'!$B$4:$B$1000,$A205))</f>
        <v/>
      </c>
      <c r="F205" s="63" t="str">
        <f>IF($A205="","",COUNTIF('05_Descrizione'!$B$4:$B$1000,$A205))</f>
        <v/>
      </c>
      <c r="G205" s="63" t="str">
        <f>IF($A205="","",COUNTIF('06_Avanzamento'!$B$4:$B$1000,$A205))</f>
        <v/>
      </c>
      <c r="H205" s="63" t="str">
        <f>IF($A205="","",COUNTIF('07_TRL_TLR'!$B$4:$B$1000,$A205))</f>
        <v/>
      </c>
      <c r="I205" s="63" t="str">
        <f>IF($A205="","",COUNTIF('08_Costi_Compet'!$B$4:$B$1000,$A205))</f>
        <v/>
      </c>
      <c r="J205" s="63" t="str">
        <f>IF($A205="","",COUNTIF('09_Settori_Impatto'!$B$4:$B$1000,$A205))</f>
        <v/>
      </c>
      <c r="K205" s="63" t="str">
        <f>IF($A205="","",COUNTIF('16_Mercati_Riferimento'!$B$4:$B$1000,$A205))</f>
        <v/>
      </c>
      <c r="L205" s="22" t="str">
        <f>IF($A205="","",COUNTIF('10_Sostenibilita'!$B$4:$B$1000,$A205))</f>
        <v/>
      </c>
      <c r="M205" s="63" t="str">
        <f>IF($A205="","",COUNTIF('11_Best_Practice'!$B$4:$B$1000,$A205))</f>
        <v/>
      </c>
      <c r="N205" s="63" t="str">
        <f>IF($A205="","",COUNTIF('12_Policy_Regolazione'!$B$4:$B$1000,$A205))</f>
        <v/>
      </c>
      <c r="O205" s="63" t="str">
        <f>IF($A205="","",COUNTIF('13_Barriere_Opp'!$B$4:$B$1000,$A205))</f>
        <v/>
      </c>
      <c r="P205" s="63" t="str">
        <f>IF($A205="","",COUNTIF('14_Attori_Imprese'!$B$4:$B$1000,$A205))</f>
        <v/>
      </c>
      <c r="Q205" s="63" t="str">
        <f>IF($A205="","",COUNTIF('15_Prestazioni'!$B$4:$B$1000,$A205))</f>
        <v/>
      </c>
      <c r="R205" s="64" t="str">
        <f t="shared" si="12"/>
        <v/>
      </c>
      <c r="S205" s="65" t="str">
        <f>IF($A205="","",IFERROR(AVERAGEIF('07_TRL_TLR'!$B$4:$B$1000,$A205,'07_TRL_TLR'!$F$4:$F$1000),""))</f>
        <v/>
      </c>
      <c r="T205" s="63" t="str">
        <f t="shared" si="13"/>
        <v/>
      </c>
      <c r="U205" s="66" t="str">
        <f t="shared" si="14"/>
        <v/>
      </c>
      <c r="V205" s="66" t="str">
        <f t="shared" si="15"/>
        <v/>
      </c>
    </row>
    <row r="206" spans="1:22">
      <c r="A206" s="67" t="str">
        <f>IF('03_Tecnologie'!A206="","",'03_Tecnologie'!A206)</f>
        <v/>
      </c>
      <c r="B206" s="67" t="str">
        <f>IF($A206="","",'03_Tecnologie'!D206)</f>
        <v/>
      </c>
      <c r="C206" s="67" t="str">
        <f>IF($A206="","",'03_Tecnologie'!B206)</f>
        <v/>
      </c>
      <c r="D206" s="67" t="str">
        <f>IF($A206="","",'03_Tecnologie'!F206)</f>
        <v/>
      </c>
      <c r="E206" s="63" t="str">
        <f>IF($A206="","",COUNTIF('04_Componenti'!$B$4:$B$1000,$A206))</f>
        <v/>
      </c>
      <c r="F206" s="63" t="str">
        <f>IF($A206="","",COUNTIF('05_Descrizione'!$B$4:$B$1000,$A206))</f>
        <v/>
      </c>
      <c r="G206" s="63" t="str">
        <f>IF($A206="","",COUNTIF('06_Avanzamento'!$B$4:$B$1000,$A206))</f>
        <v/>
      </c>
      <c r="H206" s="63" t="str">
        <f>IF($A206="","",COUNTIF('07_TRL_TLR'!$B$4:$B$1000,$A206))</f>
        <v/>
      </c>
      <c r="I206" s="63" t="str">
        <f>IF($A206="","",COUNTIF('08_Costi_Compet'!$B$4:$B$1000,$A206))</f>
        <v/>
      </c>
      <c r="J206" s="63" t="str">
        <f>IF($A206="","",COUNTIF('09_Settori_Impatto'!$B$4:$B$1000,$A206))</f>
        <v/>
      </c>
      <c r="K206" s="63" t="str">
        <f>IF($A206="","",COUNTIF('16_Mercati_Riferimento'!$B$4:$B$1000,$A206))</f>
        <v/>
      </c>
      <c r="L206" s="22" t="str">
        <f>IF($A206="","",COUNTIF('10_Sostenibilita'!$B$4:$B$1000,$A206))</f>
        <v/>
      </c>
      <c r="M206" s="63" t="str">
        <f>IF($A206="","",COUNTIF('11_Best_Practice'!$B$4:$B$1000,$A206))</f>
        <v/>
      </c>
      <c r="N206" s="63" t="str">
        <f>IF($A206="","",COUNTIF('12_Policy_Regolazione'!$B$4:$B$1000,$A206))</f>
        <v/>
      </c>
      <c r="O206" s="63" t="str">
        <f>IF($A206="","",COUNTIF('13_Barriere_Opp'!$B$4:$B$1000,$A206))</f>
        <v/>
      </c>
      <c r="P206" s="63" t="str">
        <f>IF($A206="","",COUNTIF('14_Attori_Imprese'!$B$4:$B$1000,$A206))</f>
        <v/>
      </c>
      <c r="Q206" s="63" t="str">
        <f>IF($A206="","",COUNTIF('15_Prestazioni'!$B$4:$B$1000,$A206))</f>
        <v/>
      </c>
      <c r="R206" s="64" t="str">
        <f t="shared" si="12"/>
        <v/>
      </c>
      <c r="S206" s="65" t="str">
        <f>IF($A206="","",IFERROR(AVERAGEIF('07_TRL_TLR'!$B$4:$B$1000,$A206,'07_TRL_TLR'!$F$4:$F$1000),""))</f>
        <v/>
      </c>
      <c r="T206" s="63" t="str">
        <f t="shared" si="13"/>
        <v/>
      </c>
      <c r="U206" s="66" t="str">
        <f t="shared" si="14"/>
        <v/>
      </c>
      <c r="V206" s="66" t="str">
        <f t="shared" si="15"/>
        <v/>
      </c>
    </row>
    <row r="207" spans="1:22">
      <c r="A207" s="67" t="str">
        <f>IF('03_Tecnologie'!A207="","",'03_Tecnologie'!A207)</f>
        <v/>
      </c>
      <c r="B207" s="67" t="str">
        <f>IF($A207="","",'03_Tecnologie'!D207)</f>
        <v/>
      </c>
      <c r="C207" s="67" t="str">
        <f>IF($A207="","",'03_Tecnologie'!B207)</f>
        <v/>
      </c>
      <c r="D207" s="67" t="str">
        <f>IF($A207="","",'03_Tecnologie'!F207)</f>
        <v/>
      </c>
      <c r="E207" s="63" t="str">
        <f>IF($A207="","",COUNTIF('04_Componenti'!$B$4:$B$1000,$A207))</f>
        <v/>
      </c>
      <c r="F207" s="63" t="str">
        <f>IF($A207="","",COUNTIF('05_Descrizione'!$B$4:$B$1000,$A207))</f>
        <v/>
      </c>
      <c r="G207" s="63" t="str">
        <f>IF($A207="","",COUNTIF('06_Avanzamento'!$B$4:$B$1000,$A207))</f>
        <v/>
      </c>
      <c r="H207" s="63" t="str">
        <f>IF($A207="","",COUNTIF('07_TRL_TLR'!$B$4:$B$1000,$A207))</f>
        <v/>
      </c>
      <c r="I207" s="63" t="str">
        <f>IF($A207="","",COUNTIF('08_Costi_Compet'!$B$4:$B$1000,$A207))</f>
        <v/>
      </c>
      <c r="J207" s="63" t="str">
        <f>IF($A207="","",COUNTIF('09_Settori_Impatto'!$B$4:$B$1000,$A207))</f>
        <v/>
      </c>
      <c r="K207" s="63" t="str">
        <f>IF($A207="","",COUNTIF('16_Mercati_Riferimento'!$B$4:$B$1000,$A207))</f>
        <v/>
      </c>
      <c r="L207" s="22" t="str">
        <f>IF($A207="","",COUNTIF('10_Sostenibilita'!$B$4:$B$1000,$A207))</f>
        <v/>
      </c>
      <c r="M207" s="63" t="str">
        <f>IF($A207="","",COUNTIF('11_Best_Practice'!$B$4:$B$1000,$A207))</f>
        <v/>
      </c>
      <c r="N207" s="63" t="str">
        <f>IF($A207="","",COUNTIF('12_Policy_Regolazione'!$B$4:$B$1000,$A207))</f>
        <v/>
      </c>
      <c r="O207" s="63" t="str">
        <f>IF($A207="","",COUNTIF('13_Barriere_Opp'!$B$4:$B$1000,$A207))</f>
        <v/>
      </c>
      <c r="P207" s="63" t="str">
        <f>IF($A207="","",COUNTIF('14_Attori_Imprese'!$B$4:$B$1000,$A207))</f>
        <v/>
      </c>
      <c r="Q207" s="63" t="str">
        <f>IF($A207="","",COUNTIF('15_Prestazioni'!$B$4:$B$1000,$A207))</f>
        <v/>
      </c>
      <c r="R207" s="64" t="str">
        <f t="shared" si="12"/>
        <v/>
      </c>
      <c r="S207" s="65" t="str">
        <f>IF($A207="","",IFERROR(AVERAGEIF('07_TRL_TLR'!$B$4:$B$1000,$A207,'07_TRL_TLR'!$F$4:$F$1000),""))</f>
        <v/>
      </c>
      <c r="T207" s="63" t="str">
        <f t="shared" si="13"/>
        <v/>
      </c>
      <c r="U207" s="66" t="str">
        <f t="shared" si="14"/>
        <v/>
      </c>
      <c r="V207" s="66" t="str">
        <f t="shared" si="15"/>
        <v/>
      </c>
    </row>
    <row r="208" spans="1:22">
      <c r="A208" s="67" t="str">
        <f>IF('03_Tecnologie'!A208="","",'03_Tecnologie'!A208)</f>
        <v/>
      </c>
      <c r="B208" s="67" t="str">
        <f>IF($A208="","",'03_Tecnologie'!D208)</f>
        <v/>
      </c>
      <c r="C208" s="67" t="str">
        <f>IF($A208="","",'03_Tecnologie'!B208)</f>
        <v/>
      </c>
      <c r="D208" s="67" t="str">
        <f>IF($A208="","",'03_Tecnologie'!F208)</f>
        <v/>
      </c>
      <c r="E208" s="63" t="str">
        <f>IF($A208="","",COUNTIF('04_Componenti'!$B$4:$B$1000,$A208))</f>
        <v/>
      </c>
      <c r="F208" s="63" t="str">
        <f>IF($A208="","",COUNTIF('05_Descrizione'!$B$4:$B$1000,$A208))</f>
        <v/>
      </c>
      <c r="G208" s="63" t="str">
        <f>IF($A208="","",COUNTIF('06_Avanzamento'!$B$4:$B$1000,$A208))</f>
        <v/>
      </c>
      <c r="H208" s="63" t="str">
        <f>IF($A208="","",COUNTIF('07_TRL_TLR'!$B$4:$B$1000,$A208))</f>
        <v/>
      </c>
      <c r="I208" s="63" t="str">
        <f>IF($A208="","",COUNTIF('08_Costi_Compet'!$B$4:$B$1000,$A208))</f>
        <v/>
      </c>
      <c r="J208" s="63" t="str">
        <f>IF($A208="","",COUNTIF('09_Settori_Impatto'!$B$4:$B$1000,$A208))</f>
        <v/>
      </c>
      <c r="K208" s="63" t="str">
        <f>IF($A208="","",COUNTIF('16_Mercati_Riferimento'!$B$4:$B$1000,$A208))</f>
        <v/>
      </c>
      <c r="L208" s="22" t="str">
        <f>IF($A208="","",COUNTIF('10_Sostenibilita'!$B$4:$B$1000,$A208))</f>
        <v/>
      </c>
      <c r="M208" s="63" t="str">
        <f>IF($A208="","",COUNTIF('11_Best_Practice'!$B$4:$B$1000,$A208))</f>
        <v/>
      </c>
      <c r="N208" s="63" t="str">
        <f>IF($A208="","",COUNTIF('12_Policy_Regolazione'!$B$4:$B$1000,$A208))</f>
        <v/>
      </c>
      <c r="O208" s="63" t="str">
        <f>IF($A208="","",COUNTIF('13_Barriere_Opp'!$B$4:$B$1000,$A208))</f>
        <v/>
      </c>
      <c r="P208" s="63" t="str">
        <f>IF($A208="","",COUNTIF('14_Attori_Imprese'!$B$4:$B$1000,$A208))</f>
        <v/>
      </c>
      <c r="Q208" s="63" t="str">
        <f>IF($A208="","",COUNTIF('15_Prestazioni'!$B$4:$B$1000,$A208))</f>
        <v/>
      </c>
      <c r="R208" s="64" t="str">
        <f t="shared" si="12"/>
        <v/>
      </c>
      <c r="S208" s="65" t="str">
        <f>IF($A208="","",IFERROR(AVERAGEIF('07_TRL_TLR'!$B$4:$B$1000,$A208,'07_TRL_TLR'!$F$4:$F$1000),""))</f>
        <v/>
      </c>
      <c r="T208" s="63" t="str">
        <f t="shared" si="13"/>
        <v/>
      </c>
      <c r="U208" s="66" t="str">
        <f t="shared" si="14"/>
        <v/>
      </c>
      <c r="V208" s="66" t="str">
        <f t="shared" si="15"/>
        <v/>
      </c>
    </row>
    <row r="209" spans="1:22">
      <c r="A209" s="67" t="str">
        <f>IF('03_Tecnologie'!A209="","",'03_Tecnologie'!A209)</f>
        <v/>
      </c>
      <c r="B209" s="67" t="str">
        <f>IF($A209="","",'03_Tecnologie'!D209)</f>
        <v/>
      </c>
      <c r="C209" s="67" t="str">
        <f>IF($A209="","",'03_Tecnologie'!B209)</f>
        <v/>
      </c>
      <c r="D209" s="67" t="str">
        <f>IF($A209="","",'03_Tecnologie'!F209)</f>
        <v/>
      </c>
      <c r="E209" s="63" t="str">
        <f>IF($A209="","",COUNTIF('04_Componenti'!$B$4:$B$1000,$A209))</f>
        <v/>
      </c>
      <c r="F209" s="63" t="str">
        <f>IF($A209="","",COUNTIF('05_Descrizione'!$B$4:$B$1000,$A209))</f>
        <v/>
      </c>
      <c r="G209" s="63" t="str">
        <f>IF($A209="","",COUNTIF('06_Avanzamento'!$B$4:$B$1000,$A209))</f>
        <v/>
      </c>
      <c r="H209" s="63" t="str">
        <f>IF($A209="","",COUNTIF('07_TRL_TLR'!$B$4:$B$1000,$A209))</f>
        <v/>
      </c>
      <c r="I209" s="63" t="str">
        <f>IF($A209="","",COUNTIF('08_Costi_Compet'!$B$4:$B$1000,$A209))</f>
        <v/>
      </c>
      <c r="J209" s="63" t="str">
        <f>IF($A209="","",COUNTIF('09_Settori_Impatto'!$B$4:$B$1000,$A209))</f>
        <v/>
      </c>
      <c r="K209" s="63" t="str">
        <f>IF($A209="","",COUNTIF('16_Mercati_Riferimento'!$B$4:$B$1000,$A209))</f>
        <v/>
      </c>
      <c r="L209" s="22" t="str">
        <f>IF($A209="","",COUNTIF('10_Sostenibilita'!$B$4:$B$1000,$A209))</f>
        <v/>
      </c>
      <c r="M209" s="63" t="str">
        <f>IF($A209="","",COUNTIF('11_Best_Practice'!$B$4:$B$1000,$A209))</f>
        <v/>
      </c>
      <c r="N209" s="63" t="str">
        <f>IF($A209="","",COUNTIF('12_Policy_Regolazione'!$B$4:$B$1000,$A209))</f>
        <v/>
      </c>
      <c r="O209" s="63" t="str">
        <f>IF($A209="","",COUNTIF('13_Barriere_Opp'!$B$4:$B$1000,$A209))</f>
        <v/>
      </c>
      <c r="P209" s="63" t="str">
        <f>IF($A209="","",COUNTIF('14_Attori_Imprese'!$B$4:$B$1000,$A209))</f>
        <v/>
      </c>
      <c r="Q209" s="63" t="str">
        <f>IF($A209="","",COUNTIF('15_Prestazioni'!$B$4:$B$1000,$A209))</f>
        <v/>
      </c>
      <c r="R209" s="64" t="str">
        <f t="shared" si="12"/>
        <v/>
      </c>
      <c r="S209" s="65" t="str">
        <f>IF($A209="","",IFERROR(AVERAGEIF('07_TRL_TLR'!$B$4:$B$1000,$A209,'07_TRL_TLR'!$F$4:$F$1000),""))</f>
        <v/>
      </c>
      <c r="T209" s="63" t="str">
        <f t="shared" si="13"/>
        <v/>
      </c>
      <c r="U209" s="66" t="str">
        <f t="shared" si="14"/>
        <v/>
      </c>
      <c r="V209" s="66" t="str">
        <f t="shared" si="15"/>
        <v/>
      </c>
    </row>
    <row r="210" spans="1:22">
      <c r="A210" s="67" t="str">
        <f>IF('03_Tecnologie'!A210="","",'03_Tecnologie'!A210)</f>
        <v/>
      </c>
      <c r="B210" s="67" t="str">
        <f>IF($A210="","",'03_Tecnologie'!D210)</f>
        <v/>
      </c>
      <c r="C210" s="67" t="str">
        <f>IF($A210="","",'03_Tecnologie'!B210)</f>
        <v/>
      </c>
      <c r="D210" s="67" t="str">
        <f>IF($A210="","",'03_Tecnologie'!F210)</f>
        <v/>
      </c>
      <c r="E210" s="63" t="str">
        <f>IF($A210="","",COUNTIF('04_Componenti'!$B$4:$B$1000,$A210))</f>
        <v/>
      </c>
      <c r="F210" s="63" t="str">
        <f>IF($A210="","",COUNTIF('05_Descrizione'!$B$4:$B$1000,$A210))</f>
        <v/>
      </c>
      <c r="G210" s="63" t="str">
        <f>IF($A210="","",COUNTIF('06_Avanzamento'!$B$4:$B$1000,$A210))</f>
        <v/>
      </c>
      <c r="H210" s="63" t="str">
        <f>IF($A210="","",COUNTIF('07_TRL_TLR'!$B$4:$B$1000,$A210))</f>
        <v/>
      </c>
      <c r="I210" s="63" t="str">
        <f>IF($A210="","",COUNTIF('08_Costi_Compet'!$B$4:$B$1000,$A210))</f>
        <v/>
      </c>
      <c r="J210" s="63" t="str">
        <f>IF($A210="","",COUNTIF('09_Settori_Impatto'!$B$4:$B$1000,$A210))</f>
        <v/>
      </c>
      <c r="K210" s="63" t="str">
        <f>IF($A210="","",COUNTIF('16_Mercati_Riferimento'!$B$4:$B$1000,$A210))</f>
        <v/>
      </c>
      <c r="L210" s="22" t="str">
        <f>IF($A210="","",COUNTIF('10_Sostenibilita'!$B$4:$B$1000,$A210))</f>
        <v/>
      </c>
      <c r="M210" s="63" t="str">
        <f>IF($A210="","",COUNTIF('11_Best_Practice'!$B$4:$B$1000,$A210))</f>
        <v/>
      </c>
      <c r="N210" s="63" t="str">
        <f>IF($A210="","",COUNTIF('12_Policy_Regolazione'!$B$4:$B$1000,$A210))</f>
        <v/>
      </c>
      <c r="O210" s="63" t="str">
        <f>IF($A210="","",COUNTIF('13_Barriere_Opp'!$B$4:$B$1000,$A210))</f>
        <v/>
      </c>
      <c r="P210" s="63" t="str">
        <f>IF($A210="","",COUNTIF('14_Attori_Imprese'!$B$4:$B$1000,$A210))</f>
        <v/>
      </c>
      <c r="Q210" s="63" t="str">
        <f>IF($A210="","",COUNTIF('15_Prestazioni'!$B$4:$B$1000,$A210))</f>
        <v/>
      </c>
      <c r="R210" s="64" t="str">
        <f t="shared" si="12"/>
        <v/>
      </c>
      <c r="S210" s="65" t="str">
        <f>IF($A210="","",IFERROR(AVERAGEIF('07_TRL_TLR'!$B$4:$B$1000,$A210,'07_TRL_TLR'!$F$4:$F$1000),""))</f>
        <v/>
      </c>
      <c r="T210" s="63" t="str">
        <f t="shared" si="13"/>
        <v/>
      </c>
      <c r="U210" s="66" t="str">
        <f t="shared" si="14"/>
        <v/>
      </c>
      <c r="V210" s="66" t="str">
        <f t="shared" si="15"/>
        <v/>
      </c>
    </row>
    <row r="211" spans="1:22">
      <c r="A211" s="67" t="str">
        <f>IF('03_Tecnologie'!A211="","",'03_Tecnologie'!A211)</f>
        <v/>
      </c>
      <c r="B211" s="67" t="str">
        <f>IF($A211="","",'03_Tecnologie'!D211)</f>
        <v/>
      </c>
      <c r="C211" s="67" t="str">
        <f>IF($A211="","",'03_Tecnologie'!B211)</f>
        <v/>
      </c>
      <c r="D211" s="67" t="str">
        <f>IF($A211="","",'03_Tecnologie'!F211)</f>
        <v/>
      </c>
      <c r="E211" s="63" t="str">
        <f>IF($A211="","",COUNTIF('04_Componenti'!$B$4:$B$1000,$A211))</f>
        <v/>
      </c>
      <c r="F211" s="63" t="str">
        <f>IF($A211="","",COUNTIF('05_Descrizione'!$B$4:$B$1000,$A211))</f>
        <v/>
      </c>
      <c r="G211" s="63" t="str">
        <f>IF($A211="","",COUNTIF('06_Avanzamento'!$B$4:$B$1000,$A211))</f>
        <v/>
      </c>
      <c r="H211" s="63" t="str">
        <f>IF($A211="","",COUNTIF('07_TRL_TLR'!$B$4:$B$1000,$A211))</f>
        <v/>
      </c>
      <c r="I211" s="63" t="str">
        <f>IF($A211="","",COUNTIF('08_Costi_Compet'!$B$4:$B$1000,$A211))</f>
        <v/>
      </c>
      <c r="J211" s="63" t="str">
        <f>IF($A211="","",COUNTIF('09_Settori_Impatto'!$B$4:$B$1000,$A211))</f>
        <v/>
      </c>
      <c r="K211" s="63" t="str">
        <f>IF($A211="","",COUNTIF('16_Mercati_Riferimento'!$B$4:$B$1000,$A211))</f>
        <v/>
      </c>
      <c r="L211" s="22" t="str">
        <f>IF($A211="","",COUNTIF('10_Sostenibilita'!$B$4:$B$1000,$A211))</f>
        <v/>
      </c>
      <c r="M211" s="63" t="str">
        <f>IF($A211="","",COUNTIF('11_Best_Practice'!$B$4:$B$1000,$A211))</f>
        <v/>
      </c>
      <c r="N211" s="63" t="str">
        <f>IF($A211="","",COUNTIF('12_Policy_Regolazione'!$B$4:$B$1000,$A211))</f>
        <v/>
      </c>
      <c r="O211" s="63" t="str">
        <f>IF($A211="","",COUNTIF('13_Barriere_Opp'!$B$4:$B$1000,$A211))</f>
        <v/>
      </c>
      <c r="P211" s="63" t="str">
        <f>IF($A211="","",COUNTIF('14_Attori_Imprese'!$B$4:$B$1000,$A211))</f>
        <v/>
      </c>
      <c r="Q211" s="63" t="str">
        <f>IF($A211="","",COUNTIF('15_Prestazioni'!$B$4:$B$1000,$A211))</f>
        <v/>
      </c>
      <c r="R211" s="64" t="str">
        <f t="shared" si="12"/>
        <v/>
      </c>
      <c r="S211" s="65" t="str">
        <f>IF($A211="","",IFERROR(AVERAGEIF('07_TRL_TLR'!$B$4:$B$1000,$A211,'07_TRL_TLR'!$F$4:$F$1000),""))</f>
        <v/>
      </c>
      <c r="T211" s="63" t="str">
        <f t="shared" si="13"/>
        <v/>
      </c>
      <c r="U211" s="66" t="str">
        <f t="shared" si="14"/>
        <v/>
      </c>
      <c r="V211" s="66" t="str">
        <f t="shared" si="15"/>
        <v/>
      </c>
    </row>
    <row r="212" spans="1:22">
      <c r="A212" s="67" t="str">
        <f>IF('03_Tecnologie'!A212="","",'03_Tecnologie'!A212)</f>
        <v/>
      </c>
      <c r="B212" s="67" t="str">
        <f>IF($A212="","",'03_Tecnologie'!D212)</f>
        <v/>
      </c>
      <c r="C212" s="67" t="str">
        <f>IF($A212="","",'03_Tecnologie'!B212)</f>
        <v/>
      </c>
      <c r="D212" s="67" t="str">
        <f>IF($A212="","",'03_Tecnologie'!F212)</f>
        <v/>
      </c>
      <c r="E212" s="63" t="str">
        <f>IF($A212="","",COUNTIF('04_Componenti'!$B$4:$B$1000,$A212))</f>
        <v/>
      </c>
      <c r="F212" s="63" t="str">
        <f>IF($A212="","",COUNTIF('05_Descrizione'!$B$4:$B$1000,$A212))</f>
        <v/>
      </c>
      <c r="G212" s="63" t="str">
        <f>IF($A212="","",COUNTIF('06_Avanzamento'!$B$4:$B$1000,$A212))</f>
        <v/>
      </c>
      <c r="H212" s="63" t="str">
        <f>IF($A212="","",COUNTIF('07_TRL_TLR'!$B$4:$B$1000,$A212))</f>
        <v/>
      </c>
      <c r="I212" s="63" t="str">
        <f>IF($A212="","",COUNTIF('08_Costi_Compet'!$B$4:$B$1000,$A212))</f>
        <v/>
      </c>
      <c r="J212" s="63" t="str">
        <f>IF($A212="","",COUNTIF('09_Settori_Impatto'!$B$4:$B$1000,$A212))</f>
        <v/>
      </c>
      <c r="K212" s="63" t="str">
        <f>IF($A212="","",COUNTIF('16_Mercati_Riferimento'!$B$4:$B$1000,$A212))</f>
        <v/>
      </c>
      <c r="L212" s="22" t="str">
        <f>IF($A212="","",COUNTIF('10_Sostenibilita'!$B$4:$B$1000,$A212))</f>
        <v/>
      </c>
      <c r="M212" s="63" t="str">
        <f>IF($A212="","",COUNTIF('11_Best_Practice'!$B$4:$B$1000,$A212))</f>
        <v/>
      </c>
      <c r="N212" s="63" t="str">
        <f>IF($A212="","",COUNTIF('12_Policy_Regolazione'!$B$4:$B$1000,$A212))</f>
        <v/>
      </c>
      <c r="O212" s="63" t="str">
        <f>IF($A212="","",COUNTIF('13_Barriere_Opp'!$B$4:$B$1000,$A212))</f>
        <v/>
      </c>
      <c r="P212" s="63" t="str">
        <f>IF($A212="","",COUNTIF('14_Attori_Imprese'!$B$4:$B$1000,$A212))</f>
        <v/>
      </c>
      <c r="Q212" s="63" t="str">
        <f>IF($A212="","",COUNTIF('15_Prestazioni'!$B$4:$B$1000,$A212))</f>
        <v/>
      </c>
      <c r="R212" s="64" t="str">
        <f t="shared" si="12"/>
        <v/>
      </c>
      <c r="S212" s="65" t="str">
        <f>IF($A212="","",IFERROR(AVERAGEIF('07_TRL_TLR'!$B$4:$B$1000,$A212,'07_TRL_TLR'!$F$4:$F$1000),""))</f>
        <v/>
      </c>
      <c r="T212" s="63" t="str">
        <f t="shared" si="13"/>
        <v/>
      </c>
      <c r="U212" s="66" t="str">
        <f t="shared" si="14"/>
        <v/>
      </c>
      <c r="V212" s="66" t="str">
        <f t="shared" si="15"/>
        <v/>
      </c>
    </row>
    <row r="213" spans="1:22">
      <c r="A213" s="67" t="str">
        <f>IF('03_Tecnologie'!A213="","",'03_Tecnologie'!A213)</f>
        <v/>
      </c>
      <c r="B213" s="67" t="str">
        <f>IF($A213="","",'03_Tecnologie'!D213)</f>
        <v/>
      </c>
      <c r="C213" s="67" t="str">
        <f>IF($A213="","",'03_Tecnologie'!B213)</f>
        <v/>
      </c>
      <c r="D213" s="67" t="str">
        <f>IF($A213="","",'03_Tecnologie'!F213)</f>
        <v/>
      </c>
      <c r="E213" s="63" t="str">
        <f>IF($A213="","",COUNTIF('04_Componenti'!$B$4:$B$1000,$A213))</f>
        <v/>
      </c>
      <c r="F213" s="63" t="str">
        <f>IF($A213="","",COUNTIF('05_Descrizione'!$B$4:$B$1000,$A213))</f>
        <v/>
      </c>
      <c r="G213" s="63" t="str">
        <f>IF($A213="","",COUNTIF('06_Avanzamento'!$B$4:$B$1000,$A213))</f>
        <v/>
      </c>
      <c r="H213" s="63" t="str">
        <f>IF($A213="","",COUNTIF('07_TRL_TLR'!$B$4:$B$1000,$A213))</f>
        <v/>
      </c>
      <c r="I213" s="63" t="str">
        <f>IF($A213="","",COUNTIF('08_Costi_Compet'!$B$4:$B$1000,$A213))</f>
        <v/>
      </c>
      <c r="J213" s="63" t="str">
        <f>IF($A213="","",COUNTIF('09_Settori_Impatto'!$B$4:$B$1000,$A213))</f>
        <v/>
      </c>
      <c r="K213" s="63" t="str">
        <f>IF($A213="","",COUNTIF('16_Mercati_Riferimento'!$B$4:$B$1000,$A213))</f>
        <v/>
      </c>
      <c r="L213" s="22" t="str">
        <f>IF($A213="","",COUNTIF('10_Sostenibilita'!$B$4:$B$1000,$A213))</f>
        <v/>
      </c>
      <c r="M213" s="63" t="str">
        <f>IF($A213="","",COUNTIF('11_Best_Practice'!$B$4:$B$1000,$A213))</f>
        <v/>
      </c>
      <c r="N213" s="63" t="str">
        <f>IF($A213="","",COUNTIF('12_Policy_Regolazione'!$B$4:$B$1000,$A213))</f>
        <v/>
      </c>
      <c r="O213" s="63" t="str">
        <f>IF($A213="","",COUNTIF('13_Barriere_Opp'!$B$4:$B$1000,$A213))</f>
        <v/>
      </c>
      <c r="P213" s="63" t="str">
        <f>IF($A213="","",COUNTIF('14_Attori_Imprese'!$B$4:$B$1000,$A213))</f>
        <v/>
      </c>
      <c r="Q213" s="63" t="str">
        <f>IF($A213="","",COUNTIF('15_Prestazioni'!$B$4:$B$1000,$A213))</f>
        <v/>
      </c>
      <c r="R213" s="64" t="str">
        <f t="shared" si="12"/>
        <v/>
      </c>
      <c r="S213" s="65" t="str">
        <f>IF($A213="","",IFERROR(AVERAGEIF('07_TRL_TLR'!$B$4:$B$1000,$A213,'07_TRL_TLR'!$F$4:$F$1000),""))</f>
        <v/>
      </c>
      <c r="T213" s="63" t="str">
        <f t="shared" si="13"/>
        <v/>
      </c>
      <c r="U213" s="66" t="str">
        <f t="shared" si="14"/>
        <v/>
      </c>
      <c r="V213" s="66" t="str">
        <f t="shared" si="15"/>
        <v/>
      </c>
    </row>
    <row r="214" spans="1:22">
      <c r="A214" s="67" t="str">
        <f>IF('03_Tecnologie'!A214="","",'03_Tecnologie'!A214)</f>
        <v/>
      </c>
      <c r="B214" s="67" t="str">
        <f>IF($A214="","",'03_Tecnologie'!D214)</f>
        <v/>
      </c>
      <c r="C214" s="67" t="str">
        <f>IF($A214="","",'03_Tecnologie'!B214)</f>
        <v/>
      </c>
      <c r="D214" s="67" t="str">
        <f>IF($A214="","",'03_Tecnologie'!F214)</f>
        <v/>
      </c>
      <c r="E214" s="63" t="str">
        <f>IF($A214="","",COUNTIF('04_Componenti'!$B$4:$B$1000,$A214))</f>
        <v/>
      </c>
      <c r="F214" s="63" t="str">
        <f>IF($A214="","",COUNTIF('05_Descrizione'!$B$4:$B$1000,$A214))</f>
        <v/>
      </c>
      <c r="G214" s="63" t="str">
        <f>IF($A214="","",COUNTIF('06_Avanzamento'!$B$4:$B$1000,$A214))</f>
        <v/>
      </c>
      <c r="H214" s="63" t="str">
        <f>IF($A214="","",COUNTIF('07_TRL_TLR'!$B$4:$B$1000,$A214))</f>
        <v/>
      </c>
      <c r="I214" s="63" t="str">
        <f>IF($A214="","",COUNTIF('08_Costi_Compet'!$B$4:$B$1000,$A214))</f>
        <v/>
      </c>
      <c r="J214" s="63" t="str">
        <f>IF($A214="","",COUNTIF('09_Settori_Impatto'!$B$4:$B$1000,$A214))</f>
        <v/>
      </c>
      <c r="K214" s="63" t="str">
        <f>IF($A214="","",COUNTIF('16_Mercati_Riferimento'!$B$4:$B$1000,$A214))</f>
        <v/>
      </c>
      <c r="L214" s="22" t="str">
        <f>IF($A214="","",COUNTIF('10_Sostenibilita'!$B$4:$B$1000,$A214))</f>
        <v/>
      </c>
      <c r="M214" s="63" t="str">
        <f>IF($A214="","",COUNTIF('11_Best_Practice'!$B$4:$B$1000,$A214))</f>
        <v/>
      </c>
      <c r="N214" s="63" t="str">
        <f>IF($A214="","",COUNTIF('12_Policy_Regolazione'!$B$4:$B$1000,$A214))</f>
        <v/>
      </c>
      <c r="O214" s="63" t="str">
        <f>IF($A214="","",COUNTIF('13_Barriere_Opp'!$B$4:$B$1000,$A214))</f>
        <v/>
      </c>
      <c r="P214" s="63" t="str">
        <f>IF($A214="","",COUNTIF('14_Attori_Imprese'!$B$4:$B$1000,$A214))</f>
        <v/>
      </c>
      <c r="Q214" s="63" t="str">
        <f>IF($A214="","",COUNTIF('15_Prestazioni'!$B$4:$B$1000,$A214))</f>
        <v/>
      </c>
      <c r="R214" s="64" t="str">
        <f t="shared" si="12"/>
        <v/>
      </c>
      <c r="S214" s="65" t="str">
        <f>IF($A214="","",IFERROR(AVERAGEIF('07_TRL_TLR'!$B$4:$B$1000,$A214,'07_TRL_TLR'!$F$4:$F$1000),""))</f>
        <v/>
      </c>
      <c r="T214" s="63" t="str">
        <f t="shared" si="13"/>
        <v/>
      </c>
      <c r="U214" s="66" t="str">
        <f t="shared" si="14"/>
        <v/>
      </c>
      <c r="V214" s="66" t="str">
        <f t="shared" si="15"/>
        <v/>
      </c>
    </row>
    <row r="215" spans="1:22">
      <c r="A215" s="67" t="str">
        <f>IF('03_Tecnologie'!A215="","",'03_Tecnologie'!A215)</f>
        <v/>
      </c>
      <c r="B215" s="67" t="str">
        <f>IF($A215="","",'03_Tecnologie'!D215)</f>
        <v/>
      </c>
      <c r="C215" s="67" t="str">
        <f>IF($A215="","",'03_Tecnologie'!B215)</f>
        <v/>
      </c>
      <c r="D215" s="67" t="str">
        <f>IF($A215="","",'03_Tecnologie'!F215)</f>
        <v/>
      </c>
      <c r="E215" s="63" t="str">
        <f>IF($A215="","",COUNTIF('04_Componenti'!$B$4:$B$1000,$A215))</f>
        <v/>
      </c>
      <c r="F215" s="63" t="str">
        <f>IF($A215="","",COUNTIF('05_Descrizione'!$B$4:$B$1000,$A215))</f>
        <v/>
      </c>
      <c r="G215" s="63" t="str">
        <f>IF($A215="","",COUNTIF('06_Avanzamento'!$B$4:$B$1000,$A215))</f>
        <v/>
      </c>
      <c r="H215" s="63" t="str">
        <f>IF($A215="","",COUNTIF('07_TRL_TLR'!$B$4:$B$1000,$A215))</f>
        <v/>
      </c>
      <c r="I215" s="63" t="str">
        <f>IF($A215="","",COUNTIF('08_Costi_Compet'!$B$4:$B$1000,$A215))</f>
        <v/>
      </c>
      <c r="J215" s="63" t="str">
        <f>IF($A215="","",COUNTIF('09_Settori_Impatto'!$B$4:$B$1000,$A215))</f>
        <v/>
      </c>
      <c r="K215" s="63" t="str">
        <f>IF($A215="","",COUNTIF('16_Mercati_Riferimento'!$B$4:$B$1000,$A215))</f>
        <v/>
      </c>
      <c r="L215" s="22" t="str">
        <f>IF($A215="","",COUNTIF('10_Sostenibilita'!$B$4:$B$1000,$A215))</f>
        <v/>
      </c>
      <c r="M215" s="63" t="str">
        <f>IF($A215="","",COUNTIF('11_Best_Practice'!$B$4:$B$1000,$A215))</f>
        <v/>
      </c>
      <c r="N215" s="63" t="str">
        <f>IF($A215="","",COUNTIF('12_Policy_Regolazione'!$B$4:$B$1000,$A215))</f>
        <v/>
      </c>
      <c r="O215" s="63" t="str">
        <f>IF($A215="","",COUNTIF('13_Barriere_Opp'!$B$4:$B$1000,$A215))</f>
        <v/>
      </c>
      <c r="P215" s="63" t="str">
        <f>IF($A215="","",COUNTIF('14_Attori_Imprese'!$B$4:$B$1000,$A215))</f>
        <v/>
      </c>
      <c r="Q215" s="63" t="str">
        <f>IF($A215="","",COUNTIF('15_Prestazioni'!$B$4:$B$1000,$A215))</f>
        <v/>
      </c>
      <c r="R215" s="64" t="str">
        <f t="shared" si="12"/>
        <v/>
      </c>
      <c r="S215" s="65" t="str">
        <f>IF($A215="","",IFERROR(AVERAGEIF('07_TRL_TLR'!$B$4:$B$1000,$A215,'07_TRL_TLR'!$F$4:$F$1000),""))</f>
        <v/>
      </c>
      <c r="T215" s="63" t="str">
        <f t="shared" si="13"/>
        <v/>
      </c>
      <c r="U215" s="66" t="str">
        <f t="shared" si="14"/>
        <v/>
      </c>
      <c r="V215" s="66" t="str">
        <f t="shared" si="15"/>
        <v/>
      </c>
    </row>
    <row r="216" spans="1:22">
      <c r="A216" s="67" t="str">
        <f>IF('03_Tecnologie'!A216="","",'03_Tecnologie'!A216)</f>
        <v/>
      </c>
      <c r="B216" s="67" t="str">
        <f>IF($A216="","",'03_Tecnologie'!D216)</f>
        <v/>
      </c>
      <c r="C216" s="67" t="str">
        <f>IF($A216="","",'03_Tecnologie'!B216)</f>
        <v/>
      </c>
      <c r="D216" s="67" t="str">
        <f>IF($A216="","",'03_Tecnologie'!F216)</f>
        <v/>
      </c>
      <c r="E216" s="63" t="str">
        <f>IF($A216="","",COUNTIF('04_Componenti'!$B$4:$B$1000,$A216))</f>
        <v/>
      </c>
      <c r="F216" s="63" t="str">
        <f>IF($A216="","",COUNTIF('05_Descrizione'!$B$4:$B$1000,$A216))</f>
        <v/>
      </c>
      <c r="G216" s="63" t="str">
        <f>IF($A216="","",COUNTIF('06_Avanzamento'!$B$4:$B$1000,$A216))</f>
        <v/>
      </c>
      <c r="H216" s="63" t="str">
        <f>IF($A216="","",COUNTIF('07_TRL_TLR'!$B$4:$B$1000,$A216))</f>
        <v/>
      </c>
      <c r="I216" s="63" t="str">
        <f>IF($A216="","",COUNTIF('08_Costi_Compet'!$B$4:$B$1000,$A216))</f>
        <v/>
      </c>
      <c r="J216" s="63" t="str">
        <f>IF($A216="","",COUNTIF('09_Settori_Impatto'!$B$4:$B$1000,$A216))</f>
        <v/>
      </c>
      <c r="K216" s="63" t="str">
        <f>IF($A216="","",COUNTIF('16_Mercati_Riferimento'!$B$4:$B$1000,$A216))</f>
        <v/>
      </c>
      <c r="L216" s="22" t="str">
        <f>IF($A216="","",COUNTIF('10_Sostenibilita'!$B$4:$B$1000,$A216))</f>
        <v/>
      </c>
      <c r="M216" s="63" t="str">
        <f>IF($A216="","",COUNTIF('11_Best_Practice'!$B$4:$B$1000,$A216))</f>
        <v/>
      </c>
      <c r="N216" s="63" t="str">
        <f>IF($A216="","",COUNTIF('12_Policy_Regolazione'!$B$4:$B$1000,$A216))</f>
        <v/>
      </c>
      <c r="O216" s="63" t="str">
        <f>IF($A216="","",COUNTIF('13_Barriere_Opp'!$B$4:$B$1000,$A216))</f>
        <v/>
      </c>
      <c r="P216" s="63" t="str">
        <f>IF($A216="","",COUNTIF('14_Attori_Imprese'!$B$4:$B$1000,$A216))</f>
        <v/>
      </c>
      <c r="Q216" s="63" t="str">
        <f>IF($A216="","",COUNTIF('15_Prestazioni'!$B$4:$B$1000,$A216))</f>
        <v/>
      </c>
      <c r="R216" s="64" t="str">
        <f t="shared" si="12"/>
        <v/>
      </c>
      <c r="S216" s="65" t="str">
        <f>IF($A216="","",IFERROR(AVERAGEIF('07_TRL_TLR'!$B$4:$B$1000,$A216,'07_TRL_TLR'!$F$4:$F$1000),""))</f>
        <v/>
      </c>
      <c r="T216" s="63" t="str">
        <f t="shared" si="13"/>
        <v/>
      </c>
      <c r="U216" s="66" t="str">
        <f t="shared" si="14"/>
        <v/>
      </c>
      <c r="V216" s="66" t="str">
        <f t="shared" si="15"/>
        <v/>
      </c>
    </row>
    <row r="217" spans="1:22">
      <c r="A217" s="67" t="str">
        <f>IF('03_Tecnologie'!A217="","",'03_Tecnologie'!A217)</f>
        <v/>
      </c>
      <c r="B217" s="67" t="str">
        <f>IF($A217="","",'03_Tecnologie'!D217)</f>
        <v/>
      </c>
      <c r="C217" s="67" t="str">
        <f>IF($A217="","",'03_Tecnologie'!B217)</f>
        <v/>
      </c>
      <c r="D217" s="67" t="str">
        <f>IF($A217="","",'03_Tecnologie'!F217)</f>
        <v/>
      </c>
      <c r="E217" s="63" t="str">
        <f>IF($A217="","",COUNTIF('04_Componenti'!$B$4:$B$1000,$A217))</f>
        <v/>
      </c>
      <c r="F217" s="63" t="str">
        <f>IF($A217="","",COUNTIF('05_Descrizione'!$B$4:$B$1000,$A217))</f>
        <v/>
      </c>
      <c r="G217" s="63" t="str">
        <f>IF($A217="","",COUNTIF('06_Avanzamento'!$B$4:$B$1000,$A217))</f>
        <v/>
      </c>
      <c r="H217" s="63" t="str">
        <f>IF($A217="","",COUNTIF('07_TRL_TLR'!$B$4:$B$1000,$A217))</f>
        <v/>
      </c>
      <c r="I217" s="63" t="str">
        <f>IF($A217="","",COUNTIF('08_Costi_Compet'!$B$4:$B$1000,$A217))</f>
        <v/>
      </c>
      <c r="J217" s="63" t="str">
        <f>IF($A217="","",COUNTIF('09_Settori_Impatto'!$B$4:$B$1000,$A217))</f>
        <v/>
      </c>
      <c r="K217" s="63" t="str">
        <f>IF($A217="","",COUNTIF('16_Mercati_Riferimento'!$B$4:$B$1000,$A217))</f>
        <v/>
      </c>
      <c r="L217" s="22" t="str">
        <f>IF($A217="","",COUNTIF('10_Sostenibilita'!$B$4:$B$1000,$A217))</f>
        <v/>
      </c>
      <c r="M217" s="63" t="str">
        <f>IF($A217="","",COUNTIF('11_Best_Practice'!$B$4:$B$1000,$A217))</f>
        <v/>
      </c>
      <c r="N217" s="63" t="str">
        <f>IF($A217="","",COUNTIF('12_Policy_Regolazione'!$B$4:$B$1000,$A217))</f>
        <v/>
      </c>
      <c r="O217" s="63" t="str">
        <f>IF($A217="","",COUNTIF('13_Barriere_Opp'!$B$4:$B$1000,$A217))</f>
        <v/>
      </c>
      <c r="P217" s="63" t="str">
        <f>IF($A217="","",COUNTIF('14_Attori_Imprese'!$B$4:$B$1000,$A217))</f>
        <v/>
      </c>
      <c r="Q217" s="63" t="str">
        <f>IF($A217="","",COUNTIF('15_Prestazioni'!$B$4:$B$1000,$A217))</f>
        <v/>
      </c>
      <c r="R217" s="64" t="str">
        <f t="shared" si="12"/>
        <v/>
      </c>
      <c r="S217" s="65" t="str">
        <f>IF($A217="","",IFERROR(AVERAGEIF('07_TRL_TLR'!$B$4:$B$1000,$A217,'07_TRL_TLR'!$F$4:$F$1000),""))</f>
        <v/>
      </c>
      <c r="T217" s="63" t="str">
        <f t="shared" si="13"/>
        <v/>
      </c>
      <c r="U217" s="66" t="str">
        <f t="shared" si="14"/>
        <v/>
      </c>
      <c r="V217" s="66" t="str">
        <f t="shared" si="15"/>
        <v/>
      </c>
    </row>
    <row r="218" spans="1:22">
      <c r="A218" s="67" t="str">
        <f>IF('03_Tecnologie'!A218="","",'03_Tecnologie'!A218)</f>
        <v/>
      </c>
      <c r="B218" s="67" t="str">
        <f>IF($A218="","",'03_Tecnologie'!D218)</f>
        <v/>
      </c>
      <c r="C218" s="67" t="str">
        <f>IF($A218="","",'03_Tecnologie'!B218)</f>
        <v/>
      </c>
      <c r="D218" s="67" t="str">
        <f>IF($A218="","",'03_Tecnologie'!F218)</f>
        <v/>
      </c>
      <c r="E218" s="63" t="str">
        <f>IF($A218="","",COUNTIF('04_Componenti'!$B$4:$B$1000,$A218))</f>
        <v/>
      </c>
      <c r="F218" s="63" t="str">
        <f>IF($A218="","",COUNTIF('05_Descrizione'!$B$4:$B$1000,$A218))</f>
        <v/>
      </c>
      <c r="G218" s="63" t="str">
        <f>IF($A218="","",COUNTIF('06_Avanzamento'!$B$4:$B$1000,$A218))</f>
        <v/>
      </c>
      <c r="H218" s="63" t="str">
        <f>IF($A218="","",COUNTIF('07_TRL_TLR'!$B$4:$B$1000,$A218))</f>
        <v/>
      </c>
      <c r="I218" s="63" t="str">
        <f>IF($A218="","",COUNTIF('08_Costi_Compet'!$B$4:$B$1000,$A218))</f>
        <v/>
      </c>
      <c r="J218" s="63" t="str">
        <f>IF($A218="","",COUNTIF('09_Settori_Impatto'!$B$4:$B$1000,$A218))</f>
        <v/>
      </c>
      <c r="K218" s="63" t="str">
        <f>IF($A218="","",COUNTIF('16_Mercati_Riferimento'!$B$4:$B$1000,$A218))</f>
        <v/>
      </c>
      <c r="L218" s="22" t="str">
        <f>IF($A218="","",COUNTIF('10_Sostenibilita'!$B$4:$B$1000,$A218))</f>
        <v/>
      </c>
      <c r="M218" s="63" t="str">
        <f>IF($A218="","",COUNTIF('11_Best_Practice'!$B$4:$B$1000,$A218))</f>
        <v/>
      </c>
      <c r="N218" s="63" t="str">
        <f>IF($A218="","",COUNTIF('12_Policy_Regolazione'!$B$4:$B$1000,$A218))</f>
        <v/>
      </c>
      <c r="O218" s="63" t="str">
        <f>IF($A218="","",COUNTIF('13_Barriere_Opp'!$B$4:$B$1000,$A218))</f>
        <v/>
      </c>
      <c r="P218" s="63" t="str">
        <f>IF($A218="","",COUNTIF('14_Attori_Imprese'!$B$4:$B$1000,$A218))</f>
        <v/>
      </c>
      <c r="Q218" s="63" t="str">
        <f>IF($A218="","",COUNTIF('15_Prestazioni'!$B$4:$B$1000,$A218))</f>
        <v/>
      </c>
      <c r="R218" s="64" t="str">
        <f t="shared" si="12"/>
        <v/>
      </c>
      <c r="S218" s="65" t="str">
        <f>IF($A218="","",IFERROR(AVERAGEIF('07_TRL_TLR'!$B$4:$B$1000,$A218,'07_TRL_TLR'!$F$4:$F$1000),""))</f>
        <v/>
      </c>
      <c r="T218" s="63" t="str">
        <f t="shared" si="13"/>
        <v/>
      </c>
      <c r="U218" s="66" t="str">
        <f t="shared" si="14"/>
        <v/>
      </c>
      <c r="V218" s="66" t="str">
        <f t="shared" si="15"/>
        <v/>
      </c>
    </row>
    <row r="219" spans="1:22">
      <c r="A219" s="67" t="str">
        <f>IF('03_Tecnologie'!A219="","",'03_Tecnologie'!A219)</f>
        <v/>
      </c>
      <c r="B219" s="67" t="str">
        <f>IF($A219="","",'03_Tecnologie'!D219)</f>
        <v/>
      </c>
      <c r="C219" s="67" t="str">
        <f>IF($A219="","",'03_Tecnologie'!B219)</f>
        <v/>
      </c>
      <c r="D219" s="67" t="str">
        <f>IF($A219="","",'03_Tecnologie'!F219)</f>
        <v/>
      </c>
      <c r="E219" s="63" t="str">
        <f>IF($A219="","",COUNTIF('04_Componenti'!$B$4:$B$1000,$A219))</f>
        <v/>
      </c>
      <c r="F219" s="63" t="str">
        <f>IF($A219="","",COUNTIF('05_Descrizione'!$B$4:$B$1000,$A219))</f>
        <v/>
      </c>
      <c r="G219" s="63" t="str">
        <f>IF($A219="","",COUNTIF('06_Avanzamento'!$B$4:$B$1000,$A219))</f>
        <v/>
      </c>
      <c r="H219" s="63" t="str">
        <f>IF($A219="","",COUNTIF('07_TRL_TLR'!$B$4:$B$1000,$A219))</f>
        <v/>
      </c>
      <c r="I219" s="63" t="str">
        <f>IF($A219="","",COUNTIF('08_Costi_Compet'!$B$4:$B$1000,$A219))</f>
        <v/>
      </c>
      <c r="J219" s="63" t="str">
        <f>IF($A219="","",COUNTIF('09_Settori_Impatto'!$B$4:$B$1000,$A219))</f>
        <v/>
      </c>
      <c r="K219" s="63" t="str">
        <f>IF($A219="","",COUNTIF('16_Mercati_Riferimento'!$B$4:$B$1000,$A219))</f>
        <v/>
      </c>
      <c r="L219" s="22" t="str">
        <f>IF($A219="","",COUNTIF('10_Sostenibilita'!$B$4:$B$1000,$A219))</f>
        <v/>
      </c>
      <c r="M219" s="63" t="str">
        <f>IF($A219="","",COUNTIF('11_Best_Practice'!$B$4:$B$1000,$A219))</f>
        <v/>
      </c>
      <c r="N219" s="63" t="str">
        <f>IF($A219="","",COUNTIF('12_Policy_Regolazione'!$B$4:$B$1000,$A219))</f>
        <v/>
      </c>
      <c r="O219" s="63" t="str">
        <f>IF($A219="","",COUNTIF('13_Barriere_Opp'!$B$4:$B$1000,$A219))</f>
        <v/>
      </c>
      <c r="P219" s="63" t="str">
        <f>IF($A219="","",COUNTIF('14_Attori_Imprese'!$B$4:$B$1000,$A219))</f>
        <v/>
      </c>
      <c r="Q219" s="63" t="str">
        <f>IF($A219="","",COUNTIF('15_Prestazioni'!$B$4:$B$1000,$A219))</f>
        <v/>
      </c>
      <c r="R219" s="64" t="str">
        <f t="shared" si="12"/>
        <v/>
      </c>
      <c r="S219" s="65" t="str">
        <f>IF($A219="","",IFERROR(AVERAGEIF('07_TRL_TLR'!$B$4:$B$1000,$A219,'07_TRL_TLR'!$F$4:$F$1000),""))</f>
        <v/>
      </c>
      <c r="T219" s="63" t="str">
        <f t="shared" si="13"/>
        <v/>
      </c>
      <c r="U219" s="66" t="str">
        <f t="shared" si="14"/>
        <v/>
      </c>
      <c r="V219" s="66" t="str">
        <f t="shared" si="15"/>
        <v/>
      </c>
    </row>
    <row r="220" spans="1:22">
      <c r="A220" s="67" t="str">
        <f>IF('03_Tecnologie'!A220="","",'03_Tecnologie'!A220)</f>
        <v/>
      </c>
      <c r="B220" s="67" t="str">
        <f>IF($A220="","",'03_Tecnologie'!D220)</f>
        <v/>
      </c>
      <c r="C220" s="67" t="str">
        <f>IF($A220="","",'03_Tecnologie'!B220)</f>
        <v/>
      </c>
      <c r="D220" s="67" t="str">
        <f>IF($A220="","",'03_Tecnologie'!F220)</f>
        <v/>
      </c>
      <c r="E220" s="63" t="str">
        <f>IF($A220="","",COUNTIF('04_Componenti'!$B$4:$B$1000,$A220))</f>
        <v/>
      </c>
      <c r="F220" s="63" t="str">
        <f>IF($A220="","",COUNTIF('05_Descrizione'!$B$4:$B$1000,$A220))</f>
        <v/>
      </c>
      <c r="G220" s="63" t="str">
        <f>IF($A220="","",COUNTIF('06_Avanzamento'!$B$4:$B$1000,$A220))</f>
        <v/>
      </c>
      <c r="H220" s="63" t="str">
        <f>IF($A220="","",COUNTIF('07_TRL_TLR'!$B$4:$B$1000,$A220))</f>
        <v/>
      </c>
      <c r="I220" s="63" t="str">
        <f>IF($A220="","",COUNTIF('08_Costi_Compet'!$B$4:$B$1000,$A220))</f>
        <v/>
      </c>
      <c r="J220" s="63" t="str">
        <f>IF($A220="","",COUNTIF('09_Settori_Impatto'!$B$4:$B$1000,$A220))</f>
        <v/>
      </c>
      <c r="K220" s="63" t="str">
        <f>IF($A220="","",COUNTIF('16_Mercati_Riferimento'!$B$4:$B$1000,$A220))</f>
        <v/>
      </c>
      <c r="L220" s="22" t="str">
        <f>IF($A220="","",COUNTIF('10_Sostenibilita'!$B$4:$B$1000,$A220))</f>
        <v/>
      </c>
      <c r="M220" s="63" t="str">
        <f>IF($A220="","",COUNTIF('11_Best_Practice'!$B$4:$B$1000,$A220))</f>
        <v/>
      </c>
      <c r="N220" s="63" t="str">
        <f>IF($A220="","",COUNTIF('12_Policy_Regolazione'!$B$4:$B$1000,$A220))</f>
        <v/>
      </c>
      <c r="O220" s="63" t="str">
        <f>IF($A220="","",COUNTIF('13_Barriere_Opp'!$B$4:$B$1000,$A220))</f>
        <v/>
      </c>
      <c r="P220" s="63" t="str">
        <f>IF($A220="","",COUNTIF('14_Attori_Imprese'!$B$4:$B$1000,$A220))</f>
        <v/>
      </c>
      <c r="Q220" s="63" t="str">
        <f>IF($A220="","",COUNTIF('15_Prestazioni'!$B$4:$B$1000,$A220))</f>
        <v/>
      </c>
      <c r="R220" s="64" t="str">
        <f t="shared" si="12"/>
        <v/>
      </c>
      <c r="S220" s="65" t="str">
        <f>IF($A220="","",IFERROR(AVERAGEIF('07_TRL_TLR'!$B$4:$B$1000,$A220,'07_TRL_TLR'!$F$4:$F$1000),""))</f>
        <v/>
      </c>
      <c r="T220" s="63" t="str">
        <f t="shared" si="13"/>
        <v/>
      </c>
      <c r="U220" s="66" t="str">
        <f t="shared" si="14"/>
        <v/>
      </c>
      <c r="V220" s="66" t="str">
        <f t="shared" si="15"/>
        <v/>
      </c>
    </row>
    <row r="221" spans="1:22">
      <c r="A221" s="67" t="str">
        <f>IF('03_Tecnologie'!A221="","",'03_Tecnologie'!A221)</f>
        <v/>
      </c>
      <c r="B221" s="67" t="str">
        <f>IF($A221="","",'03_Tecnologie'!D221)</f>
        <v/>
      </c>
      <c r="C221" s="67" t="str">
        <f>IF($A221="","",'03_Tecnologie'!B221)</f>
        <v/>
      </c>
      <c r="D221" s="67" t="str">
        <f>IF($A221="","",'03_Tecnologie'!F221)</f>
        <v/>
      </c>
      <c r="E221" s="63" t="str">
        <f>IF($A221="","",COUNTIF('04_Componenti'!$B$4:$B$1000,$A221))</f>
        <v/>
      </c>
      <c r="F221" s="63" t="str">
        <f>IF($A221="","",COUNTIF('05_Descrizione'!$B$4:$B$1000,$A221))</f>
        <v/>
      </c>
      <c r="G221" s="63" t="str">
        <f>IF($A221="","",COUNTIF('06_Avanzamento'!$B$4:$B$1000,$A221))</f>
        <v/>
      </c>
      <c r="H221" s="63" t="str">
        <f>IF($A221="","",COUNTIF('07_TRL_TLR'!$B$4:$B$1000,$A221))</f>
        <v/>
      </c>
      <c r="I221" s="63" t="str">
        <f>IF($A221="","",COUNTIF('08_Costi_Compet'!$B$4:$B$1000,$A221))</f>
        <v/>
      </c>
      <c r="J221" s="63" t="str">
        <f>IF($A221="","",COUNTIF('09_Settori_Impatto'!$B$4:$B$1000,$A221))</f>
        <v/>
      </c>
      <c r="K221" s="63" t="str">
        <f>IF($A221="","",COUNTIF('16_Mercati_Riferimento'!$B$4:$B$1000,$A221))</f>
        <v/>
      </c>
      <c r="L221" s="22" t="str">
        <f>IF($A221="","",COUNTIF('10_Sostenibilita'!$B$4:$B$1000,$A221))</f>
        <v/>
      </c>
      <c r="M221" s="63" t="str">
        <f>IF($A221="","",COUNTIF('11_Best_Practice'!$B$4:$B$1000,$A221))</f>
        <v/>
      </c>
      <c r="N221" s="63" t="str">
        <f>IF($A221="","",COUNTIF('12_Policy_Regolazione'!$B$4:$B$1000,$A221))</f>
        <v/>
      </c>
      <c r="O221" s="63" t="str">
        <f>IF($A221="","",COUNTIF('13_Barriere_Opp'!$B$4:$B$1000,$A221))</f>
        <v/>
      </c>
      <c r="P221" s="63" t="str">
        <f>IF($A221="","",COUNTIF('14_Attori_Imprese'!$B$4:$B$1000,$A221))</f>
        <v/>
      </c>
      <c r="Q221" s="63" t="str">
        <f>IF($A221="","",COUNTIF('15_Prestazioni'!$B$4:$B$1000,$A221))</f>
        <v/>
      </c>
      <c r="R221" s="64" t="str">
        <f t="shared" si="12"/>
        <v/>
      </c>
      <c r="S221" s="65" t="str">
        <f>IF($A221="","",IFERROR(AVERAGEIF('07_TRL_TLR'!$B$4:$B$1000,$A221,'07_TRL_TLR'!$F$4:$F$1000),""))</f>
        <v/>
      </c>
      <c r="T221" s="63" t="str">
        <f t="shared" si="13"/>
        <v/>
      </c>
      <c r="U221" s="66" t="str">
        <f t="shared" si="14"/>
        <v/>
      </c>
      <c r="V221" s="66" t="str">
        <f t="shared" si="15"/>
        <v/>
      </c>
    </row>
    <row r="222" spans="1:22">
      <c r="A222" s="67" t="str">
        <f>IF('03_Tecnologie'!A222="","",'03_Tecnologie'!A222)</f>
        <v/>
      </c>
      <c r="B222" s="67" t="str">
        <f>IF($A222="","",'03_Tecnologie'!D222)</f>
        <v/>
      </c>
      <c r="C222" s="67" t="str">
        <f>IF($A222="","",'03_Tecnologie'!B222)</f>
        <v/>
      </c>
      <c r="D222" s="67" t="str">
        <f>IF($A222="","",'03_Tecnologie'!F222)</f>
        <v/>
      </c>
      <c r="E222" s="63" t="str">
        <f>IF($A222="","",COUNTIF('04_Componenti'!$B$4:$B$1000,$A222))</f>
        <v/>
      </c>
      <c r="F222" s="63" t="str">
        <f>IF($A222="","",COUNTIF('05_Descrizione'!$B$4:$B$1000,$A222))</f>
        <v/>
      </c>
      <c r="G222" s="63" t="str">
        <f>IF($A222="","",COUNTIF('06_Avanzamento'!$B$4:$B$1000,$A222))</f>
        <v/>
      </c>
      <c r="H222" s="63" t="str">
        <f>IF($A222="","",COUNTIF('07_TRL_TLR'!$B$4:$B$1000,$A222))</f>
        <v/>
      </c>
      <c r="I222" s="63" t="str">
        <f>IF($A222="","",COUNTIF('08_Costi_Compet'!$B$4:$B$1000,$A222))</f>
        <v/>
      </c>
      <c r="J222" s="63" t="str">
        <f>IF($A222="","",COUNTIF('09_Settori_Impatto'!$B$4:$B$1000,$A222))</f>
        <v/>
      </c>
      <c r="K222" s="63" t="str">
        <f>IF($A222="","",COUNTIF('16_Mercati_Riferimento'!$B$4:$B$1000,$A222))</f>
        <v/>
      </c>
      <c r="L222" s="22" t="str">
        <f>IF($A222="","",COUNTIF('10_Sostenibilita'!$B$4:$B$1000,$A222))</f>
        <v/>
      </c>
      <c r="M222" s="63" t="str">
        <f>IF($A222="","",COUNTIF('11_Best_Practice'!$B$4:$B$1000,$A222))</f>
        <v/>
      </c>
      <c r="N222" s="63" t="str">
        <f>IF($A222="","",COUNTIF('12_Policy_Regolazione'!$B$4:$B$1000,$A222))</f>
        <v/>
      </c>
      <c r="O222" s="63" t="str">
        <f>IF($A222="","",COUNTIF('13_Barriere_Opp'!$B$4:$B$1000,$A222))</f>
        <v/>
      </c>
      <c r="P222" s="63" t="str">
        <f>IF($A222="","",COUNTIF('14_Attori_Imprese'!$B$4:$B$1000,$A222))</f>
        <v/>
      </c>
      <c r="Q222" s="63" t="str">
        <f>IF($A222="","",COUNTIF('15_Prestazioni'!$B$4:$B$1000,$A222))</f>
        <v/>
      </c>
      <c r="R222" s="64" t="str">
        <f t="shared" si="12"/>
        <v/>
      </c>
      <c r="S222" s="65" t="str">
        <f>IF($A222="","",IFERROR(AVERAGEIF('07_TRL_TLR'!$B$4:$B$1000,$A222,'07_TRL_TLR'!$F$4:$F$1000),""))</f>
        <v/>
      </c>
      <c r="T222" s="63" t="str">
        <f t="shared" si="13"/>
        <v/>
      </c>
      <c r="U222" s="66" t="str">
        <f t="shared" si="14"/>
        <v/>
      </c>
      <c r="V222" s="66" t="str">
        <f t="shared" si="15"/>
        <v/>
      </c>
    </row>
    <row r="223" spans="1:22">
      <c r="A223" s="67" t="str">
        <f>IF('03_Tecnologie'!A223="","",'03_Tecnologie'!A223)</f>
        <v/>
      </c>
      <c r="B223" s="67" t="str">
        <f>IF($A223="","",'03_Tecnologie'!D223)</f>
        <v/>
      </c>
      <c r="C223" s="67" t="str">
        <f>IF($A223="","",'03_Tecnologie'!B223)</f>
        <v/>
      </c>
      <c r="D223" s="67" t="str">
        <f>IF($A223="","",'03_Tecnologie'!F223)</f>
        <v/>
      </c>
      <c r="E223" s="63" t="str">
        <f>IF($A223="","",COUNTIF('04_Componenti'!$B$4:$B$1000,$A223))</f>
        <v/>
      </c>
      <c r="F223" s="63" t="str">
        <f>IF($A223="","",COUNTIF('05_Descrizione'!$B$4:$B$1000,$A223))</f>
        <v/>
      </c>
      <c r="G223" s="63" t="str">
        <f>IF($A223="","",COUNTIF('06_Avanzamento'!$B$4:$B$1000,$A223))</f>
        <v/>
      </c>
      <c r="H223" s="63" t="str">
        <f>IF($A223="","",COUNTIF('07_TRL_TLR'!$B$4:$B$1000,$A223))</f>
        <v/>
      </c>
      <c r="I223" s="63" t="str">
        <f>IF($A223="","",COUNTIF('08_Costi_Compet'!$B$4:$B$1000,$A223))</f>
        <v/>
      </c>
      <c r="J223" s="63" t="str">
        <f>IF($A223="","",COUNTIF('09_Settori_Impatto'!$B$4:$B$1000,$A223))</f>
        <v/>
      </c>
      <c r="K223" s="63" t="str">
        <f>IF($A223="","",COUNTIF('16_Mercati_Riferimento'!$B$4:$B$1000,$A223))</f>
        <v/>
      </c>
      <c r="L223" s="22" t="str">
        <f>IF($A223="","",COUNTIF('10_Sostenibilita'!$B$4:$B$1000,$A223))</f>
        <v/>
      </c>
      <c r="M223" s="63" t="str">
        <f>IF($A223="","",COUNTIF('11_Best_Practice'!$B$4:$B$1000,$A223))</f>
        <v/>
      </c>
      <c r="N223" s="63" t="str">
        <f>IF($A223="","",COUNTIF('12_Policy_Regolazione'!$B$4:$B$1000,$A223))</f>
        <v/>
      </c>
      <c r="O223" s="63" t="str">
        <f>IF($A223="","",COUNTIF('13_Barriere_Opp'!$B$4:$B$1000,$A223))</f>
        <v/>
      </c>
      <c r="P223" s="63" t="str">
        <f>IF($A223="","",COUNTIF('14_Attori_Imprese'!$B$4:$B$1000,$A223))</f>
        <v/>
      </c>
      <c r="Q223" s="63" t="str">
        <f>IF($A223="","",COUNTIF('15_Prestazioni'!$B$4:$B$1000,$A223))</f>
        <v/>
      </c>
      <c r="R223" s="64" t="str">
        <f t="shared" si="12"/>
        <v/>
      </c>
      <c r="S223" s="65" t="str">
        <f>IF($A223="","",IFERROR(AVERAGEIF('07_TRL_TLR'!$B$4:$B$1000,$A223,'07_TRL_TLR'!$F$4:$F$1000),""))</f>
        <v/>
      </c>
      <c r="T223" s="63" t="str">
        <f t="shared" si="13"/>
        <v/>
      </c>
      <c r="U223" s="66" t="str">
        <f t="shared" si="14"/>
        <v/>
      </c>
      <c r="V223" s="66" t="str">
        <f t="shared" si="15"/>
        <v/>
      </c>
    </row>
    <row r="224" spans="1:22">
      <c r="A224" s="67" t="str">
        <f>IF('03_Tecnologie'!A224="","",'03_Tecnologie'!A224)</f>
        <v/>
      </c>
      <c r="B224" s="67" t="str">
        <f>IF($A224="","",'03_Tecnologie'!D224)</f>
        <v/>
      </c>
      <c r="C224" s="67" t="str">
        <f>IF($A224="","",'03_Tecnologie'!B224)</f>
        <v/>
      </c>
      <c r="D224" s="67" t="str">
        <f>IF($A224="","",'03_Tecnologie'!F224)</f>
        <v/>
      </c>
      <c r="E224" s="63" t="str">
        <f>IF($A224="","",COUNTIF('04_Componenti'!$B$4:$B$1000,$A224))</f>
        <v/>
      </c>
      <c r="F224" s="63" t="str">
        <f>IF($A224="","",COUNTIF('05_Descrizione'!$B$4:$B$1000,$A224))</f>
        <v/>
      </c>
      <c r="G224" s="63" t="str">
        <f>IF($A224="","",COUNTIF('06_Avanzamento'!$B$4:$B$1000,$A224))</f>
        <v/>
      </c>
      <c r="H224" s="63" t="str">
        <f>IF($A224="","",COUNTIF('07_TRL_TLR'!$B$4:$B$1000,$A224))</f>
        <v/>
      </c>
      <c r="I224" s="63" t="str">
        <f>IF($A224="","",COUNTIF('08_Costi_Compet'!$B$4:$B$1000,$A224))</f>
        <v/>
      </c>
      <c r="J224" s="63" t="str">
        <f>IF($A224="","",COUNTIF('09_Settori_Impatto'!$B$4:$B$1000,$A224))</f>
        <v/>
      </c>
      <c r="K224" s="63" t="str">
        <f>IF($A224="","",COUNTIF('16_Mercati_Riferimento'!$B$4:$B$1000,$A224))</f>
        <v/>
      </c>
      <c r="L224" s="22" t="str">
        <f>IF($A224="","",COUNTIF('10_Sostenibilita'!$B$4:$B$1000,$A224))</f>
        <v/>
      </c>
      <c r="M224" s="63" t="str">
        <f>IF($A224="","",COUNTIF('11_Best_Practice'!$B$4:$B$1000,$A224))</f>
        <v/>
      </c>
      <c r="N224" s="63" t="str">
        <f>IF($A224="","",COUNTIF('12_Policy_Regolazione'!$B$4:$B$1000,$A224))</f>
        <v/>
      </c>
      <c r="O224" s="63" t="str">
        <f>IF($A224="","",COUNTIF('13_Barriere_Opp'!$B$4:$B$1000,$A224))</f>
        <v/>
      </c>
      <c r="P224" s="63" t="str">
        <f>IF($A224="","",COUNTIF('14_Attori_Imprese'!$B$4:$B$1000,$A224))</f>
        <v/>
      </c>
      <c r="Q224" s="63" t="str">
        <f>IF($A224="","",COUNTIF('15_Prestazioni'!$B$4:$B$1000,$A224))</f>
        <v/>
      </c>
      <c r="R224" s="64" t="str">
        <f t="shared" si="12"/>
        <v/>
      </c>
      <c r="S224" s="65" t="str">
        <f>IF($A224="","",IFERROR(AVERAGEIF('07_TRL_TLR'!$B$4:$B$1000,$A224,'07_TRL_TLR'!$F$4:$F$1000),""))</f>
        <v/>
      </c>
      <c r="T224" s="63" t="str">
        <f t="shared" si="13"/>
        <v/>
      </c>
      <c r="U224" s="66" t="str">
        <f t="shared" si="14"/>
        <v/>
      </c>
      <c r="V224" s="66" t="str">
        <f t="shared" si="15"/>
        <v/>
      </c>
    </row>
    <row r="225" spans="1:22">
      <c r="A225" s="67" t="str">
        <f>IF('03_Tecnologie'!A225="","",'03_Tecnologie'!A225)</f>
        <v/>
      </c>
      <c r="B225" s="67" t="str">
        <f>IF($A225="","",'03_Tecnologie'!D225)</f>
        <v/>
      </c>
      <c r="C225" s="67" t="str">
        <f>IF($A225="","",'03_Tecnologie'!B225)</f>
        <v/>
      </c>
      <c r="D225" s="67" t="str">
        <f>IF($A225="","",'03_Tecnologie'!F225)</f>
        <v/>
      </c>
      <c r="E225" s="63" t="str">
        <f>IF($A225="","",COUNTIF('04_Componenti'!$B$4:$B$1000,$A225))</f>
        <v/>
      </c>
      <c r="F225" s="63" t="str">
        <f>IF($A225="","",COUNTIF('05_Descrizione'!$B$4:$B$1000,$A225))</f>
        <v/>
      </c>
      <c r="G225" s="63" t="str">
        <f>IF($A225="","",COUNTIF('06_Avanzamento'!$B$4:$B$1000,$A225))</f>
        <v/>
      </c>
      <c r="H225" s="63" t="str">
        <f>IF($A225="","",COUNTIF('07_TRL_TLR'!$B$4:$B$1000,$A225))</f>
        <v/>
      </c>
      <c r="I225" s="63" t="str">
        <f>IF($A225="","",COUNTIF('08_Costi_Compet'!$B$4:$B$1000,$A225))</f>
        <v/>
      </c>
      <c r="J225" s="63" t="str">
        <f>IF($A225="","",COUNTIF('09_Settori_Impatto'!$B$4:$B$1000,$A225))</f>
        <v/>
      </c>
      <c r="K225" s="63" t="str">
        <f>IF($A225="","",COUNTIF('16_Mercati_Riferimento'!$B$4:$B$1000,$A225))</f>
        <v/>
      </c>
      <c r="L225" s="22" t="str">
        <f>IF($A225="","",COUNTIF('10_Sostenibilita'!$B$4:$B$1000,$A225))</f>
        <v/>
      </c>
      <c r="M225" s="63" t="str">
        <f>IF($A225="","",COUNTIF('11_Best_Practice'!$B$4:$B$1000,$A225))</f>
        <v/>
      </c>
      <c r="N225" s="63" t="str">
        <f>IF($A225="","",COUNTIF('12_Policy_Regolazione'!$B$4:$B$1000,$A225))</f>
        <v/>
      </c>
      <c r="O225" s="63" t="str">
        <f>IF($A225="","",COUNTIF('13_Barriere_Opp'!$B$4:$B$1000,$A225))</f>
        <v/>
      </c>
      <c r="P225" s="63" t="str">
        <f>IF($A225="","",COUNTIF('14_Attori_Imprese'!$B$4:$B$1000,$A225))</f>
        <v/>
      </c>
      <c r="Q225" s="63" t="str">
        <f>IF($A225="","",COUNTIF('15_Prestazioni'!$B$4:$B$1000,$A225))</f>
        <v/>
      </c>
      <c r="R225" s="64" t="str">
        <f t="shared" si="12"/>
        <v/>
      </c>
      <c r="S225" s="65" t="str">
        <f>IF($A225="","",IFERROR(AVERAGEIF('07_TRL_TLR'!$B$4:$B$1000,$A225,'07_TRL_TLR'!$F$4:$F$1000),""))</f>
        <v/>
      </c>
      <c r="T225" s="63" t="str">
        <f t="shared" si="13"/>
        <v/>
      </c>
      <c r="U225" s="66" t="str">
        <f t="shared" si="14"/>
        <v/>
      </c>
      <c r="V225" s="66" t="str">
        <f t="shared" si="15"/>
        <v/>
      </c>
    </row>
    <row r="226" spans="1:22">
      <c r="A226" s="67" t="str">
        <f>IF('03_Tecnologie'!A226="","",'03_Tecnologie'!A226)</f>
        <v/>
      </c>
      <c r="B226" s="67" t="str">
        <f>IF($A226="","",'03_Tecnologie'!D226)</f>
        <v/>
      </c>
      <c r="C226" s="67" t="str">
        <f>IF($A226="","",'03_Tecnologie'!B226)</f>
        <v/>
      </c>
      <c r="D226" s="67" t="str">
        <f>IF($A226="","",'03_Tecnologie'!F226)</f>
        <v/>
      </c>
      <c r="E226" s="63" t="str">
        <f>IF($A226="","",COUNTIF('04_Componenti'!$B$4:$B$1000,$A226))</f>
        <v/>
      </c>
      <c r="F226" s="63" t="str">
        <f>IF($A226="","",COUNTIF('05_Descrizione'!$B$4:$B$1000,$A226))</f>
        <v/>
      </c>
      <c r="G226" s="63" t="str">
        <f>IF($A226="","",COUNTIF('06_Avanzamento'!$B$4:$B$1000,$A226))</f>
        <v/>
      </c>
      <c r="H226" s="63" t="str">
        <f>IF($A226="","",COUNTIF('07_TRL_TLR'!$B$4:$B$1000,$A226))</f>
        <v/>
      </c>
      <c r="I226" s="63" t="str">
        <f>IF($A226="","",COUNTIF('08_Costi_Compet'!$B$4:$B$1000,$A226))</f>
        <v/>
      </c>
      <c r="J226" s="63" t="str">
        <f>IF($A226="","",COUNTIF('09_Settori_Impatto'!$B$4:$B$1000,$A226))</f>
        <v/>
      </c>
      <c r="K226" s="63" t="str">
        <f>IF($A226="","",COUNTIF('16_Mercati_Riferimento'!$B$4:$B$1000,$A226))</f>
        <v/>
      </c>
      <c r="L226" s="22" t="str">
        <f>IF($A226="","",COUNTIF('10_Sostenibilita'!$B$4:$B$1000,$A226))</f>
        <v/>
      </c>
      <c r="M226" s="63" t="str">
        <f>IF($A226="","",COUNTIF('11_Best_Practice'!$B$4:$B$1000,$A226))</f>
        <v/>
      </c>
      <c r="N226" s="63" t="str">
        <f>IF($A226="","",COUNTIF('12_Policy_Regolazione'!$B$4:$B$1000,$A226))</f>
        <v/>
      </c>
      <c r="O226" s="63" t="str">
        <f>IF($A226="","",COUNTIF('13_Barriere_Opp'!$B$4:$B$1000,$A226))</f>
        <v/>
      </c>
      <c r="P226" s="63" t="str">
        <f>IF($A226="","",COUNTIF('14_Attori_Imprese'!$B$4:$B$1000,$A226))</f>
        <v/>
      </c>
      <c r="Q226" s="63" t="str">
        <f>IF($A226="","",COUNTIF('15_Prestazioni'!$B$4:$B$1000,$A226))</f>
        <v/>
      </c>
      <c r="R226" s="64" t="str">
        <f t="shared" si="12"/>
        <v/>
      </c>
      <c r="S226" s="65" t="str">
        <f>IF($A226="","",IFERROR(AVERAGEIF('07_TRL_TLR'!$B$4:$B$1000,$A226,'07_TRL_TLR'!$F$4:$F$1000),""))</f>
        <v/>
      </c>
      <c r="T226" s="63" t="str">
        <f t="shared" si="13"/>
        <v/>
      </c>
      <c r="U226" s="66" t="str">
        <f t="shared" si="14"/>
        <v/>
      </c>
      <c r="V226" s="66" t="str">
        <f t="shared" si="15"/>
        <v/>
      </c>
    </row>
    <row r="227" spans="1:22">
      <c r="A227" s="67" t="str">
        <f>IF('03_Tecnologie'!A227="","",'03_Tecnologie'!A227)</f>
        <v/>
      </c>
      <c r="B227" s="67" t="str">
        <f>IF($A227="","",'03_Tecnologie'!D227)</f>
        <v/>
      </c>
      <c r="C227" s="67" t="str">
        <f>IF($A227="","",'03_Tecnologie'!B227)</f>
        <v/>
      </c>
      <c r="D227" s="67" t="str">
        <f>IF($A227="","",'03_Tecnologie'!F227)</f>
        <v/>
      </c>
      <c r="E227" s="63" t="str">
        <f>IF($A227="","",COUNTIF('04_Componenti'!$B$4:$B$1000,$A227))</f>
        <v/>
      </c>
      <c r="F227" s="63" t="str">
        <f>IF($A227="","",COUNTIF('05_Descrizione'!$B$4:$B$1000,$A227))</f>
        <v/>
      </c>
      <c r="G227" s="63" t="str">
        <f>IF($A227="","",COUNTIF('06_Avanzamento'!$B$4:$B$1000,$A227))</f>
        <v/>
      </c>
      <c r="H227" s="63" t="str">
        <f>IF($A227="","",COUNTIF('07_TRL_TLR'!$B$4:$B$1000,$A227))</f>
        <v/>
      </c>
      <c r="I227" s="63" t="str">
        <f>IF($A227="","",COUNTIF('08_Costi_Compet'!$B$4:$B$1000,$A227))</f>
        <v/>
      </c>
      <c r="J227" s="63" t="str">
        <f>IF($A227="","",COUNTIF('09_Settori_Impatto'!$B$4:$B$1000,$A227))</f>
        <v/>
      </c>
      <c r="K227" s="63" t="str">
        <f>IF($A227="","",COUNTIF('16_Mercati_Riferimento'!$B$4:$B$1000,$A227))</f>
        <v/>
      </c>
      <c r="L227" s="22" t="str">
        <f>IF($A227="","",COUNTIF('10_Sostenibilita'!$B$4:$B$1000,$A227))</f>
        <v/>
      </c>
      <c r="M227" s="63" t="str">
        <f>IF($A227="","",COUNTIF('11_Best_Practice'!$B$4:$B$1000,$A227))</f>
        <v/>
      </c>
      <c r="N227" s="63" t="str">
        <f>IF($A227="","",COUNTIF('12_Policy_Regolazione'!$B$4:$B$1000,$A227))</f>
        <v/>
      </c>
      <c r="O227" s="63" t="str">
        <f>IF($A227="","",COUNTIF('13_Barriere_Opp'!$B$4:$B$1000,$A227))</f>
        <v/>
      </c>
      <c r="P227" s="63" t="str">
        <f>IF($A227="","",COUNTIF('14_Attori_Imprese'!$B$4:$B$1000,$A227))</f>
        <v/>
      </c>
      <c r="Q227" s="63" t="str">
        <f>IF($A227="","",COUNTIF('15_Prestazioni'!$B$4:$B$1000,$A227))</f>
        <v/>
      </c>
      <c r="R227" s="64" t="str">
        <f t="shared" si="12"/>
        <v/>
      </c>
      <c r="S227" s="65" t="str">
        <f>IF($A227="","",IFERROR(AVERAGEIF('07_TRL_TLR'!$B$4:$B$1000,$A227,'07_TRL_TLR'!$F$4:$F$1000),""))</f>
        <v/>
      </c>
      <c r="T227" s="63" t="str">
        <f t="shared" si="13"/>
        <v/>
      </c>
      <c r="U227" s="66" t="str">
        <f t="shared" si="14"/>
        <v/>
      </c>
      <c r="V227" s="66" t="str">
        <f t="shared" si="15"/>
        <v/>
      </c>
    </row>
    <row r="228" spans="1:22">
      <c r="A228" s="67" t="str">
        <f>IF('03_Tecnologie'!A228="","",'03_Tecnologie'!A228)</f>
        <v/>
      </c>
      <c r="B228" s="67" t="str">
        <f>IF($A228="","",'03_Tecnologie'!D228)</f>
        <v/>
      </c>
      <c r="C228" s="67" t="str">
        <f>IF($A228="","",'03_Tecnologie'!B228)</f>
        <v/>
      </c>
      <c r="D228" s="67" t="str">
        <f>IF($A228="","",'03_Tecnologie'!F228)</f>
        <v/>
      </c>
      <c r="E228" s="63" t="str">
        <f>IF($A228="","",COUNTIF('04_Componenti'!$B$4:$B$1000,$A228))</f>
        <v/>
      </c>
      <c r="F228" s="63" t="str">
        <f>IF($A228="","",COUNTIF('05_Descrizione'!$B$4:$B$1000,$A228))</f>
        <v/>
      </c>
      <c r="G228" s="63" t="str">
        <f>IF($A228="","",COUNTIF('06_Avanzamento'!$B$4:$B$1000,$A228))</f>
        <v/>
      </c>
      <c r="H228" s="63" t="str">
        <f>IF($A228="","",COUNTIF('07_TRL_TLR'!$B$4:$B$1000,$A228))</f>
        <v/>
      </c>
      <c r="I228" s="63" t="str">
        <f>IF($A228="","",COUNTIF('08_Costi_Compet'!$B$4:$B$1000,$A228))</f>
        <v/>
      </c>
      <c r="J228" s="63" t="str">
        <f>IF($A228="","",COUNTIF('09_Settori_Impatto'!$B$4:$B$1000,$A228))</f>
        <v/>
      </c>
      <c r="K228" s="63" t="str">
        <f>IF($A228="","",COUNTIF('16_Mercati_Riferimento'!$B$4:$B$1000,$A228))</f>
        <v/>
      </c>
      <c r="L228" s="22" t="str">
        <f>IF($A228="","",COUNTIF('10_Sostenibilita'!$B$4:$B$1000,$A228))</f>
        <v/>
      </c>
      <c r="M228" s="63" t="str">
        <f>IF($A228="","",COUNTIF('11_Best_Practice'!$B$4:$B$1000,$A228))</f>
        <v/>
      </c>
      <c r="N228" s="63" t="str">
        <f>IF($A228="","",COUNTIF('12_Policy_Regolazione'!$B$4:$B$1000,$A228))</f>
        <v/>
      </c>
      <c r="O228" s="63" t="str">
        <f>IF($A228="","",COUNTIF('13_Barriere_Opp'!$B$4:$B$1000,$A228))</f>
        <v/>
      </c>
      <c r="P228" s="63" t="str">
        <f>IF($A228="","",COUNTIF('14_Attori_Imprese'!$B$4:$B$1000,$A228))</f>
        <v/>
      </c>
      <c r="Q228" s="63" t="str">
        <f>IF($A228="","",COUNTIF('15_Prestazioni'!$B$4:$B$1000,$A228))</f>
        <v/>
      </c>
      <c r="R228" s="64" t="str">
        <f t="shared" si="12"/>
        <v/>
      </c>
      <c r="S228" s="65" t="str">
        <f>IF($A228="","",IFERROR(AVERAGEIF('07_TRL_TLR'!$B$4:$B$1000,$A228,'07_TRL_TLR'!$F$4:$F$1000),""))</f>
        <v/>
      </c>
      <c r="T228" s="63" t="str">
        <f t="shared" si="13"/>
        <v/>
      </c>
      <c r="U228" s="66" t="str">
        <f t="shared" si="14"/>
        <v/>
      </c>
      <c r="V228" s="66" t="str">
        <f t="shared" si="15"/>
        <v/>
      </c>
    </row>
    <row r="229" spans="1:22">
      <c r="A229" s="67" t="str">
        <f>IF('03_Tecnologie'!A229="","",'03_Tecnologie'!A229)</f>
        <v/>
      </c>
      <c r="B229" s="67" t="str">
        <f>IF($A229="","",'03_Tecnologie'!D229)</f>
        <v/>
      </c>
      <c r="C229" s="67" t="str">
        <f>IF($A229="","",'03_Tecnologie'!B229)</f>
        <v/>
      </c>
      <c r="D229" s="67" t="str">
        <f>IF($A229="","",'03_Tecnologie'!F229)</f>
        <v/>
      </c>
      <c r="E229" s="63" t="str">
        <f>IF($A229="","",COUNTIF('04_Componenti'!$B$4:$B$1000,$A229))</f>
        <v/>
      </c>
      <c r="F229" s="63" t="str">
        <f>IF($A229="","",COUNTIF('05_Descrizione'!$B$4:$B$1000,$A229))</f>
        <v/>
      </c>
      <c r="G229" s="63" t="str">
        <f>IF($A229="","",COUNTIF('06_Avanzamento'!$B$4:$B$1000,$A229))</f>
        <v/>
      </c>
      <c r="H229" s="63" t="str">
        <f>IF($A229="","",COUNTIF('07_TRL_TLR'!$B$4:$B$1000,$A229))</f>
        <v/>
      </c>
      <c r="I229" s="63" t="str">
        <f>IF($A229="","",COUNTIF('08_Costi_Compet'!$B$4:$B$1000,$A229))</f>
        <v/>
      </c>
      <c r="J229" s="63" t="str">
        <f>IF($A229="","",COUNTIF('09_Settori_Impatto'!$B$4:$B$1000,$A229))</f>
        <v/>
      </c>
      <c r="K229" s="63" t="str">
        <f>IF($A229="","",COUNTIF('16_Mercati_Riferimento'!$B$4:$B$1000,$A229))</f>
        <v/>
      </c>
      <c r="L229" s="22" t="str">
        <f>IF($A229="","",COUNTIF('10_Sostenibilita'!$B$4:$B$1000,$A229))</f>
        <v/>
      </c>
      <c r="M229" s="63" t="str">
        <f>IF($A229="","",COUNTIF('11_Best_Practice'!$B$4:$B$1000,$A229))</f>
        <v/>
      </c>
      <c r="N229" s="63" t="str">
        <f>IF($A229="","",COUNTIF('12_Policy_Regolazione'!$B$4:$B$1000,$A229))</f>
        <v/>
      </c>
      <c r="O229" s="63" t="str">
        <f>IF($A229="","",COUNTIF('13_Barriere_Opp'!$B$4:$B$1000,$A229))</f>
        <v/>
      </c>
      <c r="P229" s="63" t="str">
        <f>IF($A229="","",COUNTIF('14_Attori_Imprese'!$B$4:$B$1000,$A229))</f>
        <v/>
      </c>
      <c r="Q229" s="63" t="str">
        <f>IF($A229="","",COUNTIF('15_Prestazioni'!$B$4:$B$1000,$A229))</f>
        <v/>
      </c>
      <c r="R229" s="64" t="str">
        <f t="shared" si="12"/>
        <v/>
      </c>
      <c r="S229" s="65" t="str">
        <f>IF($A229="","",IFERROR(AVERAGEIF('07_TRL_TLR'!$B$4:$B$1000,$A229,'07_TRL_TLR'!$F$4:$F$1000),""))</f>
        <v/>
      </c>
      <c r="T229" s="63" t="str">
        <f t="shared" si="13"/>
        <v/>
      </c>
      <c r="U229" s="66" t="str">
        <f t="shared" si="14"/>
        <v/>
      </c>
      <c r="V229" s="66" t="str">
        <f t="shared" si="15"/>
        <v/>
      </c>
    </row>
    <row r="230" spans="1:22">
      <c r="A230" s="67" t="str">
        <f>IF('03_Tecnologie'!A230="","",'03_Tecnologie'!A230)</f>
        <v/>
      </c>
      <c r="B230" s="67" t="str">
        <f>IF($A230="","",'03_Tecnologie'!D230)</f>
        <v/>
      </c>
      <c r="C230" s="67" t="str">
        <f>IF($A230="","",'03_Tecnologie'!B230)</f>
        <v/>
      </c>
      <c r="D230" s="67" t="str">
        <f>IF($A230="","",'03_Tecnologie'!F230)</f>
        <v/>
      </c>
      <c r="E230" s="63" t="str">
        <f>IF($A230="","",COUNTIF('04_Componenti'!$B$4:$B$1000,$A230))</f>
        <v/>
      </c>
      <c r="F230" s="63" t="str">
        <f>IF($A230="","",COUNTIF('05_Descrizione'!$B$4:$B$1000,$A230))</f>
        <v/>
      </c>
      <c r="G230" s="63" t="str">
        <f>IF($A230="","",COUNTIF('06_Avanzamento'!$B$4:$B$1000,$A230))</f>
        <v/>
      </c>
      <c r="H230" s="63" t="str">
        <f>IF($A230="","",COUNTIF('07_TRL_TLR'!$B$4:$B$1000,$A230))</f>
        <v/>
      </c>
      <c r="I230" s="63" t="str">
        <f>IF($A230="","",COUNTIF('08_Costi_Compet'!$B$4:$B$1000,$A230))</f>
        <v/>
      </c>
      <c r="J230" s="63" t="str">
        <f>IF($A230="","",COUNTIF('09_Settori_Impatto'!$B$4:$B$1000,$A230))</f>
        <v/>
      </c>
      <c r="K230" s="63" t="str">
        <f>IF($A230="","",COUNTIF('16_Mercati_Riferimento'!$B$4:$B$1000,$A230))</f>
        <v/>
      </c>
      <c r="L230" s="22" t="str">
        <f>IF($A230="","",COUNTIF('10_Sostenibilita'!$B$4:$B$1000,$A230))</f>
        <v/>
      </c>
      <c r="M230" s="63" t="str">
        <f>IF($A230="","",COUNTIF('11_Best_Practice'!$B$4:$B$1000,$A230))</f>
        <v/>
      </c>
      <c r="N230" s="63" t="str">
        <f>IF($A230="","",COUNTIF('12_Policy_Regolazione'!$B$4:$B$1000,$A230))</f>
        <v/>
      </c>
      <c r="O230" s="63" t="str">
        <f>IF($A230="","",COUNTIF('13_Barriere_Opp'!$B$4:$B$1000,$A230))</f>
        <v/>
      </c>
      <c r="P230" s="63" t="str">
        <f>IF($A230="","",COUNTIF('14_Attori_Imprese'!$B$4:$B$1000,$A230))</f>
        <v/>
      </c>
      <c r="Q230" s="63" t="str">
        <f>IF($A230="","",COUNTIF('15_Prestazioni'!$B$4:$B$1000,$A230))</f>
        <v/>
      </c>
      <c r="R230" s="64" t="str">
        <f t="shared" si="12"/>
        <v/>
      </c>
      <c r="S230" s="65" t="str">
        <f>IF($A230="","",IFERROR(AVERAGEIF('07_TRL_TLR'!$B$4:$B$1000,$A230,'07_TRL_TLR'!$F$4:$F$1000),""))</f>
        <v/>
      </c>
      <c r="T230" s="63" t="str">
        <f t="shared" si="13"/>
        <v/>
      </c>
      <c r="U230" s="66" t="str">
        <f t="shared" si="14"/>
        <v/>
      </c>
      <c r="V230" s="66" t="str">
        <f t="shared" si="15"/>
        <v/>
      </c>
    </row>
    <row r="231" spans="1:22">
      <c r="A231" s="67" t="str">
        <f>IF('03_Tecnologie'!A231="","",'03_Tecnologie'!A231)</f>
        <v/>
      </c>
      <c r="B231" s="67" t="str">
        <f>IF($A231="","",'03_Tecnologie'!D231)</f>
        <v/>
      </c>
      <c r="C231" s="67" t="str">
        <f>IF($A231="","",'03_Tecnologie'!B231)</f>
        <v/>
      </c>
      <c r="D231" s="67" t="str">
        <f>IF($A231="","",'03_Tecnologie'!F231)</f>
        <v/>
      </c>
      <c r="E231" s="63" t="str">
        <f>IF($A231="","",COUNTIF('04_Componenti'!$B$4:$B$1000,$A231))</f>
        <v/>
      </c>
      <c r="F231" s="63" t="str">
        <f>IF($A231="","",COUNTIF('05_Descrizione'!$B$4:$B$1000,$A231))</f>
        <v/>
      </c>
      <c r="G231" s="63" t="str">
        <f>IF($A231="","",COUNTIF('06_Avanzamento'!$B$4:$B$1000,$A231))</f>
        <v/>
      </c>
      <c r="H231" s="63" t="str">
        <f>IF($A231="","",COUNTIF('07_TRL_TLR'!$B$4:$B$1000,$A231))</f>
        <v/>
      </c>
      <c r="I231" s="63" t="str">
        <f>IF($A231="","",COUNTIF('08_Costi_Compet'!$B$4:$B$1000,$A231))</f>
        <v/>
      </c>
      <c r="J231" s="63" t="str">
        <f>IF($A231="","",COUNTIF('09_Settori_Impatto'!$B$4:$B$1000,$A231))</f>
        <v/>
      </c>
      <c r="K231" s="63" t="str">
        <f>IF($A231="","",COUNTIF('16_Mercati_Riferimento'!$B$4:$B$1000,$A231))</f>
        <v/>
      </c>
      <c r="L231" s="22" t="str">
        <f>IF($A231="","",COUNTIF('10_Sostenibilita'!$B$4:$B$1000,$A231))</f>
        <v/>
      </c>
      <c r="M231" s="63" t="str">
        <f>IF($A231="","",COUNTIF('11_Best_Practice'!$B$4:$B$1000,$A231))</f>
        <v/>
      </c>
      <c r="N231" s="63" t="str">
        <f>IF($A231="","",COUNTIF('12_Policy_Regolazione'!$B$4:$B$1000,$A231))</f>
        <v/>
      </c>
      <c r="O231" s="63" t="str">
        <f>IF($A231="","",COUNTIF('13_Barriere_Opp'!$B$4:$B$1000,$A231))</f>
        <v/>
      </c>
      <c r="P231" s="63" t="str">
        <f>IF($A231="","",COUNTIF('14_Attori_Imprese'!$B$4:$B$1000,$A231))</f>
        <v/>
      </c>
      <c r="Q231" s="63" t="str">
        <f>IF($A231="","",COUNTIF('15_Prestazioni'!$B$4:$B$1000,$A231))</f>
        <v/>
      </c>
      <c r="R231" s="64" t="str">
        <f t="shared" si="12"/>
        <v/>
      </c>
      <c r="S231" s="65" t="str">
        <f>IF($A231="","",IFERROR(AVERAGEIF('07_TRL_TLR'!$B$4:$B$1000,$A231,'07_TRL_TLR'!$F$4:$F$1000),""))</f>
        <v/>
      </c>
      <c r="T231" s="63" t="str">
        <f t="shared" si="13"/>
        <v/>
      </c>
      <c r="U231" s="66" t="str">
        <f t="shared" si="14"/>
        <v/>
      </c>
      <c r="V231" s="66" t="str">
        <f t="shared" si="15"/>
        <v/>
      </c>
    </row>
    <row r="232" spans="1:22">
      <c r="A232" s="67" t="str">
        <f>IF('03_Tecnologie'!A232="","",'03_Tecnologie'!A232)</f>
        <v/>
      </c>
      <c r="B232" s="67" t="str">
        <f>IF($A232="","",'03_Tecnologie'!D232)</f>
        <v/>
      </c>
      <c r="C232" s="67" t="str">
        <f>IF($A232="","",'03_Tecnologie'!B232)</f>
        <v/>
      </c>
      <c r="D232" s="67" t="str">
        <f>IF($A232="","",'03_Tecnologie'!F232)</f>
        <v/>
      </c>
      <c r="E232" s="63" t="str">
        <f>IF($A232="","",COUNTIF('04_Componenti'!$B$4:$B$1000,$A232))</f>
        <v/>
      </c>
      <c r="F232" s="63" t="str">
        <f>IF($A232="","",COUNTIF('05_Descrizione'!$B$4:$B$1000,$A232))</f>
        <v/>
      </c>
      <c r="G232" s="63" t="str">
        <f>IF($A232="","",COUNTIF('06_Avanzamento'!$B$4:$B$1000,$A232))</f>
        <v/>
      </c>
      <c r="H232" s="63" t="str">
        <f>IF($A232="","",COUNTIF('07_TRL_TLR'!$B$4:$B$1000,$A232))</f>
        <v/>
      </c>
      <c r="I232" s="63" t="str">
        <f>IF($A232="","",COUNTIF('08_Costi_Compet'!$B$4:$B$1000,$A232))</f>
        <v/>
      </c>
      <c r="J232" s="63" t="str">
        <f>IF($A232="","",COUNTIF('09_Settori_Impatto'!$B$4:$B$1000,$A232))</f>
        <v/>
      </c>
      <c r="K232" s="63" t="str">
        <f>IF($A232="","",COUNTIF('16_Mercati_Riferimento'!$B$4:$B$1000,$A232))</f>
        <v/>
      </c>
      <c r="L232" s="22" t="str">
        <f>IF($A232="","",COUNTIF('10_Sostenibilita'!$B$4:$B$1000,$A232))</f>
        <v/>
      </c>
      <c r="M232" s="63" t="str">
        <f>IF($A232="","",COUNTIF('11_Best_Practice'!$B$4:$B$1000,$A232))</f>
        <v/>
      </c>
      <c r="N232" s="63" t="str">
        <f>IF($A232="","",COUNTIF('12_Policy_Regolazione'!$B$4:$B$1000,$A232))</f>
        <v/>
      </c>
      <c r="O232" s="63" t="str">
        <f>IF($A232="","",COUNTIF('13_Barriere_Opp'!$B$4:$B$1000,$A232))</f>
        <v/>
      </c>
      <c r="P232" s="63" t="str">
        <f>IF($A232="","",COUNTIF('14_Attori_Imprese'!$B$4:$B$1000,$A232))</f>
        <v/>
      </c>
      <c r="Q232" s="63" t="str">
        <f>IF($A232="","",COUNTIF('15_Prestazioni'!$B$4:$B$1000,$A232))</f>
        <v/>
      </c>
      <c r="R232" s="64" t="str">
        <f t="shared" si="12"/>
        <v/>
      </c>
      <c r="S232" s="65" t="str">
        <f>IF($A232="","",IFERROR(AVERAGEIF('07_TRL_TLR'!$B$4:$B$1000,$A232,'07_TRL_TLR'!$F$4:$F$1000),""))</f>
        <v/>
      </c>
      <c r="T232" s="63" t="str">
        <f t="shared" si="13"/>
        <v/>
      </c>
      <c r="U232" s="66" t="str">
        <f t="shared" si="14"/>
        <v/>
      </c>
      <c r="V232" s="66" t="str">
        <f t="shared" si="15"/>
        <v/>
      </c>
    </row>
    <row r="233" spans="1:22">
      <c r="A233" s="67" t="str">
        <f>IF('03_Tecnologie'!A233="","",'03_Tecnologie'!A233)</f>
        <v/>
      </c>
      <c r="B233" s="67" t="str">
        <f>IF($A233="","",'03_Tecnologie'!D233)</f>
        <v/>
      </c>
      <c r="C233" s="67" t="str">
        <f>IF($A233="","",'03_Tecnologie'!B233)</f>
        <v/>
      </c>
      <c r="D233" s="67" t="str">
        <f>IF($A233="","",'03_Tecnologie'!F233)</f>
        <v/>
      </c>
      <c r="E233" s="63" t="str">
        <f>IF($A233="","",COUNTIF('04_Componenti'!$B$4:$B$1000,$A233))</f>
        <v/>
      </c>
      <c r="F233" s="63" t="str">
        <f>IF($A233="","",COUNTIF('05_Descrizione'!$B$4:$B$1000,$A233))</f>
        <v/>
      </c>
      <c r="G233" s="63" t="str">
        <f>IF($A233="","",COUNTIF('06_Avanzamento'!$B$4:$B$1000,$A233))</f>
        <v/>
      </c>
      <c r="H233" s="63" t="str">
        <f>IF($A233="","",COUNTIF('07_TRL_TLR'!$B$4:$B$1000,$A233))</f>
        <v/>
      </c>
      <c r="I233" s="63" t="str">
        <f>IF($A233="","",COUNTIF('08_Costi_Compet'!$B$4:$B$1000,$A233))</f>
        <v/>
      </c>
      <c r="J233" s="63" t="str">
        <f>IF($A233="","",COUNTIF('09_Settori_Impatto'!$B$4:$B$1000,$A233))</f>
        <v/>
      </c>
      <c r="K233" s="63" t="str">
        <f>IF($A233="","",COUNTIF('16_Mercati_Riferimento'!$B$4:$B$1000,$A233))</f>
        <v/>
      </c>
      <c r="L233" s="22" t="str">
        <f>IF($A233="","",COUNTIF('10_Sostenibilita'!$B$4:$B$1000,$A233))</f>
        <v/>
      </c>
      <c r="M233" s="63" t="str">
        <f>IF($A233="","",COUNTIF('11_Best_Practice'!$B$4:$B$1000,$A233))</f>
        <v/>
      </c>
      <c r="N233" s="63" t="str">
        <f>IF($A233="","",COUNTIF('12_Policy_Regolazione'!$B$4:$B$1000,$A233))</f>
        <v/>
      </c>
      <c r="O233" s="63" t="str">
        <f>IF($A233="","",COUNTIF('13_Barriere_Opp'!$B$4:$B$1000,$A233))</f>
        <v/>
      </c>
      <c r="P233" s="63" t="str">
        <f>IF($A233="","",COUNTIF('14_Attori_Imprese'!$B$4:$B$1000,$A233))</f>
        <v/>
      </c>
      <c r="Q233" s="63" t="str">
        <f>IF($A233="","",COUNTIF('15_Prestazioni'!$B$4:$B$1000,$A233))</f>
        <v/>
      </c>
      <c r="R233" s="64" t="str">
        <f t="shared" si="12"/>
        <v/>
      </c>
      <c r="S233" s="65" t="str">
        <f>IF($A233="","",IFERROR(AVERAGEIF('07_TRL_TLR'!$B$4:$B$1000,$A233,'07_TRL_TLR'!$F$4:$F$1000),""))</f>
        <v/>
      </c>
      <c r="T233" s="63" t="str">
        <f t="shared" si="13"/>
        <v/>
      </c>
      <c r="U233" s="66" t="str">
        <f t="shared" si="14"/>
        <v/>
      </c>
      <c r="V233" s="66" t="str">
        <f t="shared" si="15"/>
        <v/>
      </c>
    </row>
    <row r="234" spans="1:22">
      <c r="A234" s="67" t="str">
        <f>IF('03_Tecnologie'!A234="","",'03_Tecnologie'!A234)</f>
        <v/>
      </c>
      <c r="B234" s="67" t="str">
        <f>IF($A234="","",'03_Tecnologie'!D234)</f>
        <v/>
      </c>
      <c r="C234" s="67" t="str">
        <f>IF($A234="","",'03_Tecnologie'!B234)</f>
        <v/>
      </c>
      <c r="D234" s="67" t="str">
        <f>IF($A234="","",'03_Tecnologie'!F234)</f>
        <v/>
      </c>
      <c r="E234" s="63" t="str">
        <f>IF($A234="","",COUNTIF('04_Componenti'!$B$4:$B$1000,$A234))</f>
        <v/>
      </c>
      <c r="F234" s="63" t="str">
        <f>IF($A234="","",COUNTIF('05_Descrizione'!$B$4:$B$1000,$A234))</f>
        <v/>
      </c>
      <c r="G234" s="63" t="str">
        <f>IF($A234="","",COUNTIF('06_Avanzamento'!$B$4:$B$1000,$A234))</f>
        <v/>
      </c>
      <c r="H234" s="63" t="str">
        <f>IF($A234="","",COUNTIF('07_TRL_TLR'!$B$4:$B$1000,$A234))</f>
        <v/>
      </c>
      <c r="I234" s="63" t="str">
        <f>IF($A234="","",COUNTIF('08_Costi_Compet'!$B$4:$B$1000,$A234))</f>
        <v/>
      </c>
      <c r="J234" s="63" t="str">
        <f>IF($A234="","",COUNTIF('09_Settori_Impatto'!$B$4:$B$1000,$A234))</f>
        <v/>
      </c>
      <c r="K234" s="63" t="str">
        <f>IF($A234="","",COUNTIF('16_Mercati_Riferimento'!$B$4:$B$1000,$A234))</f>
        <v/>
      </c>
      <c r="L234" s="22" t="str">
        <f>IF($A234="","",COUNTIF('10_Sostenibilita'!$B$4:$B$1000,$A234))</f>
        <v/>
      </c>
      <c r="M234" s="63" t="str">
        <f>IF($A234="","",COUNTIF('11_Best_Practice'!$B$4:$B$1000,$A234))</f>
        <v/>
      </c>
      <c r="N234" s="63" t="str">
        <f>IF($A234="","",COUNTIF('12_Policy_Regolazione'!$B$4:$B$1000,$A234))</f>
        <v/>
      </c>
      <c r="O234" s="63" t="str">
        <f>IF($A234="","",COUNTIF('13_Barriere_Opp'!$B$4:$B$1000,$A234))</f>
        <v/>
      </c>
      <c r="P234" s="63" t="str">
        <f>IF($A234="","",COUNTIF('14_Attori_Imprese'!$B$4:$B$1000,$A234))</f>
        <v/>
      </c>
      <c r="Q234" s="63" t="str">
        <f>IF($A234="","",COUNTIF('15_Prestazioni'!$B$4:$B$1000,$A234))</f>
        <v/>
      </c>
      <c r="R234" s="64" t="str">
        <f t="shared" si="12"/>
        <v/>
      </c>
      <c r="S234" s="65" t="str">
        <f>IF($A234="","",IFERROR(AVERAGEIF('07_TRL_TLR'!$B$4:$B$1000,$A234,'07_TRL_TLR'!$F$4:$F$1000),""))</f>
        <v/>
      </c>
      <c r="T234" s="63" t="str">
        <f t="shared" si="13"/>
        <v/>
      </c>
      <c r="U234" s="66" t="str">
        <f t="shared" si="14"/>
        <v/>
      </c>
      <c r="V234" s="66" t="str">
        <f t="shared" si="15"/>
        <v/>
      </c>
    </row>
    <row r="235" spans="1:22">
      <c r="A235" s="67" t="str">
        <f>IF('03_Tecnologie'!A235="","",'03_Tecnologie'!A235)</f>
        <v/>
      </c>
      <c r="B235" s="67" t="str">
        <f>IF($A235="","",'03_Tecnologie'!D235)</f>
        <v/>
      </c>
      <c r="C235" s="67" t="str">
        <f>IF($A235="","",'03_Tecnologie'!B235)</f>
        <v/>
      </c>
      <c r="D235" s="67" t="str">
        <f>IF($A235="","",'03_Tecnologie'!F235)</f>
        <v/>
      </c>
      <c r="E235" s="63" t="str">
        <f>IF($A235="","",COUNTIF('04_Componenti'!$B$4:$B$1000,$A235))</f>
        <v/>
      </c>
      <c r="F235" s="63" t="str">
        <f>IF($A235="","",COUNTIF('05_Descrizione'!$B$4:$B$1000,$A235))</f>
        <v/>
      </c>
      <c r="G235" s="63" t="str">
        <f>IF($A235="","",COUNTIF('06_Avanzamento'!$B$4:$B$1000,$A235))</f>
        <v/>
      </c>
      <c r="H235" s="63" t="str">
        <f>IF($A235="","",COUNTIF('07_TRL_TLR'!$B$4:$B$1000,$A235))</f>
        <v/>
      </c>
      <c r="I235" s="63" t="str">
        <f>IF($A235="","",COUNTIF('08_Costi_Compet'!$B$4:$B$1000,$A235))</f>
        <v/>
      </c>
      <c r="J235" s="63" t="str">
        <f>IF($A235="","",COUNTIF('09_Settori_Impatto'!$B$4:$B$1000,$A235))</f>
        <v/>
      </c>
      <c r="K235" s="63" t="str">
        <f>IF($A235="","",COUNTIF('16_Mercati_Riferimento'!$B$4:$B$1000,$A235))</f>
        <v/>
      </c>
      <c r="L235" s="22" t="str">
        <f>IF($A235="","",COUNTIF('10_Sostenibilita'!$B$4:$B$1000,$A235))</f>
        <v/>
      </c>
      <c r="M235" s="63" t="str">
        <f>IF($A235="","",COUNTIF('11_Best_Practice'!$B$4:$B$1000,$A235))</f>
        <v/>
      </c>
      <c r="N235" s="63" t="str">
        <f>IF($A235="","",COUNTIF('12_Policy_Regolazione'!$B$4:$B$1000,$A235))</f>
        <v/>
      </c>
      <c r="O235" s="63" t="str">
        <f>IF($A235="","",COUNTIF('13_Barriere_Opp'!$B$4:$B$1000,$A235))</f>
        <v/>
      </c>
      <c r="P235" s="63" t="str">
        <f>IF($A235="","",COUNTIF('14_Attori_Imprese'!$B$4:$B$1000,$A235))</f>
        <v/>
      </c>
      <c r="Q235" s="63" t="str">
        <f>IF($A235="","",COUNTIF('15_Prestazioni'!$B$4:$B$1000,$A235))</f>
        <v/>
      </c>
      <c r="R235" s="64" t="str">
        <f t="shared" si="12"/>
        <v/>
      </c>
      <c r="S235" s="65" t="str">
        <f>IF($A235="","",IFERROR(AVERAGEIF('07_TRL_TLR'!$B$4:$B$1000,$A235,'07_TRL_TLR'!$F$4:$F$1000),""))</f>
        <v/>
      </c>
      <c r="T235" s="63" t="str">
        <f t="shared" si="13"/>
        <v/>
      </c>
      <c r="U235" s="66" t="str">
        <f t="shared" si="14"/>
        <v/>
      </c>
      <c r="V235" s="66" t="str">
        <f t="shared" si="15"/>
        <v/>
      </c>
    </row>
    <row r="236" spans="1:22">
      <c r="A236" s="67" t="str">
        <f>IF('03_Tecnologie'!A236="","",'03_Tecnologie'!A236)</f>
        <v/>
      </c>
      <c r="B236" s="67" t="str">
        <f>IF($A236="","",'03_Tecnologie'!D236)</f>
        <v/>
      </c>
      <c r="C236" s="67" t="str">
        <f>IF($A236="","",'03_Tecnologie'!B236)</f>
        <v/>
      </c>
      <c r="D236" s="67" t="str">
        <f>IF($A236="","",'03_Tecnologie'!F236)</f>
        <v/>
      </c>
      <c r="E236" s="63" t="str">
        <f>IF($A236="","",COUNTIF('04_Componenti'!$B$4:$B$1000,$A236))</f>
        <v/>
      </c>
      <c r="F236" s="63" t="str">
        <f>IF($A236="","",COUNTIF('05_Descrizione'!$B$4:$B$1000,$A236))</f>
        <v/>
      </c>
      <c r="G236" s="63" t="str">
        <f>IF($A236="","",COUNTIF('06_Avanzamento'!$B$4:$B$1000,$A236))</f>
        <v/>
      </c>
      <c r="H236" s="63" t="str">
        <f>IF($A236="","",COUNTIF('07_TRL_TLR'!$B$4:$B$1000,$A236))</f>
        <v/>
      </c>
      <c r="I236" s="63" t="str">
        <f>IF($A236="","",COUNTIF('08_Costi_Compet'!$B$4:$B$1000,$A236))</f>
        <v/>
      </c>
      <c r="J236" s="63" t="str">
        <f>IF($A236="","",COUNTIF('09_Settori_Impatto'!$B$4:$B$1000,$A236))</f>
        <v/>
      </c>
      <c r="K236" s="63" t="str">
        <f>IF($A236="","",COUNTIF('16_Mercati_Riferimento'!$B$4:$B$1000,$A236))</f>
        <v/>
      </c>
      <c r="L236" s="22" t="str">
        <f>IF($A236="","",COUNTIF('10_Sostenibilita'!$B$4:$B$1000,$A236))</f>
        <v/>
      </c>
      <c r="M236" s="63" t="str">
        <f>IF($A236="","",COUNTIF('11_Best_Practice'!$B$4:$B$1000,$A236))</f>
        <v/>
      </c>
      <c r="N236" s="63" t="str">
        <f>IF($A236="","",COUNTIF('12_Policy_Regolazione'!$B$4:$B$1000,$A236))</f>
        <v/>
      </c>
      <c r="O236" s="63" t="str">
        <f>IF($A236="","",COUNTIF('13_Barriere_Opp'!$B$4:$B$1000,$A236))</f>
        <v/>
      </c>
      <c r="P236" s="63" t="str">
        <f>IF($A236="","",COUNTIF('14_Attori_Imprese'!$B$4:$B$1000,$A236))</f>
        <v/>
      </c>
      <c r="Q236" s="63" t="str">
        <f>IF($A236="","",COUNTIF('15_Prestazioni'!$B$4:$B$1000,$A236))</f>
        <v/>
      </c>
      <c r="R236" s="64" t="str">
        <f t="shared" si="12"/>
        <v/>
      </c>
      <c r="S236" s="65" t="str">
        <f>IF($A236="","",IFERROR(AVERAGEIF('07_TRL_TLR'!$B$4:$B$1000,$A236,'07_TRL_TLR'!$F$4:$F$1000),""))</f>
        <v/>
      </c>
      <c r="T236" s="63" t="str">
        <f t="shared" si="13"/>
        <v/>
      </c>
      <c r="U236" s="66" t="str">
        <f t="shared" si="14"/>
        <v/>
      </c>
      <c r="V236" s="66" t="str">
        <f t="shared" si="15"/>
        <v/>
      </c>
    </row>
    <row r="237" spans="1:22">
      <c r="A237" s="67" t="str">
        <f>IF('03_Tecnologie'!A237="","",'03_Tecnologie'!A237)</f>
        <v/>
      </c>
      <c r="B237" s="67" t="str">
        <f>IF($A237="","",'03_Tecnologie'!D237)</f>
        <v/>
      </c>
      <c r="C237" s="67" t="str">
        <f>IF($A237="","",'03_Tecnologie'!B237)</f>
        <v/>
      </c>
      <c r="D237" s="67" t="str">
        <f>IF($A237="","",'03_Tecnologie'!F237)</f>
        <v/>
      </c>
      <c r="E237" s="63" t="str">
        <f>IF($A237="","",COUNTIF('04_Componenti'!$B$4:$B$1000,$A237))</f>
        <v/>
      </c>
      <c r="F237" s="63" t="str">
        <f>IF($A237="","",COUNTIF('05_Descrizione'!$B$4:$B$1000,$A237))</f>
        <v/>
      </c>
      <c r="G237" s="63" t="str">
        <f>IF($A237="","",COUNTIF('06_Avanzamento'!$B$4:$B$1000,$A237))</f>
        <v/>
      </c>
      <c r="H237" s="63" t="str">
        <f>IF($A237="","",COUNTIF('07_TRL_TLR'!$B$4:$B$1000,$A237))</f>
        <v/>
      </c>
      <c r="I237" s="63" t="str">
        <f>IF($A237="","",COUNTIF('08_Costi_Compet'!$B$4:$B$1000,$A237))</f>
        <v/>
      </c>
      <c r="J237" s="63" t="str">
        <f>IF($A237="","",COUNTIF('09_Settori_Impatto'!$B$4:$B$1000,$A237))</f>
        <v/>
      </c>
      <c r="K237" s="63" t="str">
        <f>IF($A237="","",COUNTIF('16_Mercati_Riferimento'!$B$4:$B$1000,$A237))</f>
        <v/>
      </c>
      <c r="L237" s="22" t="str">
        <f>IF($A237="","",COUNTIF('10_Sostenibilita'!$B$4:$B$1000,$A237))</f>
        <v/>
      </c>
      <c r="M237" s="63" t="str">
        <f>IF($A237="","",COUNTIF('11_Best_Practice'!$B$4:$B$1000,$A237))</f>
        <v/>
      </c>
      <c r="N237" s="63" t="str">
        <f>IF($A237="","",COUNTIF('12_Policy_Regolazione'!$B$4:$B$1000,$A237))</f>
        <v/>
      </c>
      <c r="O237" s="63" t="str">
        <f>IF($A237="","",COUNTIF('13_Barriere_Opp'!$B$4:$B$1000,$A237))</f>
        <v/>
      </c>
      <c r="P237" s="63" t="str">
        <f>IF($A237="","",COUNTIF('14_Attori_Imprese'!$B$4:$B$1000,$A237))</f>
        <v/>
      </c>
      <c r="Q237" s="63" t="str">
        <f>IF($A237="","",COUNTIF('15_Prestazioni'!$B$4:$B$1000,$A237))</f>
        <v/>
      </c>
      <c r="R237" s="64" t="str">
        <f t="shared" si="12"/>
        <v/>
      </c>
      <c r="S237" s="65" t="str">
        <f>IF($A237="","",IFERROR(AVERAGEIF('07_TRL_TLR'!$B$4:$B$1000,$A237,'07_TRL_TLR'!$F$4:$F$1000),""))</f>
        <v/>
      </c>
      <c r="T237" s="63" t="str">
        <f t="shared" si="13"/>
        <v/>
      </c>
      <c r="U237" s="66" t="str">
        <f t="shared" si="14"/>
        <v/>
      </c>
      <c r="V237" s="66" t="str">
        <f t="shared" si="15"/>
        <v/>
      </c>
    </row>
    <row r="238" spans="1:22">
      <c r="A238" s="67" t="str">
        <f>IF('03_Tecnologie'!A238="","",'03_Tecnologie'!A238)</f>
        <v/>
      </c>
      <c r="B238" s="67" t="str">
        <f>IF($A238="","",'03_Tecnologie'!D238)</f>
        <v/>
      </c>
      <c r="C238" s="67" t="str">
        <f>IF($A238="","",'03_Tecnologie'!B238)</f>
        <v/>
      </c>
      <c r="D238" s="67" t="str">
        <f>IF($A238="","",'03_Tecnologie'!F238)</f>
        <v/>
      </c>
      <c r="E238" s="63" t="str">
        <f>IF($A238="","",COUNTIF('04_Componenti'!$B$4:$B$1000,$A238))</f>
        <v/>
      </c>
      <c r="F238" s="63" t="str">
        <f>IF($A238="","",COUNTIF('05_Descrizione'!$B$4:$B$1000,$A238))</f>
        <v/>
      </c>
      <c r="G238" s="63" t="str">
        <f>IF($A238="","",COUNTIF('06_Avanzamento'!$B$4:$B$1000,$A238))</f>
        <v/>
      </c>
      <c r="H238" s="63" t="str">
        <f>IF($A238="","",COUNTIF('07_TRL_TLR'!$B$4:$B$1000,$A238))</f>
        <v/>
      </c>
      <c r="I238" s="63" t="str">
        <f>IF($A238="","",COUNTIF('08_Costi_Compet'!$B$4:$B$1000,$A238))</f>
        <v/>
      </c>
      <c r="J238" s="63" t="str">
        <f>IF($A238="","",COUNTIF('09_Settori_Impatto'!$B$4:$B$1000,$A238))</f>
        <v/>
      </c>
      <c r="K238" s="63" t="str">
        <f>IF($A238="","",COUNTIF('16_Mercati_Riferimento'!$B$4:$B$1000,$A238))</f>
        <v/>
      </c>
      <c r="L238" s="22" t="str">
        <f>IF($A238="","",COUNTIF('10_Sostenibilita'!$B$4:$B$1000,$A238))</f>
        <v/>
      </c>
      <c r="M238" s="63" t="str">
        <f>IF($A238="","",COUNTIF('11_Best_Practice'!$B$4:$B$1000,$A238))</f>
        <v/>
      </c>
      <c r="N238" s="63" t="str">
        <f>IF($A238="","",COUNTIF('12_Policy_Regolazione'!$B$4:$B$1000,$A238))</f>
        <v/>
      </c>
      <c r="O238" s="63" t="str">
        <f>IF($A238="","",COUNTIF('13_Barriere_Opp'!$B$4:$B$1000,$A238))</f>
        <v/>
      </c>
      <c r="P238" s="63" t="str">
        <f>IF($A238="","",COUNTIF('14_Attori_Imprese'!$B$4:$B$1000,$A238))</f>
        <v/>
      </c>
      <c r="Q238" s="63" t="str">
        <f>IF($A238="","",COUNTIF('15_Prestazioni'!$B$4:$B$1000,$A238))</f>
        <v/>
      </c>
      <c r="R238" s="64" t="str">
        <f t="shared" si="12"/>
        <v/>
      </c>
      <c r="S238" s="65" t="str">
        <f>IF($A238="","",IFERROR(AVERAGEIF('07_TRL_TLR'!$B$4:$B$1000,$A238,'07_TRL_TLR'!$F$4:$F$1000),""))</f>
        <v/>
      </c>
      <c r="T238" s="63" t="str">
        <f t="shared" si="13"/>
        <v/>
      </c>
      <c r="U238" s="66" t="str">
        <f t="shared" si="14"/>
        <v/>
      </c>
      <c r="V238" s="66" t="str">
        <f t="shared" si="15"/>
        <v/>
      </c>
    </row>
    <row r="239" spans="1:22">
      <c r="A239" s="67" t="str">
        <f>IF('03_Tecnologie'!A239="","",'03_Tecnologie'!A239)</f>
        <v/>
      </c>
      <c r="B239" s="67" t="str">
        <f>IF($A239="","",'03_Tecnologie'!D239)</f>
        <v/>
      </c>
      <c r="C239" s="67" t="str">
        <f>IF($A239="","",'03_Tecnologie'!B239)</f>
        <v/>
      </c>
      <c r="D239" s="67" t="str">
        <f>IF($A239="","",'03_Tecnologie'!F239)</f>
        <v/>
      </c>
      <c r="E239" s="63" t="str">
        <f>IF($A239="","",COUNTIF('04_Componenti'!$B$4:$B$1000,$A239))</f>
        <v/>
      </c>
      <c r="F239" s="63" t="str">
        <f>IF($A239="","",COUNTIF('05_Descrizione'!$B$4:$B$1000,$A239))</f>
        <v/>
      </c>
      <c r="G239" s="63" t="str">
        <f>IF($A239="","",COUNTIF('06_Avanzamento'!$B$4:$B$1000,$A239))</f>
        <v/>
      </c>
      <c r="H239" s="63" t="str">
        <f>IF($A239="","",COUNTIF('07_TRL_TLR'!$B$4:$B$1000,$A239))</f>
        <v/>
      </c>
      <c r="I239" s="63" t="str">
        <f>IF($A239="","",COUNTIF('08_Costi_Compet'!$B$4:$B$1000,$A239))</f>
        <v/>
      </c>
      <c r="J239" s="63" t="str">
        <f>IF($A239="","",COUNTIF('09_Settori_Impatto'!$B$4:$B$1000,$A239))</f>
        <v/>
      </c>
      <c r="K239" s="63" t="str">
        <f>IF($A239="","",COUNTIF('16_Mercati_Riferimento'!$B$4:$B$1000,$A239))</f>
        <v/>
      </c>
      <c r="L239" s="22" t="str">
        <f>IF($A239="","",COUNTIF('10_Sostenibilita'!$B$4:$B$1000,$A239))</f>
        <v/>
      </c>
      <c r="M239" s="63" t="str">
        <f>IF($A239="","",COUNTIF('11_Best_Practice'!$B$4:$B$1000,$A239))</f>
        <v/>
      </c>
      <c r="N239" s="63" t="str">
        <f>IF($A239="","",COUNTIF('12_Policy_Regolazione'!$B$4:$B$1000,$A239))</f>
        <v/>
      </c>
      <c r="O239" s="63" t="str">
        <f>IF($A239="","",COUNTIF('13_Barriere_Opp'!$B$4:$B$1000,$A239))</f>
        <v/>
      </c>
      <c r="P239" s="63" t="str">
        <f>IF($A239="","",COUNTIF('14_Attori_Imprese'!$B$4:$B$1000,$A239))</f>
        <v/>
      </c>
      <c r="Q239" s="63" t="str">
        <f>IF($A239="","",COUNTIF('15_Prestazioni'!$B$4:$B$1000,$A239))</f>
        <v/>
      </c>
      <c r="R239" s="64" t="str">
        <f t="shared" si="12"/>
        <v/>
      </c>
      <c r="S239" s="65" t="str">
        <f>IF($A239="","",IFERROR(AVERAGEIF('07_TRL_TLR'!$B$4:$B$1000,$A239,'07_TRL_TLR'!$F$4:$F$1000),""))</f>
        <v/>
      </c>
      <c r="T239" s="63" t="str">
        <f t="shared" si="13"/>
        <v/>
      </c>
      <c r="U239" s="66" t="str">
        <f t="shared" si="14"/>
        <v/>
      </c>
      <c r="V239" s="66" t="str">
        <f t="shared" si="15"/>
        <v/>
      </c>
    </row>
    <row r="240" spans="1:22">
      <c r="A240" s="67" t="str">
        <f>IF('03_Tecnologie'!A240="","",'03_Tecnologie'!A240)</f>
        <v/>
      </c>
      <c r="B240" s="67" t="str">
        <f>IF($A240="","",'03_Tecnologie'!D240)</f>
        <v/>
      </c>
      <c r="C240" s="67" t="str">
        <f>IF($A240="","",'03_Tecnologie'!B240)</f>
        <v/>
      </c>
      <c r="D240" s="67" t="str">
        <f>IF($A240="","",'03_Tecnologie'!F240)</f>
        <v/>
      </c>
      <c r="E240" s="63" t="str">
        <f>IF($A240="","",COUNTIF('04_Componenti'!$B$4:$B$1000,$A240))</f>
        <v/>
      </c>
      <c r="F240" s="63" t="str">
        <f>IF($A240="","",COUNTIF('05_Descrizione'!$B$4:$B$1000,$A240))</f>
        <v/>
      </c>
      <c r="G240" s="63" t="str">
        <f>IF($A240="","",COUNTIF('06_Avanzamento'!$B$4:$B$1000,$A240))</f>
        <v/>
      </c>
      <c r="H240" s="63" t="str">
        <f>IF($A240="","",COUNTIF('07_TRL_TLR'!$B$4:$B$1000,$A240))</f>
        <v/>
      </c>
      <c r="I240" s="63" t="str">
        <f>IF($A240="","",COUNTIF('08_Costi_Compet'!$B$4:$B$1000,$A240))</f>
        <v/>
      </c>
      <c r="J240" s="63" t="str">
        <f>IF($A240="","",COUNTIF('09_Settori_Impatto'!$B$4:$B$1000,$A240))</f>
        <v/>
      </c>
      <c r="K240" s="63" t="str">
        <f>IF($A240="","",COUNTIF('16_Mercati_Riferimento'!$B$4:$B$1000,$A240))</f>
        <v/>
      </c>
      <c r="L240" s="22" t="str">
        <f>IF($A240="","",COUNTIF('10_Sostenibilita'!$B$4:$B$1000,$A240))</f>
        <v/>
      </c>
      <c r="M240" s="63" t="str">
        <f>IF($A240="","",COUNTIF('11_Best_Practice'!$B$4:$B$1000,$A240))</f>
        <v/>
      </c>
      <c r="N240" s="63" t="str">
        <f>IF($A240="","",COUNTIF('12_Policy_Regolazione'!$B$4:$B$1000,$A240))</f>
        <v/>
      </c>
      <c r="O240" s="63" t="str">
        <f>IF($A240="","",COUNTIF('13_Barriere_Opp'!$B$4:$B$1000,$A240))</f>
        <v/>
      </c>
      <c r="P240" s="63" t="str">
        <f>IF($A240="","",COUNTIF('14_Attori_Imprese'!$B$4:$B$1000,$A240))</f>
        <v/>
      </c>
      <c r="Q240" s="63" t="str">
        <f>IF($A240="","",COUNTIF('15_Prestazioni'!$B$4:$B$1000,$A240))</f>
        <v/>
      </c>
      <c r="R240" s="64" t="str">
        <f t="shared" si="12"/>
        <v/>
      </c>
      <c r="S240" s="65" t="str">
        <f>IF($A240="","",IFERROR(AVERAGEIF('07_TRL_TLR'!$B$4:$B$1000,$A240,'07_TRL_TLR'!$F$4:$F$1000),""))</f>
        <v/>
      </c>
      <c r="T240" s="63" t="str">
        <f t="shared" si="13"/>
        <v/>
      </c>
      <c r="U240" s="66" t="str">
        <f t="shared" si="14"/>
        <v/>
      </c>
      <c r="V240" s="66" t="str">
        <f t="shared" si="15"/>
        <v/>
      </c>
    </row>
    <row r="241" spans="1:22">
      <c r="A241" s="67" t="str">
        <f>IF('03_Tecnologie'!A241="","",'03_Tecnologie'!A241)</f>
        <v/>
      </c>
      <c r="B241" s="67" t="str">
        <f>IF($A241="","",'03_Tecnologie'!D241)</f>
        <v/>
      </c>
      <c r="C241" s="67" t="str">
        <f>IF($A241="","",'03_Tecnologie'!B241)</f>
        <v/>
      </c>
      <c r="D241" s="67" t="str">
        <f>IF($A241="","",'03_Tecnologie'!F241)</f>
        <v/>
      </c>
      <c r="E241" s="63" t="str">
        <f>IF($A241="","",COUNTIF('04_Componenti'!$B$4:$B$1000,$A241))</f>
        <v/>
      </c>
      <c r="F241" s="63" t="str">
        <f>IF($A241="","",COUNTIF('05_Descrizione'!$B$4:$B$1000,$A241))</f>
        <v/>
      </c>
      <c r="G241" s="63" t="str">
        <f>IF($A241="","",COUNTIF('06_Avanzamento'!$B$4:$B$1000,$A241))</f>
        <v/>
      </c>
      <c r="H241" s="63" t="str">
        <f>IF($A241="","",COUNTIF('07_TRL_TLR'!$B$4:$B$1000,$A241))</f>
        <v/>
      </c>
      <c r="I241" s="63" t="str">
        <f>IF($A241="","",COUNTIF('08_Costi_Compet'!$B$4:$B$1000,$A241))</f>
        <v/>
      </c>
      <c r="J241" s="63" t="str">
        <f>IF($A241="","",COUNTIF('09_Settori_Impatto'!$B$4:$B$1000,$A241))</f>
        <v/>
      </c>
      <c r="K241" s="63" t="str">
        <f>IF($A241="","",COUNTIF('16_Mercati_Riferimento'!$B$4:$B$1000,$A241))</f>
        <v/>
      </c>
      <c r="L241" s="22" t="str">
        <f>IF($A241="","",COUNTIF('10_Sostenibilita'!$B$4:$B$1000,$A241))</f>
        <v/>
      </c>
      <c r="M241" s="63" t="str">
        <f>IF($A241="","",COUNTIF('11_Best_Practice'!$B$4:$B$1000,$A241))</f>
        <v/>
      </c>
      <c r="N241" s="63" t="str">
        <f>IF($A241="","",COUNTIF('12_Policy_Regolazione'!$B$4:$B$1000,$A241))</f>
        <v/>
      </c>
      <c r="O241" s="63" t="str">
        <f>IF($A241="","",COUNTIF('13_Barriere_Opp'!$B$4:$B$1000,$A241))</f>
        <v/>
      </c>
      <c r="P241" s="63" t="str">
        <f>IF($A241="","",COUNTIF('14_Attori_Imprese'!$B$4:$B$1000,$A241))</f>
        <v/>
      </c>
      <c r="Q241" s="63" t="str">
        <f>IF($A241="","",COUNTIF('15_Prestazioni'!$B$4:$B$1000,$A241))</f>
        <v/>
      </c>
      <c r="R241" s="64" t="str">
        <f t="shared" si="12"/>
        <v/>
      </c>
      <c r="S241" s="65" t="str">
        <f>IF($A241="","",IFERROR(AVERAGEIF('07_TRL_TLR'!$B$4:$B$1000,$A241,'07_TRL_TLR'!$F$4:$F$1000),""))</f>
        <v/>
      </c>
      <c r="T241" s="63" t="str">
        <f t="shared" si="13"/>
        <v/>
      </c>
      <c r="U241" s="66" t="str">
        <f t="shared" si="14"/>
        <v/>
      </c>
      <c r="V241" s="66" t="str">
        <f t="shared" si="15"/>
        <v/>
      </c>
    </row>
    <row r="242" spans="1:22">
      <c r="A242" s="67" t="str">
        <f>IF('03_Tecnologie'!A242="","",'03_Tecnologie'!A242)</f>
        <v/>
      </c>
      <c r="B242" s="67" t="str">
        <f>IF($A242="","",'03_Tecnologie'!D242)</f>
        <v/>
      </c>
      <c r="C242" s="67" t="str">
        <f>IF($A242="","",'03_Tecnologie'!B242)</f>
        <v/>
      </c>
      <c r="D242" s="67" t="str">
        <f>IF($A242="","",'03_Tecnologie'!F242)</f>
        <v/>
      </c>
      <c r="E242" s="63" t="str">
        <f>IF($A242="","",COUNTIF('04_Componenti'!$B$4:$B$1000,$A242))</f>
        <v/>
      </c>
      <c r="F242" s="63" t="str">
        <f>IF($A242="","",COUNTIF('05_Descrizione'!$B$4:$B$1000,$A242))</f>
        <v/>
      </c>
      <c r="G242" s="63" t="str">
        <f>IF($A242="","",COUNTIF('06_Avanzamento'!$B$4:$B$1000,$A242))</f>
        <v/>
      </c>
      <c r="H242" s="63" t="str">
        <f>IF($A242="","",COUNTIF('07_TRL_TLR'!$B$4:$B$1000,$A242))</f>
        <v/>
      </c>
      <c r="I242" s="63" t="str">
        <f>IF($A242="","",COUNTIF('08_Costi_Compet'!$B$4:$B$1000,$A242))</f>
        <v/>
      </c>
      <c r="J242" s="63" t="str">
        <f>IF($A242="","",COUNTIF('09_Settori_Impatto'!$B$4:$B$1000,$A242))</f>
        <v/>
      </c>
      <c r="K242" s="63" t="str">
        <f>IF($A242="","",COUNTIF('16_Mercati_Riferimento'!$B$4:$B$1000,$A242))</f>
        <v/>
      </c>
      <c r="L242" s="22" t="str">
        <f>IF($A242="","",COUNTIF('10_Sostenibilita'!$B$4:$B$1000,$A242))</f>
        <v/>
      </c>
      <c r="M242" s="63" t="str">
        <f>IF($A242="","",COUNTIF('11_Best_Practice'!$B$4:$B$1000,$A242))</f>
        <v/>
      </c>
      <c r="N242" s="63" t="str">
        <f>IF($A242="","",COUNTIF('12_Policy_Regolazione'!$B$4:$B$1000,$A242))</f>
        <v/>
      </c>
      <c r="O242" s="63" t="str">
        <f>IF($A242="","",COUNTIF('13_Barriere_Opp'!$B$4:$B$1000,$A242))</f>
        <v/>
      </c>
      <c r="P242" s="63" t="str">
        <f>IF($A242="","",COUNTIF('14_Attori_Imprese'!$B$4:$B$1000,$A242))</f>
        <v/>
      </c>
      <c r="Q242" s="63" t="str">
        <f>IF($A242="","",COUNTIF('15_Prestazioni'!$B$4:$B$1000,$A242))</f>
        <v/>
      </c>
      <c r="R242" s="64" t="str">
        <f t="shared" si="12"/>
        <v/>
      </c>
      <c r="S242" s="65" t="str">
        <f>IF($A242="","",IFERROR(AVERAGEIF('07_TRL_TLR'!$B$4:$B$1000,$A242,'07_TRL_TLR'!$F$4:$F$1000),""))</f>
        <v/>
      </c>
      <c r="T242" s="63" t="str">
        <f t="shared" si="13"/>
        <v/>
      </c>
      <c r="U242" s="66" t="str">
        <f t="shared" si="14"/>
        <v/>
      </c>
      <c r="V242" s="66" t="str">
        <f t="shared" si="15"/>
        <v/>
      </c>
    </row>
    <row r="243" spans="1:22">
      <c r="A243" s="67" t="str">
        <f>IF('03_Tecnologie'!A243="","",'03_Tecnologie'!A243)</f>
        <v/>
      </c>
      <c r="B243" s="67" t="str">
        <f>IF($A243="","",'03_Tecnologie'!D243)</f>
        <v/>
      </c>
      <c r="C243" s="67" t="str">
        <f>IF($A243="","",'03_Tecnologie'!B243)</f>
        <v/>
      </c>
      <c r="D243" s="67" t="str">
        <f>IF($A243="","",'03_Tecnologie'!F243)</f>
        <v/>
      </c>
      <c r="E243" s="63" t="str">
        <f>IF($A243="","",COUNTIF('04_Componenti'!$B$4:$B$1000,$A243))</f>
        <v/>
      </c>
      <c r="F243" s="63" t="str">
        <f>IF($A243="","",COUNTIF('05_Descrizione'!$B$4:$B$1000,$A243))</f>
        <v/>
      </c>
      <c r="G243" s="63" t="str">
        <f>IF($A243="","",COUNTIF('06_Avanzamento'!$B$4:$B$1000,$A243))</f>
        <v/>
      </c>
      <c r="H243" s="63" t="str">
        <f>IF($A243="","",COUNTIF('07_TRL_TLR'!$B$4:$B$1000,$A243))</f>
        <v/>
      </c>
      <c r="I243" s="63" t="str">
        <f>IF($A243="","",COUNTIF('08_Costi_Compet'!$B$4:$B$1000,$A243))</f>
        <v/>
      </c>
      <c r="J243" s="63" t="str">
        <f>IF($A243="","",COUNTIF('09_Settori_Impatto'!$B$4:$B$1000,$A243))</f>
        <v/>
      </c>
      <c r="K243" s="63" t="str">
        <f>IF($A243="","",COUNTIF('16_Mercati_Riferimento'!$B$4:$B$1000,$A243))</f>
        <v/>
      </c>
      <c r="L243" s="22" t="str">
        <f>IF($A243="","",COUNTIF('10_Sostenibilita'!$B$4:$B$1000,$A243))</f>
        <v/>
      </c>
      <c r="M243" s="63" t="str">
        <f>IF($A243="","",COUNTIF('11_Best_Practice'!$B$4:$B$1000,$A243))</f>
        <v/>
      </c>
      <c r="N243" s="63" t="str">
        <f>IF($A243="","",COUNTIF('12_Policy_Regolazione'!$B$4:$B$1000,$A243))</f>
        <v/>
      </c>
      <c r="O243" s="63" t="str">
        <f>IF($A243="","",COUNTIF('13_Barriere_Opp'!$B$4:$B$1000,$A243))</f>
        <v/>
      </c>
      <c r="P243" s="63" t="str">
        <f>IF($A243="","",COUNTIF('14_Attori_Imprese'!$B$4:$B$1000,$A243))</f>
        <v/>
      </c>
      <c r="Q243" s="63" t="str">
        <f>IF($A243="","",COUNTIF('15_Prestazioni'!$B$4:$B$1000,$A243))</f>
        <v/>
      </c>
      <c r="R243" s="64" t="str">
        <f t="shared" si="12"/>
        <v/>
      </c>
      <c r="S243" s="65" t="str">
        <f>IF($A243="","",IFERROR(AVERAGEIF('07_TRL_TLR'!$B$4:$B$1000,$A243,'07_TRL_TLR'!$F$4:$F$1000),""))</f>
        <v/>
      </c>
      <c r="T243" s="63" t="str">
        <f t="shared" si="13"/>
        <v/>
      </c>
      <c r="U243" s="66" t="str">
        <f t="shared" si="14"/>
        <v/>
      </c>
      <c r="V243" s="66" t="str">
        <f t="shared" si="15"/>
        <v/>
      </c>
    </row>
    <row r="244" spans="1:22">
      <c r="A244" s="67" t="str">
        <f>IF('03_Tecnologie'!A244="","",'03_Tecnologie'!A244)</f>
        <v/>
      </c>
      <c r="B244" s="67" t="str">
        <f>IF($A244="","",'03_Tecnologie'!D244)</f>
        <v/>
      </c>
      <c r="C244" s="67" t="str">
        <f>IF($A244="","",'03_Tecnologie'!B244)</f>
        <v/>
      </c>
      <c r="D244" s="67" t="str">
        <f>IF($A244="","",'03_Tecnologie'!F244)</f>
        <v/>
      </c>
      <c r="E244" s="63" t="str">
        <f>IF($A244="","",COUNTIF('04_Componenti'!$B$4:$B$1000,$A244))</f>
        <v/>
      </c>
      <c r="F244" s="63" t="str">
        <f>IF($A244="","",COUNTIF('05_Descrizione'!$B$4:$B$1000,$A244))</f>
        <v/>
      </c>
      <c r="G244" s="63" t="str">
        <f>IF($A244="","",COUNTIF('06_Avanzamento'!$B$4:$B$1000,$A244))</f>
        <v/>
      </c>
      <c r="H244" s="63" t="str">
        <f>IF($A244="","",COUNTIF('07_TRL_TLR'!$B$4:$B$1000,$A244))</f>
        <v/>
      </c>
      <c r="I244" s="63" t="str">
        <f>IF($A244="","",COUNTIF('08_Costi_Compet'!$B$4:$B$1000,$A244))</f>
        <v/>
      </c>
      <c r="J244" s="63" t="str">
        <f>IF($A244="","",COUNTIF('09_Settori_Impatto'!$B$4:$B$1000,$A244))</f>
        <v/>
      </c>
      <c r="K244" s="63" t="str">
        <f>IF($A244="","",COUNTIF('16_Mercati_Riferimento'!$B$4:$B$1000,$A244))</f>
        <v/>
      </c>
      <c r="L244" s="22" t="str">
        <f>IF($A244="","",COUNTIF('10_Sostenibilita'!$B$4:$B$1000,$A244))</f>
        <v/>
      </c>
      <c r="M244" s="63" t="str">
        <f>IF($A244="","",COUNTIF('11_Best_Practice'!$B$4:$B$1000,$A244))</f>
        <v/>
      </c>
      <c r="N244" s="63" t="str">
        <f>IF($A244="","",COUNTIF('12_Policy_Regolazione'!$B$4:$B$1000,$A244))</f>
        <v/>
      </c>
      <c r="O244" s="63" t="str">
        <f>IF($A244="","",COUNTIF('13_Barriere_Opp'!$B$4:$B$1000,$A244))</f>
        <v/>
      </c>
      <c r="P244" s="63" t="str">
        <f>IF($A244="","",COUNTIF('14_Attori_Imprese'!$B$4:$B$1000,$A244))</f>
        <v/>
      </c>
      <c r="Q244" s="63" t="str">
        <f>IF($A244="","",COUNTIF('15_Prestazioni'!$B$4:$B$1000,$A244))</f>
        <v/>
      </c>
      <c r="R244" s="64" t="str">
        <f t="shared" si="12"/>
        <v/>
      </c>
      <c r="S244" s="65" t="str">
        <f>IF($A244="","",IFERROR(AVERAGEIF('07_TRL_TLR'!$B$4:$B$1000,$A244,'07_TRL_TLR'!$F$4:$F$1000),""))</f>
        <v/>
      </c>
      <c r="T244" s="63" t="str">
        <f t="shared" si="13"/>
        <v/>
      </c>
      <c r="U244" s="66" t="str">
        <f t="shared" si="14"/>
        <v/>
      </c>
      <c r="V244" s="66" t="str">
        <f t="shared" si="15"/>
        <v/>
      </c>
    </row>
    <row r="245" spans="1:22">
      <c r="A245" s="67" t="str">
        <f>IF('03_Tecnologie'!A245="","",'03_Tecnologie'!A245)</f>
        <v/>
      </c>
      <c r="B245" s="67" t="str">
        <f>IF($A245="","",'03_Tecnologie'!D245)</f>
        <v/>
      </c>
      <c r="C245" s="67" t="str">
        <f>IF($A245="","",'03_Tecnologie'!B245)</f>
        <v/>
      </c>
      <c r="D245" s="67" t="str">
        <f>IF($A245="","",'03_Tecnologie'!F245)</f>
        <v/>
      </c>
      <c r="E245" s="63" t="str">
        <f>IF($A245="","",COUNTIF('04_Componenti'!$B$4:$B$1000,$A245))</f>
        <v/>
      </c>
      <c r="F245" s="63" t="str">
        <f>IF($A245="","",COUNTIF('05_Descrizione'!$B$4:$B$1000,$A245))</f>
        <v/>
      </c>
      <c r="G245" s="63" t="str">
        <f>IF($A245="","",COUNTIF('06_Avanzamento'!$B$4:$B$1000,$A245))</f>
        <v/>
      </c>
      <c r="H245" s="63" t="str">
        <f>IF($A245="","",COUNTIF('07_TRL_TLR'!$B$4:$B$1000,$A245))</f>
        <v/>
      </c>
      <c r="I245" s="63" t="str">
        <f>IF($A245="","",COUNTIF('08_Costi_Compet'!$B$4:$B$1000,$A245))</f>
        <v/>
      </c>
      <c r="J245" s="63" t="str">
        <f>IF($A245="","",COUNTIF('09_Settori_Impatto'!$B$4:$B$1000,$A245))</f>
        <v/>
      </c>
      <c r="K245" s="63" t="str">
        <f>IF($A245="","",COUNTIF('16_Mercati_Riferimento'!$B$4:$B$1000,$A245))</f>
        <v/>
      </c>
      <c r="L245" s="22" t="str">
        <f>IF($A245="","",COUNTIF('10_Sostenibilita'!$B$4:$B$1000,$A245))</f>
        <v/>
      </c>
      <c r="M245" s="63" t="str">
        <f>IF($A245="","",COUNTIF('11_Best_Practice'!$B$4:$B$1000,$A245))</f>
        <v/>
      </c>
      <c r="N245" s="63" t="str">
        <f>IF($A245="","",COUNTIF('12_Policy_Regolazione'!$B$4:$B$1000,$A245))</f>
        <v/>
      </c>
      <c r="O245" s="63" t="str">
        <f>IF($A245="","",COUNTIF('13_Barriere_Opp'!$B$4:$B$1000,$A245))</f>
        <v/>
      </c>
      <c r="P245" s="63" t="str">
        <f>IF($A245="","",COUNTIF('14_Attori_Imprese'!$B$4:$B$1000,$A245))</f>
        <v/>
      </c>
      <c r="Q245" s="63" t="str">
        <f>IF($A245="","",COUNTIF('15_Prestazioni'!$B$4:$B$1000,$A245))</f>
        <v/>
      </c>
      <c r="R245" s="64" t="str">
        <f t="shared" si="12"/>
        <v/>
      </c>
      <c r="S245" s="65" t="str">
        <f>IF($A245="","",IFERROR(AVERAGEIF('07_TRL_TLR'!$B$4:$B$1000,$A245,'07_TRL_TLR'!$F$4:$F$1000),""))</f>
        <v/>
      </c>
      <c r="T245" s="63" t="str">
        <f t="shared" si="13"/>
        <v/>
      </c>
      <c r="U245" s="66" t="str">
        <f t="shared" si="14"/>
        <v/>
      </c>
      <c r="V245" s="66" t="str">
        <f t="shared" si="15"/>
        <v/>
      </c>
    </row>
    <row r="246" spans="1:22">
      <c r="A246" s="67" t="str">
        <f>IF('03_Tecnologie'!A246="","",'03_Tecnologie'!A246)</f>
        <v/>
      </c>
      <c r="B246" s="67" t="str">
        <f>IF($A246="","",'03_Tecnologie'!D246)</f>
        <v/>
      </c>
      <c r="C246" s="67" t="str">
        <f>IF($A246="","",'03_Tecnologie'!B246)</f>
        <v/>
      </c>
      <c r="D246" s="67" t="str">
        <f>IF($A246="","",'03_Tecnologie'!F246)</f>
        <v/>
      </c>
      <c r="E246" s="63" t="str">
        <f>IF($A246="","",COUNTIF('04_Componenti'!$B$4:$B$1000,$A246))</f>
        <v/>
      </c>
      <c r="F246" s="63" t="str">
        <f>IF($A246="","",COUNTIF('05_Descrizione'!$B$4:$B$1000,$A246))</f>
        <v/>
      </c>
      <c r="G246" s="63" t="str">
        <f>IF($A246="","",COUNTIF('06_Avanzamento'!$B$4:$B$1000,$A246))</f>
        <v/>
      </c>
      <c r="H246" s="63" t="str">
        <f>IF($A246="","",COUNTIF('07_TRL_TLR'!$B$4:$B$1000,$A246))</f>
        <v/>
      </c>
      <c r="I246" s="63" t="str">
        <f>IF($A246="","",COUNTIF('08_Costi_Compet'!$B$4:$B$1000,$A246))</f>
        <v/>
      </c>
      <c r="J246" s="63" t="str">
        <f>IF($A246="","",COUNTIF('09_Settori_Impatto'!$B$4:$B$1000,$A246))</f>
        <v/>
      </c>
      <c r="K246" s="63" t="str">
        <f>IF($A246="","",COUNTIF('16_Mercati_Riferimento'!$B$4:$B$1000,$A246))</f>
        <v/>
      </c>
      <c r="L246" s="22" t="str">
        <f>IF($A246="","",COUNTIF('10_Sostenibilita'!$B$4:$B$1000,$A246))</f>
        <v/>
      </c>
      <c r="M246" s="63" t="str">
        <f>IF($A246="","",COUNTIF('11_Best_Practice'!$B$4:$B$1000,$A246))</f>
        <v/>
      </c>
      <c r="N246" s="63" t="str">
        <f>IF($A246="","",COUNTIF('12_Policy_Regolazione'!$B$4:$B$1000,$A246))</f>
        <v/>
      </c>
      <c r="O246" s="63" t="str">
        <f>IF($A246="","",COUNTIF('13_Barriere_Opp'!$B$4:$B$1000,$A246))</f>
        <v/>
      </c>
      <c r="P246" s="63" t="str">
        <f>IF($A246="","",COUNTIF('14_Attori_Imprese'!$B$4:$B$1000,$A246))</f>
        <v/>
      </c>
      <c r="Q246" s="63" t="str">
        <f>IF($A246="","",COUNTIF('15_Prestazioni'!$B$4:$B$1000,$A246))</f>
        <v/>
      </c>
      <c r="R246" s="64" t="str">
        <f t="shared" si="12"/>
        <v/>
      </c>
      <c r="S246" s="65" t="str">
        <f>IF($A246="","",IFERROR(AVERAGEIF('07_TRL_TLR'!$B$4:$B$1000,$A246,'07_TRL_TLR'!$F$4:$F$1000),""))</f>
        <v/>
      </c>
      <c r="T246" s="63" t="str">
        <f t="shared" si="13"/>
        <v/>
      </c>
      <c r="U246" s="66" t="str">
        <f t="shared" si="14"/>
        <v/>
      </c>
      <c r="V246" s="66" t="str">
        <f t="shared" si="15"/>
        <v/>
      </c>
    </row>
    <row r="247" spans="1:22">
      <c r="A247" s="67" t="str">
        <f>IF('03_Tecnologie'!A247="","",'03_Tecnologie'!A247)</f>
        <v/>
      </c>
      <c r="B247" s="67" t="str">
        <f>IF($A247="","",'03_Tecnologie'!D247)</f>
        <v/>
      </c>
      <c r="C247" s="67" t="str">
        <f>IF($A247="","",'03_Tecnologie'!B247)</f>
        <v/>
      </c>
      <c r="D247" s="67" t="str">
        <f>IF($A247="","",'03_Tecnologie'!F247)</f>
        <v/>
      </c>
      <c r="E247" s="63" t="str">
        <f>IF($A247="","",COUNTIF('04_Componenti'!$B$4:$B$1000,$A247))</f>
        <v/>
      </c>
      <c r="F247" s="63" t="str">
        <f>IF($A247="","",COUNTIF('05_Descrizione'!$B$4:$B$1000,$A247))</f>
        <v/>
      </c>
      <c r="G247" s="63" t="str">
        <f>IF($A247="","",COUNTIF('06_Avanzamento'!$B$4:$B$1000,$A247))</f>
        <v/>
      </c>
      <c r="H247" s="63" t="str">
        <f>IF($A247="","",COUNTIF('07_TRL_TLR'!$B$4:$B$1000,$A247))</f>
        <v/>
      </c>
      <c r="I247" s="63" t="str">
        <f>IF($A247="","",COUNTIF('08_Costi_Compet'!$B$4:$B$1000,$A247))</f>
        <v/>
      </c>
      <c r="J247" s="63" t="str">
        <f>IF($A247="","",COUNTIF('09_Settori_Impatto'!$B$4:$B$1000,$A247))</f>
        <v/>
      </c>
      <c r="K247" s="63" t="str">
        <f>IF($A247="","",COUNTIF('16_Mercati_Riferimento'!$B$4:$B$1000,$A247))</f>
        <v/>
      </c>
      <c r="L247" s="22" t="str">
        <f>IF($A247="","",COUNTIF('10_Sostenibilita'!$B$4:$B$1000,$A247))</f>
        <v/>
      </c>
      <c r="M247" s="63" t="str">
        <f>IF($A247="","",COUNTIF('11_Best_Practice'!$B$4:$B$1000,$A247))</f>
        <v/>
      </c>
      <c r="N247" s="63" t="str">
        <f>IF($A247="","",COUNTIF('12_Policy_Regolazione'!$B$4:$B$1000,$A247))</f>
        <v/>
      </c>
      <c r="O247" s="63" t="str">
        <f>IF($A247="","",COUNTIF('13_Barriere_Opp'!$B$4:$B$1000,$A247))</f>
        <v/>
      </c>
      <c r="P247" s="63" t="str">
        <f>IF($A247="","",COUNTIF('14_Attori_Imprese'!$B$4:$B$1000,$A247))</f>
        <v/>
      </c>
      <c r="Q247" s="63" t="str">
        <f>IF($A247="","",COUNTIF('15_Prestazioni'!$B$4:$B$1000,$A247))</f>
        <v/>
      </c>
      <c r="R247" s="64" t="str">
        <f t="shared" si="12"/>
        <v/>
      </c>
      <c r="S247" s="65" t="str">
        <f>IF($A247="","",IFERROR(AVERAGEIF('07_TRL_TLR'!$B$4:$B$1000,$A247,'07_TRL_TLR'!$F$4:$F$1000),""))</f>
        <v/>
      </c>
      <c r="T247" s="63" t="str">
        <f t="shared" si="13"/>
        <v/>
      </c>
      <c r="U247" s="66" t="str">
        <f t="shared" si="14"/>
        <v/>
      </c>
      <c r="V247" s="66" t="str">
        <f t="shared" si="15"/>
        <v/>
      </c>
    </row>
    <row r="248" spans="1:22">
      <c r="A248" s="67" t="str">
        <f>IF('03_Tecnologie'!A248="","",'03_Tecnologie'!A248)</f>
        <v/>
      </c>
      <c r="B248" s="67" t="str">
        <f>IF($A248="","",'03_Tecnologie'!D248)</f>
        <v/>
      </c>
      <c r="C248" s="67" t="str">
        <f>IF($A248="","",'03_Tecnologie'!B248)</f>
        <v/>
      </c>
      <c r="D248" s="67" t="str">
        <f>IF($A248="","",'03_Tecnologie'!F248)</f>
        <v/>
      </c>
      <c r="E248" s="63" t="str">
        <f>IF($A248="","",COUNTIF('04_Componenti'!$B$4:$B$1000,$A248))</f>
        <v/>
      </c>
      <c r="F248" s="63" t="str">
        <f>IF($A248="","",COUNTIF('05_Descrizione'!$B$4:$B$1000,$A248))</f>
        <v/>
      </c>
      <c r="G248" s="63" t="str">
        <f>IF($A248="","",COUNTIF('06_Avanzamento'!$B$4:$B$1000,$A248))</f>
        <v/>
      </c>
      <c r="H248" s="63" t="str">
        <f>IF($A248="","",COUNTIF('07_TRL_TLR'!$B$4:$B$1000,$A248))</f>
        <v/>
      </c>
      <c r="I248" s="63" t="str">
        <f>IF($A248="","",COUNTIF('08_Costi_Compet'!$B$4:$B$1000,$A248))</f>
        <v/>
      </c>
      <c r="J248" s="63" t="str">
        <f>IF($A248="","",COUNTIF('09_Settori_Impatto'!$B$4:$B$1000,$A248))</f>
        <v/>
      </c>
      <c r="K248" s="63" t="str">
        <f>IF($A248="","",COUNTIF('16_Mercati_Riferimento'!$B$4:$B$1000,$A248))</f>
        <v/>
      </c>
      <c r="L248" s="22" t="str">
        <f>IF($A248="","",COUNTIF('10_Sostenibilita'!$B$4:$B$1000,$A248))</f>
        <v/>
      </c>
      <c r="M248" s="63" t="str">
        <f>IF($A248="","",COUNTIF('11_Best_Practice'!$B$4:$B$1000,$A248))</f>
        <v/>
      </c>
      <c r="N248" s="63" t="str">
        <f>IF($A248="","",COUNTIF('12_Policy_Regolazione'!$B$4:$B$1000,$A248))</f>
        <v/>
      </c>
      <c r="O248" s="63" t="str">
        <f>IF($A248="","",COUNTIF('13_Barriere_Opp'!$B$4:$B$1000,$A248))</f>
        <v/>
      </c>
      <c r="P248" s="63" t="str">
        <f>IF($A248="","",COUNTIF('14_Attori_Imprese'!$B$4:$B$1000,$A248))</f>
        <v/>
      </c>
      <c r="Q248" s="63" t="str">
        <f>IF($A248="","",COUNTIF('15_Prestazioni'!$B$4:$B$1000,$A248))</f>
        <v/>
      </c>
      <c r="R248" s="64" t="str">
        <f t="shared" si="12"/>
        <v/>
      </c>
      <c r="S248" s="65" t="str">
        <f>IF($A248="","",IFERROR(AVERAGEIF('07_TRL_TLR'!$B$4:$B$1000,$A248,'07_TRL_TLR'!$F$4:$F$1000),""))</f>
        <v/>
      </c>
      <c r="T248" s="63" t="str">
        <f t="shared" si="13"/>
        <v/>
      </c>
      <c r="U248" s="66" t="str">
        <f t="shared" si="14"/>
        <v/>
      </c>
      <c r="V248" s="66" t="str">
        <f t="shared" si="15"/>
        <v/>
      </c>
    </row>
    <row r="249" spans="1:22">
      <c r="A249" s="67" t="str">
        <f>IF('03_Tecnologie'!A249="","",'03_Tecnologie'!A249)</f>
        <v/>
      </c>
      <c r="B249" s="67" t="str">
        <f>IF($A249="","",'03_Tecnologie'!D249)</f>
        <v/>
      </c>
      <c r="C249" s="67" t="str">
        <f>IF($A249="","",'03_Tecnologie'!B249)</f>
        <v/>
      </c>
      <c r="D249" s="67" t="str">
        <f>IF($A249="","",'03_Tecnologie'!F249)</f>
        <v/>
      </c>
      <c r="E249" s="63" t="str">
        <f>IF($A249="","",COUNTIF('04_Componenti'!$B$4:$B$1000,$A249))</f>
        <v/>
      </c>
      <c r="F249" s="63" t="str">
        <f>IF($A249="","",COUNTIF('05_Descrizione'!$B$4:$B$1000,$A249))</f>
        <v/>
      </c>
      <c r="G249" s="63" t="str">
        <f>IF($A249="","",COUNTIF('06_Avanzamento'!$B$4:$B$1000,$A249))</f>
        <v/>
      </c>
      <c r="H249" s="63" t="str">
        <f>IF($A249="","",COUNTIF('07_TRL_TLR'!$B$4:$B$1000,$A249))</f>
        <v/>
      </c>
      <c r="I249" s="63" t="str">
        <f>IF($A249="","",COUNTIF('08_Costi_Compet'!$B$4:$B$1000,$A249))</f>
        <v/>
      </c>
      <c r="J249" s="63" t="str">
        <f>IF($A249="","",COUNTIF('09_Settori_Impatto'!$B$4:$B$1000,$A249))</f>
        <v/>
      </c>
      <c r="K249" s="63" t="str">
        <f>IF($A249="","",COUNTIF('16_Mercati_Riferimento'!$B$4:$B$1000,$A249))</f>
        <v/>
      </c>
      <c r="L249" s="22" t="str">
        <f>IF($A249="","",COUNTIF('10_Sostenibilita'!$B$4:$B$1000,$A249))</f>
        <v/>
      </c>
      <c r="M249" s="63" t="str">
        <f>IF($A249="","",COUNTIF('11_Best_Practice'!$B$4:$B$1000,$A249))</f>
        <v/>
      </c>
      <c r="N249" s="63" t="str">
        <f>IF($A249="","",COUNTIF('12_Policy_Regolazione'!$B$4:$B$1000,$A249))</f>
        <v/>
      </c>
      <c r="O249" s="63" t="str">
        <f>IF($A249="","",COUNTIF('13_Barriere_Opp'!$B$4:$B$1000,$A249))</f>
        <v/>
      </c>
      <c r="P249" s="63" t="str">
        <f>IF($A249="","",COUNTIF('14_Attori_Imprese'!$B$4:$B$1000,$A249))</f>
        <v/>
      </c>
      <c r="Q249" s="63" t="str">
        <f>IF($A249="","",COUNTIF('15_Prestazioni'!$B$4:$B$1000,$A249))</f>
        <v/>
      </c>
      <c r="R249" s="64" t="str">
        <f t="shared" si="12"/>
        <v/>
      </c>
      <c r="S249" s="65" t="str">
        <f>IF($A249="","",IFERROR(AVERAGEIF('07_TRL_TLR'!$B$4:$B$1000,$A249,'07_TRL_TLR'!$F$4:$F$1000),""))</f>
        <v/>
      </c>
      <c r="T249" s="63" t="str">
        <f t="shared" si="13"/>
        <v/>
      </c>
      <c r="U249" s="66" t="str">
        <f t="shared" si="14"/>
        <v/>
      </c>
      <c r="V249" s="66" t="str">
        <f t="shared" si="15"/>
        <v/>
      </c>
    </row>
    <row r="250" spans="1:22">
      <c r="A250" s="67" t="str">
        <f>IF('03_Tecnologie'!A250="","",'03_Tecnologie'!A250)</f>
        <v/>
      </c>
      <c r="B250" s="67" t="str">
        <f>IF($A250="","",'03_Tecnologie'!D250)</f>
        <v/>
      </c>
      <c r="C250" s="67" t="str">
        <f>IF($A250="","",'03_Tecnologie'!B250)</f>
        <v/>
      </c>
      <c r="D250" s="67" t="str">
        <f>IF($A250="","",'03_Tecnologie'!F250)</f>
        <v/>
      </c>
      <c r="E250" s="63" t="str">
        <f>IF($A250="","",COUNTIF('04_Componenti'!$B$4:$B$1000,$A250))</f>
        <v/>
      </c>
      <c r="F250" s="63" t="str">
        <f>IF($A250="","",COUNTIF('05_Descrizione'!$B$4:$B$1000,$A250))</f>
        <v/>
      </c>
      <c r="G250" s="63" t="str">
        <f>IF($A250="","",COUNTIF('06_Avanzamento'!$B$4:$B$1000,$A250))</f>
        <v/>
      </c>
      <c r="H250" s="63" t="str">
        <f>IF($A250="","",COUNTIF('07_TRL_TLR'!$B$4:$B$1000,$A250))</f>
        <v/>
      </c>
      <c r="I250" s="63" t="str">
        <f>IF($A250="","",COUNTIF('08_Costi_Compet'!$B$4:$B$1000,$A250))</f>
        <v/>
      </c>
      <c r="J250" s="63" t="str">
        <f>IF($A250="","",COUNTIF('09_Settori_Impatto'!$B$4:$B$1000,$A250))</f>
        <v/>
      </c>
      <c r="K250" s="63" t="str">
        <f>IF($A250="","",COUNTIF('16_Mercati_Riferimento'!$B$4:$B$1000,$A250))</f>
        <v/>
      </c>
      <c r="L250" s="22" t="str">
        <f>IF($A250="","",COUNTIF('10_Sostenibilita'!$B$4:$B$1000,$A250))</f>
        <v/>
      </c>
      <c r="M250" s="63" t="str">
        <f>IF($A250="","",COUNTIF('11_Best_Practice'!$B$4:$B$1000,$A250))</f>
        <v/>
      </c>
      <c r="N250" s="63" t="str">
        <f>IF($A250="","",COUNTIF('12_Policy_Regolazione'!$B$4:$B$1000,$A250))</f>
        <v/>
      </c>
      <c r="O250" s="63" t="str">
        <f>IF($A250="","",COUNTIF('13_Barriere_Opp'!$B$4:$B$1000,$A250))</f>
        <v/>
      </c>
      <c r="P250" s="63" t="str">
        <f>IF($A250="","",COUNTIF('14_Attori_Imprese'!$B$4:$B$1000,$A250))</f>
        <v/>
      </c>
      <c r="Q250" s="63" t="str">
        <f>IF($A250="","",COUNTIF('15_Prestazioni'!$B$4:$B$1000,$A250))</f>
        <v/>
      </c>
      <c r="R250" s="64" t="str">
        <f t="shared" si="12"/>
        <v/>
      </c>
      <c r="S250" s="65" t="str">
        <f>IF($A250="","",IFERROR(AVERAGEIF('07_TRL_TLR'!$B$4:$B$1000,$A250,'07_TRL_TLR'!$F$4:$F$1000),""))</f>
        <v/>
      </c>
      <c r="T250" s="63" t="str">
        <f t="shared" si="13"/>
        <v/>
      </c>
      <c r="U250" s="66" t="str">
        <f t="shared" si="14"/>
        <v/>
      </c>
      <c r="V250" s="66" t="str">
        <f t="shared" si="15"/>
        <v/>
      </c>
    </row>
  </sheetData>
  <mergeCells count="2">
    <mergeCell ref="A1:P1"/>
    <mergeCell ref="A2:P2"/>
  </mergeCells>
  <conditionalFormatting sqref="R4:R250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S4:S250">
    <cfRule type="colorScale" priority="2">
      <colorScale>
        <cfvo type="num" val="1"/>
        <cfvo type="num" val="5"/>
        <cfvo type="num" val="9"/>
        <color rgb="FFF8696B"/>
        <color rgb="FFFFEB84"/>
        <color rgb="FF63BE7B"/>
      </colorScale>
    </cfRule>
  </conditionalFormatting>
  <conditionalFormatting sqref="U4:U250">
    <cfRule type="expression" dxfId="17" priority="6">
      <formula>$U4="Da avviare"</formula>
    </cfRule>
    <cfRule type="expression" dxfId="16" priority="7">
      <formula>$U4="Copertura base"</formula>
    </cfRule>
    <cfRule type="expression" dxfId="15" priority="8">
      <formula>$U4="Copertura avanzata"</formula>
    </cfRule>
  </conditionalFormatting>
  <conditionalFormatting sqref="V4:V250">
    <cfRule type="expression" dxfId="14" priority="3">
      <formula>$V4="Alta priorita"</formula>
    </cfRule>
    <cfRule type="expression" dxfId="13" priority="4">
      <formula>$V4="Media priorita"</formula>
    </cfRule>
    <cfRule type="expression" dxfId="12" priority="5">
      <formula>$V4="Presidio adeguato"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>
      <selection activeCell="L5" sqref="L5"/>
    </sheetView>
  </sheetViews>
  <sheetFormatPr defaultRowHeight="14.45"/>
  <cols>
    <col min="1" max="1" width="12" customWidth="1"/>
    <col min="2" max="3" width="24" customWidth="1"/>
    <col min="4" max="4" width="16" customWidth="1"/>
    <col min="5" max="5" width="18" customWidth="1"/>
    <col min="6" max="6" width="16" customWidth="1"/>
    <col min="7" max="9" width="14" customWidth="1"/>
    <col min="10" max="10" width="16" customWidth="1"/>
    <col min="11" max="11" width="18" customWidth="1"/>
    <col min="12" max="12" width="16" customWidth="1"/>
  </cols>
  <sheetData>
    <row r="1" spans="1:12">
      <c r="A1" s="25" t="s">
        <v>81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>
      <c r="A2" s="25" t="s">
        <v>82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2">
      <c r="A4" s="25" t="s">
        <v>64</v>
      </c>
      <c r="B4" s="25" t="s">
        <v>23</v>
      </c>
      <c r="C4" s="25" t="s">
        <v>29</v>
      </c>
      <c r="D4" s="25" t="s">
        <v>30</v>
      </c>
      <c r="E4" s="25" t="s">
        <v>58</v>
      </c>
      <c r="F4" s="25" t="s">
        <v>83</v>
      </c>
      <c r="G4" s="25" t="s">
        <v>84</v>
      </c>
      <c r="H4" s="25" t="s">
        <v>85</v>
      </c>
      <c r="I4" s="25" t="s">
        <v>86</v>
      </c>
      <c r="J4" s="25" t="s">
        <v>87</v>
      </c>
      <c r="K4" s="25" t="s">
        <v>88</v>
      </c>
      <c r="L4" s="25" t="s">
        <v>89</v>
      </c>
    </row>
    <row r="5" spans="1:12">
      <c r="A5" s="25" t="s">
        <v>90</v>
      </c>
      <c r="B5" s="25" t="s">
        <v>91</v>
      </c>
      <c r="C5" s="25" t="s">
        <v>92</v>
      </c>
      <c r="D5" s="25" t="s">
        <v>93</v>
      </c>
      <c r="E5" s="25" t="s">
        <v>94</v>
      </c>
      <c r="F5" s="25" t="s">
        <v>95</v>
      </c>
      <c r="G5" s="25" t="s">
        <v>96</v>
      </c>
      <c r="H5" s="25" t="s">
        <v>97</v>
      </c>
      <c r="I5" s="25" t="s">
        <v>98</v>
      </c>
      <c r="J5" s="25" t="s">
        <v>99</v>
      </c>
      <c r="K5" s="25" t="s">
        <v>100</v>
      </c>
      <c r="L5" s="25" t="s">
        <v>101</v>
      </c>
    </row>
    <row r="6" spans="1:12">
      <c r="A6" s="25" t="s">
        <v>102</v>
      </c>
      <c r="B6" s="25" t="s">
        <v>103</v>
      </c>
      <c r="C6" s="25" t="s">
        <v>92</v>
      </c>
      <c r="D6" s="25" t="s">
        <v>93</v>
      </c>
      <c r="E6" s="25" t="s">
        <v>94</v>
      </c>
      <c r="F6" s="25" t="s">
        <v>95</v>
      </c>
      <c r="G6" s="25" t="s">
        <v>104</v>
      </c>
      <c r="H6" s="25" t="s">
        <v>105</v>
      </c>
      <c r="I6" s="25" t="s">
        <v>106</v>
      </c>
      <c r="J6" s="25" t="s">
        <v>99</v>
      </c>
      <c r="K6" s="25" t="s">
        <v>107</v>
      </c>
      <c r="L6" s="25" t="s">
        <v>101</v>
      </c>
    </row>
    <row r="7" spans="1:12">
      <c r="A7" s="25" t="s">
        <v>108</v>
      </c>
      <c r="B7" s="25" t="s">
        <v>109</v>
      </c>
      <c r="C7" s="25" t="s">
        <v>92</v>
      </c>
      <c r="D7" s="25" t="s">
        <v>110</v>
      </c>
      <c r="E7" s="25" t="s">
        <v>111</v>
      </c>
      <c r="F7" s="25" t="s">
        <v>95</v>
      </c>
      <c r="G7" s="25" t="s">
        <v>112</v>
      </c>
      <c r="H7" s="25" t="s">
        <v>113</v>
      </c>
      <c r="I7" s="25" t="s">
        <v>114</v>
      </c>
      <c r="J7" s="25" t="s">
        <v>115</v>
      </c>
      <c r="K7" s="25" t="s">
        <v>116</v>
      </c>
      <c r="L7" s="25" t="s">
        <v>101</v>
      </c>
    </row>
    <row r="8" spans="1:12">
      <c r="A8" s="25" t="s">
        <v>117</v>
      </c>
      <c r="B8" s="25" t="s">
        <v>118</v>
      </c>
      <c r="C8" s="25" t="s">
        <v>119</v>
      </c>
      <c r="D8" s="25" t="s">
        <v>110</v>
      </c>
      <c r="E8" s="25" t="s">
        <v>111</v>
      </c>
      <c r="F8" s="25" t="s">
        <v>95</v>
      </c>
      <c r="G8" s="25" t="s">
        <v>110</v>
      </c>
      <c r="H8" s="25" t="s">
        <v>120</v>
      </c>
      <c r="I8" s="25" t="s">
        <v>121</v>
      </c>
      <c r="J8" s="25" t="s">
        <v>122</v>
      </c>
      <c r="K8" s="25" t="s">
        <v>123</v>
      </c>
      <c r="L8" s="25" t="s">
        <v>101</v>
      </c>
    </row>
    <row r="9" spans="1:12">
      <c r="A9" s="25" t="s">
        <v>124</v>
      </c>
      <c r="B9" s="25" t="s">
        <v>125</v>
      </c>
      <c r="C9" s="25" t="s">
        <v>119</v>
      </c>
      <c r="D9" s="25" t="s">
        <v>93</v>
      </c>
      <c r="E9" s="25" t="s">
        <v>94</v>
      </c>
      <c r="F9" s="25" t="s">
        <v>126</v>
      </c>
      <c r="G9" s="25" t="s">
        <v>127</v>
      </c>
      <c r="H9" s="25" t="s">
        <v>128</v>
      </c>
      <c r="I9" s="25" t="s">
        <v>129</v>
      </c>
      <c r="J9" s="25" t="s">
        <v>122</v>
      </c>
      <c r="K9" s="25" t="s">
        <v>130</v>
      </c>
      <c r="L9" s="25" t="s">
        <v>101</v>
      </c>
    </row>
    <row r="10" spans="1:12">
      <c r="A10" s="25" t="s">
        <v>131</v>
      </c>
      <c r="B10" s="25" t="s">
        <v>132</v>
      </c>
      <c r="C10" s="25" t="s">
        <v>119</v>
      </c>
      <c r="D10" s="25" t="s">
        <v>110</v>
      </c>
      <c r="E10" s="25" t="s">
        <v>111</v>
      </c>
      <c r="F10" s="25" t="s">
        <v>95</v>
      </c>
      <c r="G10" s="25" t="s">
        <v>110</v>
      </c>
      <c r="H10" s="25" t="s">
        <v>133</v>
      </c>
      <c r="I10" s="25" t="s">
        <v>134</v>
      </c>
      <c r="J10" s="25" t="s">
        <v>122</v>
      </c>
      <c r="K10" s="25" t="s">
        <v>135</v>
      </c>
      <c r="L10" s="25" t="s">
        <v>101</v>
      </c>
    </row>
    <row r="11" spans="1:12">
      <c r="A11" s="25" t="s">
        <v>136</v>
      </c>
      <c r="B11" s="25" t="s">
        <v>137</v>
      </c>
      <c r="C11" s="25" t="s">
        <v>119</v>
      </c>
      <c r="D11" s="25" t="s">
        <v>93</v>
      </c>
      <c r="E11" s="25" t="s">
        <v>94</v>
      </c>
      <c r="F11" s="25" t="s">
        <v>95</v>
      </c>
      <c r="G11" s="25" t="s">
        <v>138</v>
      </c>
      <c r="H11" s="25" t="s">
        <v>139</v>
      </c>
      <c r="I11" s="25" t="s">
        <v>140</v>
      </c>
      <c r="J11" s="25" t="s">
        <v>141</v>
      </c>
      <c r="K11" s="25" t="s">
        <v>142</v>
      </c>
      <c r="L11" s="25" t="s">
        <v>101</v>
      </c>
    </row>
    <row r="12" spans="1:12">
      <c r="A12" s="25" t="s">
        <v>143</v>
      </c>
      <c r="B12" s="25" t="s">
        <v>144</v>
      </c>
      <c r="C12" s="25" t="s">
        <v>119</v>
      </c>
      <c r="D12" s="25" t="s">
        <v>93</v>
      </c>
      <c r="E12" s="25" t="s">
        <v>94</v>
      </c>
      <c r="F12" s="25" t="s">
        <v>126</v>
      </c>
      <c r="G12" s="25" t="s">
        <v>145</v>
      </c>
      <c r="H12" s="25" t="s">
        <v>146</v>
      </c>
      <c r="I12" s="25" t="s">
        <v>147</v>
      </c>
      <c r="J12" s="25" t="s">
        <v>148</v>
      </c>
      <c r="K12" s="25" t="s">
        <v>149</v>
      </c>
      <c r="L12" s="25" t="s">
        <v>101</v>
      </c>
    </row>
    <row r="13" spans="1:12">
      <c r="A13" s="25" t="s">
        <v>150</v>
      </c>
      <c r="B13" s="25" t="s">
        <v>151</v>
      </c>
      <c r="C13" s="25" t="s">
        <v>119</v>
      </c>
      <c r="D13" s="25" t="s">
        <v>93</v>
      </c>
      <c r="E13" s="25" t="s">
        <v>94</v>
      </c>
      <c r="F13" s="25" t="s">
        <v>126</v>
      </c>
      <c r="G13" s="25" t="s">
        <v>145</v>
      </c>
      <c r="H13" s="25" t="s">
        <v>152</v>
      </c>
      <c r="I13" s="25" t="s">
        <v>153</v>
      </c>
      <c r="J13" s="25" t="s">
        <v>122</v>
      </c>
      <c r="K13" s="25" t="s">
        <v>154</v>
      </c>
      <c r="L13" s="25" t="s">
        <v>101</v>
      </c>
    </row>
    <row r="14" spans="1:12">
      <c r="A14" s="25" t="s">
        <v>155</v>
      </c>
      <c r="B14" s="25" t="s">
        <v>156</v>
      </c>
      <c r="C14" s="25" t="s">
        <v>157</v>
      </c>
      <c r="D14" s="25" t="s">
        <v>93</v>
      </c>
      <c r="E14" s="25" t="s">
        <v>158</v>
      </c>
      <c r="F14" s="25" t="s">
        <v>126</v>
      </c>
      <c r="G14" s="25" t="s">
        <v>145</v>
      </c>
      <c r="H14" s="25" t="s">
        <v>146</v>
      </c>
      <c r="I14" s="25" t="s">
        <v>159</v>
      </c>
      <c r="J14" s="25" t="s">
        <v>148</v>
      </c>
      <c r="K14" s="25" t="s">
        <v>160</v>
      </c>
      <c r="L14" s="25" t="s">
        <v>101</v>
      </c>
    </row>
    <row r="15" spans="1:12">
      <c r="A15" s="25" t="s">
        <v>161</v>
      </c>
      <c r="B15" s="25" t="s">
        <v>162</v>
      </c>
      <c r="C15" s="25" t="s">
        <v>163</v>
      </c>
      <c r="D15" s="25" t="s">
        <v>110</v>
      </c>
      <c r="E15" s="25" t="s">
        <v>111</v>
      </c>
      <c r="F15" s="25" t="s">
        <v>164</v>
      </c>
      <c r="G15" s="25" t="s">
        <v>165</v>
      </c>
      <c r="H15" s="25" t="s">
        <v>166</v>
      </c>
      <c r="I15" s="25" t="s">
        <v>167</v>
      </c>
      <c r="J15" s="25" t="s">
        <v>168</v>
      </c>
      <c r="K15" s="25" t="s">
        <v>169</v>
      </c>
      <c r="L15" s="25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showGridLines="0" topLeftCell="A2" zoomScale="130" zoomScaleNormal="130" workbookViewId="0">
      <selection activeCell="E16" sqref="E16:H16"/>
    </sheetView>
  </sheetViews>
  <sheetFormatPr defaultRowHeight="14.45"/>
  <cols>
    <col min="1" max="1" width="18" customWidth="1"/>
    <col min="2" max="2" width="26" customWidth="1"/>
    <col min="3" max="3" width="20" customWidth="1"/>
    <col min="4" max="4" width="24" customWidth="1"/>
    <col min="5" max="6" width="22" customWidth="1"/>
    <col min="7" max="7" width="20" customWidth="1"/>
    <col min="8" max="8" width="24" customWidth="1"/>
  </cols>
  <sheetData>
    <row r="1" spans="1:8" ht="27.95" customHeight="1">
      <c r="A1" s="68" t="s">
        <v>170</v>
      </c>
      <c r="B1" s="45"/>
      <c r="C1" s="45"/>
      <c r="D1" s="45"/>
      <c r="E1" s="45"/>
      <c r="F1" s="45"/>
      <c r="G1" s="45"/>
      <c r="H1" s="45"/>
    </row>
    <row r="2" spans="1:8" ht="42" customHeight="1">
      <c r="A2" s="44" t="s">
        <v>171</v>
      </c>
      <c r="B2" s="45"/>
      <c r="C2" s="45"/>
      <c r="D2" s="45"/>
      <c r="E2" s="45"/>
      <c r="F2" s="45"/>
      <c r="G2" s="45"/>
      <c r="H2" s="45"/>
    </row>
    <row r="3" spans="1:8" ht="21.95" customHeight="1">
      <c r="A3" s="43" t="s">
        <v>172</v>
      </c>
      <c r="B3" s="45"/>
      <c r="C3" s="45"/>
      <c r="D3" s="45"/>
      <c r="E3" s="45"/>
      <c r="F3" s="45"/>
      <c r="G3" s="45"/>
      <c r="H3" s="45"/>
    </row>
    <row r="4" spans="1:8">
      <c r="A4" s="41" t="s">
        <v>173</v>
      </c>
      <c r="B4" s="45"/>
      <c r="C4" s="45"/>
      <c r="D4" s="45"/>
      <c r="E4" s="41" t="s">
        <v>174</v>
      </c>
      <c r="F4" s="45"/>
      <c r="G4" s="45"/>
      <c r="H4" s="45"/>
    </row>
    <row r="5" spans="1:8">
      <c r="A5" s="40" t="s">
        <v>175</v>
      </c>
      <c r="B5" s="45"/>
      <c r="C5" s="45"/>
      <c r="D5" s="45"/>
      <c r="E5" s="40" t="s">
        <v>176</v>
      </c>
      <c r="F5" s="45"/>
      <c r="G5" s="45"/>
      <c r="H5" s="45"/>
    </row>
    <row r="6" spans="1:8">
      <c r="A6" s="40" t="s">
        <v>177</v>
      </c>
      <c r="B6" s="45"/>
      <c r="C6" s="45"/>
      <c r="D6" s="45"/>
      <c r="E6" s="40" t="s">
        <v>178</v>
      </c>
      <c r="F6" s="45"/>
      <c r="G6" s="45"/>
      <c r="H6" s="45"/>
    </row>
    <row r="7" spans="1:8">
      <c r="A7" s="40" t="s">
        <v>179</v>
      </c>
      <c r="B7" s="45"/>
      <c r="C7" s="45"/>
      <c r="D7" s="45"/>
      <c r="E7" s="40" t="s">
        <v>180</v>
      </c>
      <c r="F7" s="45"/>
      <c r="G7" s="45"/>
      <c r="H7" s="45"/>
    </row>
    <row r="8" spans="1:8" ht="30" customHeight="1">
      <c r="A8" s="40" t="s">
        <v>181</v>
      </c>
      <c r="B8" s="45"/>
      <c r="C8" s="45"/>
      <c r="D8" s="45"/>
      <c r="E8" s="40" t="s">
        <v>182</v>
      </c>
      <c r="F8" s="45"/>
      <c r="G8" s="45"/>
      <c r="H8" s="45"/>
    </row>
    <row r="11" spans="1:8">
      <c r="A11" s="41" t="s">
        <v>183</v>
      </c>
      <c r="B11" s="45"/>
      <c r="C11" s="45"/>
      <c r="D11" s="45"/>
      <c r="E11" s="41" t="s">
        <v>184</v>
      </c>
      <c r="F11" s="45"/>
      <c r="G11" s="45"/>
      <c r="H11" s="45"/>
    </row>
    <row r="12" spans="1:8">
      <c r="A12" s="40" t="s">
        <v>185</v>
      </c>
      <c r="B12" s="45"/>
      <c r="C12" s="45"/>
      <c r="D12" s="45"/>
      <c r="E12" s="40" t="s">
        <v>186</v>
      </c>
      <c r="F12" s="45"/>
      <c r="G12" s="45"/>
      <c r="H12" s="45"/>
    </row>
    <row r="13" spans="1:8">
      <c r="A13" s="40" t="s">
        <v>187</v>
      </c>
      <c r="B13" s="45"/>
      <c r="C13" s="45"/>
      <c r="D13" s="45"/>
      <c r="E13" s="40" t="s">
        <v>188</v>
      </c>
      <c r="F13" s="45"/>
      <c r="G13" s="45"/>
      <c r="H13" s="45"/>
    </row>
    <row r="14" spans="1:8">
      <c r="A14" s="40" t="s">
        <v>189</v>
      </c>
      <c r="B14" s="45"/>
      <c r="C14" s="45"/>
      <c r="D14" s="45"/>
      <c r="E14" s="40" t="s">
        <v>190</v>
      </c>
      <c r="F14" s="45"/>
      <c r="G14" s="45"/>
      <c r="H14" s="45"/>
    </row>
    <row r="15" spans="1:8">
      <c r="A15" s="40" t="s">
        <v>191</v>
      </c>
      <c r="B15" s="45"/>
      <c r="C15" s="45"/>
      <c r="D15" s="45"/>
      <c r="E15" s="40" t="s">
        <v>192</v>
      </c>
      <c r="F15" s="45"/>
      <c r="G15" s="45"/>
      <c r="H15" s="45"/>
    </row>
    <row r="16" spans="1:8" ht="30" customHeight="1">
      <c r="A16" s="40" t="s">
        <v>193</v>
      </c>
      <c r="B16" s="45"/>
      <c r="C16" s="45"/>
      <c r="D16" s="45"/>
      <c r="E16" s="40" t="s">
        <v>194</v>
      </c>
      <c r="F16" s="45"/>
      <c r="G16" s="45"/>
      <c r="H16" s="45"/>
    </row>
    <row r="18" spans="1:8">
      <c r="A18" s="69" t="s">
        <v>195</v>
      </c>
      <c r="B18" s="45"/>
      <c r="C18" s="45"/>
      <c r="D18" s="45"/>
      <c r="E18" s="69" t="s">
        <v>196</v>
      </c>
      <c r="F18" s="45"/>
      <c r="G18" s="45"/>
      <c r="H18" s="45"/>
    </row>
    <row r="19" spans="1:8">
      <c r="A19" s="1" t="s">
        <v>64</v>
      </c>
      <c r="B19" s="27" t="s">
        <v>117</v>
      </c>
      <c r="C19" s="27" t="s">
        <v>118</v>
      </c>
      <c r="D19" s="25"/>
      <c r="E19" s="2" t="s">
        <v>197</v>
      </c>
      <c r="F19" s="3" t="s">
        <v>198</v>
      </c>
      <c r="G19" s="25"/>
      <c r="H19" s="25"/>
    </row>
    <row r="20" spans="1:8">
      <c r="A20" s="1" t="s">
        <v>199</v>
      </c>
      <c r="B20" s="27" t="s">
        <v>200</v>
      </c>
      <c r="C20" s="27" t="s">
        <v>201</v>
      </c>
      <c r="D20" s="25"/>
      <c r="E20" s="4" t="s">
        <v>202</v>
      </c>
      <c r="F20" s="25" t="s">
        <v>198</v>
      </c>
      <c r="G20" s="25"/>
      <c r="H20" s="25"/>
    </row>
    <row r="21" spans="1:8" ht="29.1" customHeight="1">
      <c r="A21" s="1" t="s">
        <v>203</v>
      </c>
      <c r="B21" s="27" t="s">
        <v>204</v>
      </c>
      <c r="C21" s="27" t="s">
        <v>205</v>
      </c>
      <c r="D21" s="25"/>
      <c r="E21" s="5" t="s">
        <v>206</v>
      </c>
      <c r="F21" s="6" t="s">
        <v>198</v>
      </c>
      <c r="G21" s="25"/>
      <c r="H21" s="25"/>
    </row>
    <row r="22" spans="1:8">
      <c r="A22" s="25"/>
      <c r="B22" s="25"/>
      <c r="C22" s="25"/>
      <c r="D22" s="25"/>
      <c r="E22" s="7" t="s">
        <v>207</v>
      </c>
      <c r="F22" s="8" t="s">
        <v>198</v>
      </c>
      <c r="G22" s="25"/>
      <c r="H22" s="25"/>
    </row>
    <row r="24" spans="1:8" ht="33.950000000000003" customHeight="1">
      <c r="A24" s="42" t="s">
        <v>208</v>
      </c>
      <c r="B24" s="45"/>
      <c r="C24" s="45"/>
      <c r="D24" s="45"/>
      <c r="E24" s="45"/>
      <c r="F24" s="45"/>
      <c r="G24" s="45"/>
      <c r="H24" s="45"/>
    </row>
    <row r="25" spans="1:8">
      <c r="A25" s="25" t="s">
        <v>209</v>
      </c>
      <c r="B25" s="25"/>
      <c r="C25" s="25"/>
      <c r="D25" s="25"/>
      <c r="E25" s="25"/>
      <c r="F25" s="25"/>
      <c r="G25" s="25"/>
      <c r="H25" s="25"/>
    </row>
  </sheetData>
  <mergeCells count="28">
    <mergeCell ref="A1:H1"/>
    <mergeCell ref="A13:D13"/>
    <mergeCell ref="E18:H18"/>
    <mergeCell ref="E12:H12"/>
    <mergeCell ref="A15:D15"/>
    <mergeCell ref="A11:D11"/>
    <mergeCell ref="E5:H5"/>
    <mergeCell ref="E14:H14"/>
    <mergeCell ref="A3:H3"/>
    <mergeCell ref="A6:D6"/>
    <mergeCell ref="E8:H8"/>
    <mergeCell ref="A2:H2"/>
    <mergeCell ref="E4:H4"/>
    <mergeCell ref="A7:D7"/>
    <mergeCell ref="A16:D16"/>
    <mergeCell ref="E13:H13"/>
    <mergeCell ref="A5:D5"/>
    <mergeCell ref="A8:D8"/>
    <mergeCell ref="A4:D4"/>
    <mergeCell ref="A24:H24"/>
    <mergeCell ref="E16:H16"/>
    <mergeCell ref="E7:H7"/>
    <mergeCell ref="A18:D18"/>
    <mergeCell ref="A12:D12"/>
    <mergeCell ref="E6:H6"/>
    <mergeCell ref="E15:H15"/>
    <mergeCell ref="E11:H11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15"/>
  <sheetViews>
    <sheetView showGridLines="0" workbookViewId="0">
      <selection activeCell="A3" sqref="A3"/>
    </sheetView>
  </sheetViews>
  <sheetFormatPr defaultRowHeight="14.45"/>
  <cols>
    <col min="1" max="13" width="24" customWidth="1"/>
    <col min="14" max="14" width="14.5703125" customWidth="1"/>
    <col min="15" max="18" width="24" customWidth="1"/>
    <col min="19" max="19" width="9" customWidth="1"/>
    <col min="24" max="24" width="13" customWidth="1"/>
    <col min="25" max="25" width="14.5703125" customWidth="1"/>
    <col min="26" max="26" width="10.5703125" customWidth="1"/>
    <col min="27" max="27" width="11.140625" customWidth="1"/>
  </cols>
  <sheetData>
    <row r="1" spans="1:27" ht="28.5" customHeight="1">
      <c r="A1" s="26" t="s">
        <v>210</v>
      </c>
      <c r="B1" s="26" t="s">
        <v>211</v>
      </c>
      <c r="C1" s="26" t="s">
        <v>212</v>
      </c>
      <c r="D1" s="26" t="s">
        <v>213</v>
      </c>
      <c r="E1" s="26" t="s">
        <v>214</v>
      </c>
      <c r="F1" s="26" t="s">
        <v>215</v>
      </c>
      <c r="G1" s="26" t="s">
        <v>216</v>
      </c>
      <c r="H1" s="26" t="s">
        <v>217</v>
      </c>
      <c r="I1" s="26" t="s">
        <v>218</v>
      </c>
      <c r="J1" s="26" t="s">
        <v>219</v>
      </c>
      <c r="K1" s="26" t="s">
        <v>220</v>
      </c>
      <c r="L1" s="26" t="s">
        <v>30</v>
      </c>
      <c r="M1" s="26" t="s">
        <v>221</v>
      </c>
      <c r="N1" s="26" t="s">
        <v>222</v>
      </c>
      <c r="O1" s="26" t="s">
        <v>223</v>
      </c>
      <c r="P1" s="26" t="s">
        <v>224</v>
      </c>
      <c r="Q1" s="26" t="s">
        <v>225</v>
      </c>
      <c r="R1" s="26" t="s">
        <v>226</v>
      </c>
      <c r="S1" s="26" t="s">
        <v>35</v>
      </c>
      <c r="T1" s="26" t="s">
        <v>227</v>
      </c>
      <c r="U1" s="26" t="s">
        <v>228</v>
      </c>
      <c r="V1" s="26" t="s">
        <v>229</v>
      </c>
      <c r="W1" s="26" t="s">
        <v>230</v>
      </c>
      <c r="X1" s="26" t="s">
        <v>231</v>
      </c>
      <c r="Y1" s="26" t="s">
        <v>232</v>
      </c>
      <c r="Z1" s="26" t="s">
        <v>233</v>
      </c>
      <c r="AA1" s="26" t="s">
        <v>234</v>
      </c>
    </row>
    <row r="2" spans="1:27">
      <c r="A2" s="25" t="s">
        <v>92</v>
      </c>
      <c r="B2" s="25" t="s">
        <v>94</v>
      </c>
      <c r="C2" s="25" t="s">
        <v>23</v>
      </c>
      <c r="D2" s="25" t="s">
        <v>235</v>
      </c>
      <c r="E2" s="25" t="s">
        <v>236</v>
      </c>
      <c r="F2" s="25" t="s">
        <v>237</v>
      </c>
      <c r="G2" s="25" t="s">
        <v>238</v>
      </c>
      <c r="H2" s="25" t="s">
        <v>239</v>
      </c>
      <c r="I2" s="25" t="s">
        <v>240</v>
      </c>
      <c r="J2" s="25" t="s">
        <v>241</v>
      </c>
      <c r="K2" s="25" t="s">
        <v>242</v>
      </c>
      <c r="L2" s="25" t="s">
        <v>243</v>
      </c>
      <c r="M2" s="25" t="s">
        <v>244</v>
      </c>
      <c r="N2" s="25" t="s">
        <v>245</v>
      </c>
      <c r="O2" s="25" t="s">
        <v>122</v>
      </c>
      <c r="P2" s="25" t="s">
        <v>246</v>
      </c>
      <c r="Q2" s="25" t="s">
        <v>247</v>
      </c>
      <c r="R2" s="25" t="s">
        <v>248</v>
      </c>
      <c r="S2" s="25" t="s">
        <v>245</v>
      </c>
      <c r="T2" s="25" t="s">
        <v>249</v>
      </c>
      <c r="U2" s="25" t="s">
        <v>250</v>
      </c>
      <c r="V2" s="25" t="s">
        <v>251</v>
      </c>
      <c r="W2" s="25" t="s">
        <v>110</v>
      </c>
      <c r="X2" s="25" t="s">
        <v>252</v>
      </c>
      <c r="Y2" s="25" t="s">
        <v>253</v>
      </c>
      <c r="Z2" s="25" t="s">
        <v>254</v>
      </c>
      <c r="AA2" s="25" t="s">
        <v>255</v>
      </c>
    </row>
    <row r="3" spans="1:27">
      <c r="A3" s="25" t="s">
        <v>119</v>
      </c>
      <c r="B3" s="25" t="s">
        <v>256</v>
      </c>
      <c r="C3" s="25" t="s">
        <v>257</v>
      </c>
      <c r="D3" s="25" t="s">
        <v>258</v>
      </c>
      <c r="E3" s="25" t="s">
        <v>259</v>
      </c>
      <c r="F3" s="25" t="s">
        <v>260</v>
      </c>
      <c r="G3" s="25" t="s">
        <v>261</v>
      </c>
      <c r="H3" s="25" t="s">
        <v>262</v>
      </c>
      <c r="I3" s="25" t="s">
        <v>263</v>
      </c>
      <c r="J3" s="25" t="s">
        <v>264</v>
      </c>
      <c r="K3" s="25" t="s">
        <v>265</v>
      </c>
      <c r="L3" s="25" t="s">
        <v>266</v>
      </c>
      <c r="M3" s="25" t="s">
        <v>267</v>
      </c>
      <c r="N3" s="25" t="s">
        <v>268</v>
      </c>
      <c r="O3" s="25" t="s">
        <v>269</v>
      </c>
      <c r="P3" s="25" t="s">
        <v>270</v>
      </c>
      <c r="Q3" s="25" t="s">
        <v>271</v>
      </c>
      <c r="R3" s="25" t="s">
        <v>272</v>
      </c>
      <c r="S3" s="25" t="s">
        <v>268</v>
      </c>
      <c r="T3" s="25" t="s">
        <v>273</v>
      </c>
      <c r="U3" s="25" t="s">
        <v>274</v>
      </c>
      <c r="V3" s="25" t="s">
        <v>275</v>
      </c>
      <c r="W3" s="25" t="s">
        <v>93</v>
      </c>
      <c r="X3" s="25" t="s">
        <v>276</v>
      </c>
      <c r="Y3" s="25" t="s">
        <v>277</v>
      </c>
      <c r="Z3" s="25" t="s">
        <v>278</v>
      </c>
      <c r="AA3" s="25" t="s">
        <v>279</v>
      </c>
    </row>
    <row r="4" spans="1:27">
      <c r="A4" s="25" t="s">
        <v>280</v>
      </c>
      <c r="B4" s="25" t="s">
        <v>281</v>
      </c>
      <c r="C4" s="25" t="s">
        <v>282</v>
      </c>
      <c r="D4" s="25" t="s">
        <v>283</v>
      </c>
      <c r="E4" s="25" t="s">
        <v>284</v>
      </c>
      <c r="F4" s="25" t="s">
        <v>285</v>
      </c>
      <c r="G4" s="25" t="s">
        <v>286</v>
      </c>
      <c r="H4" s="25" t="s">
        <v>287</v>
      </c>
      <c r="I4" s="25" t="s">
        <v>288</v>
      </c>
      <c r="J4" s="25" t="s">
        <v>289</v>
      </c>
      <c r="K4" s="25" t="s">
        <v>290</v>
      </c>
      <c r="L4" s="25"/>
      <c r="M4" s="25" t="s">
        <v>291</v>
      </c>
      <c r="N4" s="25" t="s">
        <v>292</v>
      </c>
      <c r="O4" s="25" t="s">
        <v>99</v>
      </c>
      <c r="P4" s="25" t="s">
        <v>293</v>
      </c>
      <c r="Q4" s="25" t="s">
        <v>294</v>
      </c>
      <c r="R4" s="25" t="s">
        <v>295</v>
      </c>
      <c r="S4" s="25" t="s">
        <v>292</v>
      </c>
      <c r="T4" s="25" t="s">
        <v>296</v>
      </c>
      <c r="U4" s="25" t="s">
        <v>297</v>
      </c>
      <c r="V4" s="25" t="s">
        <v>298</v>
      </c>
      <c r="W4" s="25" t="s">
        <v>299</v>
      </c>
      <c r="X4" s="25" t="s">
        <v>300</v>
      </c>
      <c r="Y4" s="25" t="s">
        <v>301</v>
      </c>
      <c r="Z4" s="25"/>
      <c r="AA4" s="25" t="s">
        <v>302</v>
      </c>
    </row>
    <row r="5" spans="1:27">
      <c r="A5" s="25" t="s">
        <v>303</v>
      </c>
      <c r="B5" s="25" t="s">
        <v>281</v>
      </c>
      <c r="C5" s="25"/>
      <c r="D5" s="25" t="s">
        <v>304</v>
      </c>
      <c r="E5" s="25" t="s">
        <v>305</v>
      </c>
      <c r="F5" s="25" t="s">
        <v>306</v>
      </c>
      <c r="G5" s="25" t="s">
        <v>307</v>
      </c>
      <c r="H5" s="25" t="s">
        <v>308</v>
      </c>
      <c r="I5" s="25" t="s">
        <v>309</v>
      </c>
      <c r="J5" s="25" t="s">
        <v>310</v>
      </c>
      <c r="K5" s="25" t="s">
        <v>311</v>
      </c>
      <c r="L5" s="25"/>
      <c r="M5" s="25" t="s">
        <v>312</v>
      </c>
      <c r="N5" s="25" t="s">
        <v>313</v>
      </c>
      <c r="O5" s="25" t="s">
        <v>255</v>
      </c>
      <c r="P5" s="25" t="s">
        <v>314</v>
      </c>
      <c r="Q5" s="25" t="s">
        <v>315</v>
      </c>
      <c r="R5" s="25" t="s">
        <v>316</v>
      </c>
      <c r="S5" s="25" t="s">
        <v>313</v>
      </c>
      <c r="T5" s="25"/>
      <c r="U5" s="25" t="s">
        <v>317</v>
      </c>
      <c r="V5" s="25" t="s">
        <v>318</v>
      </c>
      <c r="W5" s="25"/>
      <c r="X5" s="25"/>
      <c r="Y5" s="25" t="s">
        <v>319</v>
      </c>
      <c r="Z5" s="25"/>
      <c r="AA5" s="25"/>
    </row>
    <row r="6" spans="1:27">
      <c r="A6" s="25" t="s">
        <v>317</v>
      </c>
      <c r="B6" s="25" t="s">
        <v>281</v>
      </c>
      <c r="C6" s="25"/>
      <c r="D6" s="25" t="s">
        <v>320</v>
      </c>
      <c r="E6" s="25" t="s">
        <v>321</v>
      </c>
      <c r="F6" s="25" t="s">
        <v>322</v>
      </c>
      <c r="G6" s="25" t="s">
        <v>323</v>
      </c>
      <c r="H6" s="25" t="s">
        <v>324</v>
      </c>
      <c r="I6" s="25" t="s">
        <v>325</v>
      </c>
      <c r="J6" s="25" t="s">
        <v>326</v>
      </c>
      <c r="K6" s="25" t="s">
        <v>327</v>
      </c>
      <c r="L6" s="25"/>
      <c r="M6" s="25" t="s">
        <v>328</v>
      </c>
      <c r="N6" s="25" t="s">
        <v>329</v>
      </c>
      <c r="O6" s="25"/>
      <c r="P6" s="25" t="s">
        <v>330</v>
      </c>
      <c r="Q6" s="25"/>
      <c r="R6" s="25" t="s">
        <v>331</v>
      </c>
      <c r="S6" s="25" t="s">
        <v>329</v>
      </c>
      <c r="T6" s="25"/>
      <c r="U6" s="25"/>
      <c r="V6" s="25"/>
      <c r="W6" s="25"/>
      <c r="X6" s="25"/>
      <c r="Y6" s="25"/>
      <c r="Z6" s="25"/>
      <c r="AA6" s="25"/>
    </row>
    <row r="7" spans="1:27">
      <c r="A7" s="25"/>
      <c r="B7" s="25"/>
      <c r="C7" s="25"/>
      <c r="D7" s="25" t="s">
        <v>332</v>
      </c>
      <c r="E7" s="25" t="s">
        <v>333</v>
      </c>
      <c r="F7" s="25" t="s">
        <v>288</v>
      </c>
      <c r="G7" s="25" t="s">
        <v>334</v>
      </c>
      <c r="H7" s="25" t="s">
        <v>335</v>
      </c>
      <c r="I7" s="25" t="s">
        <v>336</v>
      </c>
      <c r="J7" s="25" t="s">
        <v>337</v>
      </c>
      <c r="K7" s="25" t="s">
        <v>338</v>
      </c>
      <c r="L7" s="25"/>
      <c r="M7" s="25" t="s">
        <v>339</v>
      </c>
      <c r="N7" s="25"/>
      <c r="O7" s="25"/>
      <c r="P7" s="25" t="s">
        <v>340</v>
      </c>
      <c r="Q7" s="25"/>
      <c r="R7" s="25"/>
      <c r="S7" s="25" t="s">
        <v>341</v>
      </c>
      <c r="T7" s="25"/>
      <c r="U7" s="25"/>
      <c r="V7" s="25"/>
      <c r="W7" s="25"/>
      <c r="X7" s="25"/>
      <c r="Y7" s="25"/>
      <c r="Z7" s="25"/>
      <c r="AA7" s="25"/>
    </row>
    <row r="8" spans="1:27">
      <c r="A8" s="25"/>
      <c r="B8" s="25"/>
      <c r="C8" s="25"/>
      <c r="D8" s="25" t="s">
        <v>342</v>
      </c>
      <c r="E8" s="25" t="s">
        <v>343</v>
      </c>
      <c r="F8" s="25" t="s">
        <v>344</v>
      </c>
      <c r="G8" s="25" t="s">
        <v>345</v>
      </c>
      <c r="H8" s="25" t="s">
        <v>346</v>
      </c>
      <c r="I8" s="25" t="s">
        <v>347</v>
      </c>
      <c r="J8" s="25" t="s">
        <v>348</v>
      </c>
      <c r="K8" s="25" t="s">
        <v>317</v>
      </c>
      <c r="L8" s="25"/>
      <c r="M8" s="25" t="s">
        <v>349</v>
      </c>
      <c r="N8" s="25"/>
      <c r="O8" s="25"/>
      <c r="P8" s="25"/>
      <c r="Q8" s="25"/>
      <c r="R8" s="25"/>
      <c r="S8" s="25" t="s">
        <v>350</v>
      </c>
      <c r="T8" s="25"/>
      <c r="U8" s="25"/>
      <c r="V8" s="25"/>
      <c r="W8" s="25"/>
      <c r="X8" s="25"/>
      <c r="Y8" s="25"/>
      <c r="Z8" s="25"/>
      <c r="AA8" s="25"/>
    </row>
    <row r="9" spans="1:27">
      <c r="A9" s="25"/>
      <c r="B9" s="25"/>
      <c r="C9" s="25"/>
      <c r="D9" s="25"/>
      <c r="E9" s="25" t="s">
        <v>317</v>
      </c>
      <c r="F9" s="25" t="s">
        <v>317</v>
      </c>
      <c r="G9" s="25" t="s">
        <v>317</v>
      </c>
      <c r="H9" s="25" t="s">
        <v>278</v>
      </c>
      <c r="I9" s="25" t="s">
        <v>351</v>
      </c>
      <c r="J9" s="25" t="s">
        <v>317</v>
      </c>
      <c r="K9" s="25"/>
      <c r="L9" s="25"/>
      <c r="M9" s="25" t="s">
        <v>317</v>
      </c>
      <c r="N9" s="25"/>
      <c r="O9" s="25"/>
      <c r="P9" s="25"/>
      <c r="Q9" s="25"/>
      <c r="R9" s="25"/>
      <c r="S9" s="25" t="s">
        <v>126</v>
      </c>
      <c r="T9" s="25"/>
      <c r="U9" s="25"/>
      <c r="V9" s="25"/>
      <c r="W9" s="25"/>
      <c r="X9" s="25"/>
      <c r="Y9" s="25"/>
      <c r="Z9" s="25"/>
      <c r="AA9" s="25"/>
    </row>
    <row r="10" spans="1:27">
      <c r="A10" s="25"/>
      <c r="B10" s="25"/>
      <c r="C10" s="25"/>
      <c r="D10" s="25"/>
      <c r="E10" s="25"/>
      <c r="F10" s="25"/>
      <c r="G10" s="25"/>
      <c r="H10" s="25"/>
      <c r="I10" s="25" t="s">
        <v>352</v>
      </c>
      <c r="J10" s="25" t="s">
        <v>353</v>
      </c>
      <c r="K10" s="25"/>
      <c r="L10" s="25"/>
      <c r="M10" s="25"/>
      <c r="N10" s="25"/>
      <c r="O10" s="25"/>
      <c r="P10" s="25"/>
      <c r="Q10" s="25"/>
      <c r="R10" s="25"/>
      <c r="S10" s="25" t="s">
        <v>95</v>
      </c>
      <c r="T10" s="25"/>
      <c r="U10" s="25"/>
      <c r="V10" s="25"/>
      <c r="W10" s="25"/>
      <c r="X10" s="25"/>
      <c r="Y10" s="25"/>
      <c r="Z10" s="25"/>
      <c r="AA10" s="25"/>
    </row>
    <row r="11" spans="1:27">
      <c r="A11" s="25"/>
      <c r="B11" s="25"/>
      <c r="C11" s="25"/>
      <c r="D11" s="25"/>
      <c r="E11" s="25"/>
      <c r="F11" s="25"/>
      <c r="G11" s="25"/>
      <c r="H11" s="25"/>
      <c r="I11" s="25" t="s">
        <v>317</v>
      </c>
      <c r="J11" s="25" t="s">
        <v>354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>
      <c r="A12" s="25"/>
      <c r="B12" s="25"/>
      <c r="C12" s="25"/>
      <c r="D12" s="25"/>
      <c r="E12" s="25"/>
      <c r="F12" s="25"/>
      <c r="G12" s="25"/>
      <c r="H12" s="25"/>
      <c r="I12" s="25"/>
      <c r="J12" s="25" t="s">
        <v>355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>
      <c r="A13" s="25"/>
      <c r="B13" s="25"/>
      <c r="C13" s="25"/>
      <c r="D13" s="25"/>
      <c r="E13" s="25"/>
      <c r="F13" s="25"/>
      <c r="G13" s="25"/>
      <c r="H13" s="25"/>
      <c r="I13" s="25"/>
      <c r="J13" s="25" t="s">
        <v>356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>
      <c r="A14" s="25"/>
      <c r="B14" s="25"/>
      <c r="C14" s="25"/>
      <c r="D14" s="25"/>
      <c r="E14" s="25"/>
      <c r="F14" s="25"/>
      <c r="G14" s="25"/>
      <c r="H14" s="25"/>
      <c r="I14" s="25"/>
      <c r="J14" s="25" t="s">
        <v>357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>
      <c r="A15" s="25"/>
      <c r="B15" s="25"/>
      <c r="C15" s="25"/>
      <c r="D15" s="25"/>
      <c r="E15" s="25"/>
      <c r="F15" s="25"/>
      <c r="G15" s="25"/>
      <c r="H15" s="25"/>
      <c r="I15" s="25"/>
      <c r="J15" s="25" t="s">
        <v>358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</sheetData>
  <dataValidations count="1">
    <dataValidation type="list" allowBlank="1" showInputMessage="1" showErrorMessage="1" sqref="A2" xr:uid="{00000000-0002-0000-0500-000000000000}">
      <formula1>MacroCategorie</formula1>
    </dataValidation>
  </dataValidations>
  <pageMargins left="0.70866141732283472" right="0.70866141732283472" top="0.74803149606299213" bottom="0.74803149606299213" header="0.31496062992125984" footer="0.31496062992125984"/>
  <pageSetup paperSize="9" scale="33" fitToWidth="2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</sheetPr>
  <dimension ref="A1:J250"/>
  <sheetViews>
    <sheetView showGridLines="0" workbookViewId="0">
      <selection activeCell="A2" sqref="A2"/>
    </sheetView>
  </sheetViews>
  <sheetFormatPr defaultRowHeight="14.45"/>
  <cols>
    <col min="1" max="1" width="12" customWidth="1"/>
    <col min="2" max="2" width="28" customWidth="1"/>
    <col min="3" max="3" width="22" customWidth="1"/>
    <col min="4" max="4" width="20" customWidth="1"/>
    <col min="5" max="5" width="44" customWidth="1"/>
    <col min="6" max="6" width="26" customWidth="1"/>
    <col min="7" max="7" width="16" customWidth="1"/>
    <col min="8" max="8" width="14" customWidth="1"/>
    <col min="9" max="9" width="16" customWidth="1"/>
    <col min="10" max="10" width="28" customWidth="1"/>
  </cols>
  <sheetData>
    <row r="1" spans="1:10" ht="24" customHeight="1">
      <c r="A1" s="28" t="s">
        <v>359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36" customHeight="1">
      <c r="A2" s="29" t="s">
        <v>360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27.95" customHeight="1">
      <c r="A3" s="9" t="s">
        <v>361</v>
      </c>
      <c r="B3" s="9" t="s">
        <v>362</v>
      </c>
      <c r="C3" s="9" t="s">
        <v>363</v>
      </c>
      <c r="D3" s="9" t="s">
        <v>364</v>
      </c>
      <c r="E3" s="9" t="s">
        <v>365</v>
      </c>
      <c r="F3" s="9" t="s">
        <v>366</v>
      </c>
      <c r="G3" s="9" t="s">
        <v>367</v>
      </c>
      <c r="H3" s="9" t="s">
        <v>368</v>
      </c>
      <c r="I3" s="9" t="s">
        <v>369</v>
      </c>
      <c r="J3" s="9" t="s">
        <v>370</v>
      </c>
    </row>
    <row r="4" spans="1:10" ht="29.1" customHeight="1">
      <c r="A4" s="10" t="s">
        <v>371</v>
      </c>
      <c r="B4" s="11" t="s">
        <v>372</v>
      </c>
      <c r="C4" s="10" t="s">
        <v>244</v>
      </c>
      <c r="D4" s="10" t="s">
        <v>373</v>
      </c>
      <c r="E4" s="12" t="s">
        <v>374</v>
      </c>
      <c r="F4" s="11" t="s">
        <v>375</v>
      </c>
      <c r="G4" s="10" t="s">
        <v>246</v>
      </c>
      <c r="H4" s="10" t="s">
        <v>247</v>
      </c>
      <c r="I4" s="10" t="s">
        <v>329</v>
      </c>
      <c r="J4" s="11" t="s">
        <v>376</v>
      </c>
    </row>
    <row r="5" spans="1:10" ht="29.1" customHeight="1">
      <c r="A5" s="10" t="s">
        <v>377</v>
      </c>
      <c r="B5" s="11" t="s">
        <v>378</v>
      </c>
      <c r="C5" s="10" t="s">
        <v>244</v>
      </c>
      <c r="D5" s="10" t="s">
        <v>373</v>
      </c>
      <c r="E5" s="12" t="s">
        <v>379</v>
      </c>
      <c r="F5" s="11" t="s">
        <v>380</v>
      </c>
      <c r="G5" s="10" t="s">
        <v>246</v>
      </c>
      <c r="H5" s="10" t="s">
        <v>247</v>
      </c>
      <c r="I5" s="10" t="s">
        <v>329</v>
      </c>
      <c r="J5" s="11"/>
    </row>
    <row r="6" spans="1:10" ht="29.1" customHeight="1">
      <c r="A6" s="10" t="s">
        <v>381</v>
      </c>
      <c r="B6" s="11" t="s">
        <v>382</v>
      </c>
      <c r="C6" s="10" t="s">
        <v>312</v>
      </c>
      <c r="D6" s="10" t="s">
        <v>382</v>
      </c>
      <c r="E6" s="12" t="s">
        <v>383</v>
      </c>
      <c r="F6" s="11" t="s">
        <v>384</v>
      </c>
      <c r="G6" s="10" t="s">
        <v>246</v>
      </c>
      <c r="H6" s="10" t="s">
        <v>247</v>
      </c>
      <c r="I6" s="10" t="s">
        <v>292</v>
      </c>
      <c r="J6" s="11" t="s">
        <v>385</v>
      </c>
    </row>
    <row r="7" spans="1:10" ht="29.1" customHeight="1">
      <c r="A7" s="10" t="s">
        <v>386</v>
      </c>
      <c r="B7" s="11" t="s">
        <v>387</v>
      </c>
      <c r="C7" s="10" t="s">
        <v>244</v>
      </c>
      <c r="D7" s="10" t="s">
        <v>388</v>
      </c>
      <c r="E7" s="12" t="s">
        <v>389</v>
      </c>
      <c r="F7" s="11" t="s">
        <v>390</v>
      </c>
      <c r="G7" s="10" t="s">
        <v>330</v>
      </c>
      <c r="H7" s="10" t="s">
        <v>271</v>
      </c>
      <c r="I7" s="10" t="s">
        <v>313</v>
      </c>
      <c r="J7" s="11"/>
    </row>
    <row r="8" spans="1:10" ht="29.1" customHeight="1">
      <c r="A8" s="10" t="s">
        <v>391</v>
      </c>
      <c r="B8" s="11" t="s">
        <v>392</v>
      </c>
      <c r="C8" s="10" t="s">
        <v>291</v>
      </c>
      <c r="D8" s="10" t="s">
        <v>393</v>
      </c>
      <c r="E8" s="12" t="s">
        <v>394</v>
      </c>
      <c r="F8" s="11" t="s">
        <v>395</v>
      </c>
      <c r="G8" s="10" t="s">
        <v>246</v>
      </c>
      <c r="H8" s="10" t="s">
        <v>247</v>
      </c>
      <c r="I8" s="10" t="s">
        <v>292</v>
      </c>
      <c r="J8" s="11"/>
    </row>
    <row r="9" spans="1:10" ht="29.1" customHeight="1">
      <c r="A9" s="10" t="s">
        <v>396</v>
      </c>
      <c r="B9" s="11" t="s">
        <v>397</v>
      </c>
      <c r="C9" s="10" t="s">
        <v>312</v>
      </c>
      <c r="D9" s="10" t="s">
        <v>397</v>
      </c>
      <c r="E9" s="12" t="s">
        <v>398</v>
      </c>
      <c r="F9" s="11" t="s">
        <v>399</v>
      </c>
      <c r="G9" s="10" t="s">
        <v>246</v>
      </c>
      <c r="H9" s="10" t="s">
        <v>247</v>
      </c>
      <c r="I9" s="10" t="s">
        <v>268</v>
      </c>
      <c r="J9" s="11" t="s">
        <v>400</v>
      </c>
    </row>
    <row r="10" spans="1:10" ht="29.1" customHeight="1">
      <c r="A10" s="10" t="s">
        <v>401</v>
      </c>
      <c r="B10" s="11" t="s">
        <v>402</v>
      </c>
      <c r="C10" s="10" t="s">
        <v>291</v>
      </c>
      <c r="D10" s="10" t="s">
        <v>403</v>
      </c>
      <c r="E10" s="12" t="s">
        <v>404</v>
      </c>
      <c r="F10" s="11" t="s">
        <v>405</v>
      </c>
      <c r="G10" s="10" t="s">
        <v>246</v>
      </c>
      <c r="H10" s="10" t="s">
        <v>247</v>
      </c>
      <c r="I10" s="10" t="s">
        <v>329</v>
      </c>
      <c r="J10" s="11"/>
    </row>
    <row r="11" spans="1:10" ht="29.1" customHeight="1">
      <c r="A11" s="10" t="s">
        <v>406</v>
      </c>
      <c r="B11" s="11" t="s">
        <v>407</v>
      </c>
      <c r="C11" s="10" t="s">
        <v>244</v>
      </c>
      <c r="D11" s="10" t="s">
        <v>408</v>
      </c>
      <c r="E11" s="12" t="s">
        <v>409</v>
      </c>
      <c r="F11" s="11" t="s">
        <v>410</v>
      </c>
      <c r="G11" s="10" t="s">
        <v>246</v>
      </c>
      <c r="H11" s="10" t="s">
        <v>247</v>
      </c>
      <c r="I11" s="10" t="s">
        <v>329</v>
      </c>
      <c r="J11" s="11"/>
    </row>
    <row r="12" spans="1:10" ht="29.1" customHeight="1">
      <c r="A12" s="10" t="s">
        <v>411</v>
      </c>
      <c r="B12" s="11" t="s">
        <v>412</v>
      </c>
      <c r="C12" s="10" t="s">
        <v>291</v>
      </c>
      <c r="D12" s="10" t="s">
        <v>412</v>
      </c>
      <c r="E12" s="12" t="s">
        <v>413</v>
      </c>
      <c r="F12" s="11" t="s">
        <v>414</v>
      </c>
      <c r="G12" s="10" t="s">
        <v>246</v>
      </c>
      <c r="H12" s="10" t="s">
        <v>271</v>
      </c>
      <c r="I12" s="10" t="s">
        <v>329</v>
      </c>
      <c r="J12" s="11"/>
    </row>
    <row r="13" spans="1:10" ht="29.1" customHeight="1">
      <c r="A13" s="10" t="s">
        <v>415</v>
      </c>
      <c r="B13" s="11" t="s">
        <v>416</v>
      </c>
      <c r="C13" s="10" t="s">
        <v>244</v>
      </c>
      <c r="D13" s="10" t="s">
        <v>417</v>
      </c>
      <c r="E13" s="12" t="s">
        <v>418</v>
      </c>
      <c r="F13" s="11" t="s">
        <v>419</v>
      </c>
      <c r="G13" s="10" t="s">
        <v>246</v>
      </c>
      <c r="H13" s="10" t="s">
        <v>247</v>
      </c>
      <c r="I13" s="10" t="s">
        <v>313</v>
      </c>
      <c r="J13" s="11"/>
    </row>
    <row r="14" spans="1:10" ht="29.1" customHeight="1">
      <c r="A14" s="10" t="s">
        <v>420</v>
      </c>
      <c r="B14" s="11" t="s">
        <v>421</v>
      </c>
      <c r="C14" s="10" t="s">
        <v>244</v>
      </c>
      <c r="D14" s="10" t="s">
        <v>422</v>
      </c>
      <c r="E14" s="12" t="s">
        <v>423</v>
      </c>
      <c r="F14" s="11" t="s">
        <v>424</v>
      </c>
      <c r="G14" s="10" t="s">
        <v>246</v>
      </c>
      <c r="H14" s="10" t="s">
        <v>247</v>
      </c>
      <c r="I14" s="10" t="s">
        <v>329</v>
      </c>
      <c r="J14" s="11"/>
    </row>
    <row r="15" spans="1:10" ht="29.1" customHeight="1">
      <c r="A15" s="10" t="s">
        <v>123</v>
      </c>
      <c r="B15" s="11" t="s">
        <v>425</v>
      </c>
      <c r="C15" s="10" t="s">
        <v>244</v>
      </c>
      <c r="D15" s="10" t="s">
        <v>373</v>
      </c>
      <c r="E15" s="11" t="s">
        <v>426</v>
      </c>
      <c r="F15" s="11" t="s">
        <v>427</v>
      </c>
      <c r="G15" s="10" t="s">
        <v>246</v>
      </c>
      <c r="H15" s="10" t="s">
        <v>247</v>
      </c>
      <c r="I15" s="10" t="s">
        <v>329</v>
      </c>
      <c r="J15" s="11" t="s">
        <v>428</v>
      </c>
    </row>
    <row r="16" spans="1:10" ht="29.1" customHeight="1">
      <c r="A16" s="10" t="s">
        <v>429</v>
      </c>
      <c r="B16" s="11" t="s">
        <v>430</v>
      </c>
      <c r="C16" s="10" t="s">
        <v>244</v>
      </c>
      <c r="D16" s="10" t="s">
        <v>422</v>
      </c>
      <c r="E16" s="11" t="s">
        <v>431</v>
      </c>
      <c r="F16" s="11" t="s">
        <v>432</v>
      </c>
      <c r="G16" s="10" t="s">
        <v>433</v>
      </c>
      <c r="H16" s="10" t="s">
        <v>247</v>
      </c>
      <c r="I16" s="10" t="s">
        <v>329</v>
      </c>
      <c r="J16" s="11" t="s">
        <v>434</v>
      </c>
    </row>
    <row r="17" spans="1:10" ht="43.5" customHeight="1">
      <c r="A17" s="10" t="s">
        <v>435</v>
      </c>
      <c r="B17" s="11" t="s">
        <v>436</v>
      </c>
      <c r="C17" s="10" t="s">
        <v>244</v>
      </c>
      <c r="D17" s="10" t="s">
        <v>422</v>
      </c>
      <c r="E17" s="11" t="s">
        <v>437</v>
      </c>
      <c r="F17" s="11" t="s">
        <v>438</v>
      </c>
      <c r="G17" s="10" t="s">
        <v>433</v>
      </c>
      <c r="H17" s="10" t="s">
        <v>247</v>
      </c>
      <c r="I17" s="10" t="s">
        <v>329</v>
      </c>
      <c r="J17" s="11" t="s">
        <v>439</v>
      </c>
    </row>
    <row r="18" spans="1:10" ht="57.95" customHeight="1">
      <c r="A18" s="10" t="s">
        <v>440</v>
      </c>
      <c r="B18" s="11" t="s">
        <v>441</v>
      </c>
      <c r="C18" s="10" t="s">
        <v>244</v>
      </c>
      <c r="D18" s="10" t="s">
        <v>422</v>
      </c>
      <c r="E18" s="11" t="s">
        <v>442</v>
      </c>
      <c r="F18" s="11" t="s">
        <v>443</v>
      </c>
      <c r="G18" s="10" t="s">
        <v>433</v>
      </c>
      <c r="H18" s="10" t="s">
        <v>247</v>
      </c>
      <c r="I18" s="10" t="s">
        <v>329</v>
      </c>
      <c r="J18" s="11" t="s">
        <v>444</v>
      </c>
    </row>
    <row r="19" spans="1:10" ht="43.5" customHeight="1">
      <c r="A19" s="10" t="s">
        <v>445</v>
      </c>
      <c r="B19" s="11" t="s">
        <v>446</v>
      </c>
      <c r="C19" s="10" t="s">
        <v>244</v>
      </c>
      <c r="D19" s="10" t="s">
        <v>447</v>
      </c>
      <c r="E19" s="11" t="s">
        <v>448</v>
      </c>
      <c r="F19" s="11" t="s">
        <v>449</v>
      </c>
      <c r="G19" s="10" t="s">
        <v>433</v>
      </c>
      <c r="H19" s="10" t="s">
        <v>247</v>
      </c>
      <c r="I19" s="10" t="s">
        <v>329</v>
      </c>
      <c r="J19" s="11" t="s">
        <v>450</v>
      </c>
    </row>
    <row r="20" spans="1:10" ht="43.5" customHeight="1">
      <c r="A20" s="10" t="s">
        <v>451</v>
      </c>
      <c r="B20" s="11" t="s">
        <v>452</v>
      </c>
      <c r="C20" s="10" t="s">
        <v>453</v>
      </c>
      <c r="D20" s="10" t="s">
        <v>454</v>
      </c>
      <c r="E20" s="11" t="s">
        <v>455</v>
      </c>
      <c r="F20" s="11" t="s">
        <v>456</v>
      </c>
      <c r="G20" s="10" t="s">
        <v>330</v>
      </c>
      <c r="H20" s="10" t="s">
        <v>247</v>
      </c>
      <c r="I20" s="10" t="s">
        <v>329</v>
      </c>
      <c r="J20" s="11" t="s">
        <v>457</v>
      </c>
    </row>
    <row r="21" spans="1:10" ht="43.5" customHeight="1">
      <c r="A21" s="10" t="s">
        <v>458</v>
      </c>
      <c r="B21" s="11" t="s">
        <v>459</v>
      </c>
      <c r="C21" s="10" t="s">
        <v>460</v>
      </c>
      <c r="D21" s="10" t="s">
        <v>403</v>
      </c>
      <c r="E21" s="11" t="s">
        <v>461</v>
      </c>
      <c r="F21" s="11" t="s">
        <v>462</v>
      </c>
      <c r="G21" s="10" t="s">
        <v>246</v>
      </c>
      <c r="H21" s="10" t="s">
        <v>247</v>
      </c>
      <c r="I21" s="10" t="s">
        <v>329</v>
      </c>
      <c r="J21" s="11" t="s">
        <v>463</v>
      </c>
    </row>
    <row r="22" spans="1:10" ht="43.5" customHeight="1">
      <c r="A22" s="10" t="s">
        <v>464</v>
      </c>
      <c r="B22" s="11" t="s">
        <v>465</v>
      </c>
      <c r="C22" s="10" t="s">
        <v>460</v>
      </c>
      <c r="D22" s="10" t="s">
        <v>403</v>
      </c>
      <c r="E22" s="11" t="s">
        <v>466</v>
      </c>
      <c r="F22" s="11" t="s">
        <v>467</v>
      </c>
      <c r="G22" s="10" t="s">
        <v>246</v>
      </c>
      <c r="H22" s="10" t="s">
        <v>247</v>
      </c>
      <c r="I22" s="10" t="s">
        <v>329</v>
      </c>
      <c r="J22" s="11" t="s">
        <v>468</v>
      </c>
    </row>
    <row r="23" spans="1:10" ht="43.5" customHeight="1">
      <c r="A23" s="10" t="s">
        <v>469</v>
      </c>
      <c r="B23" s="11" t="s">
        <v>470</v>
      </c>
      <c r="C23" s="10" t="s">
        <v>471</v>
      </c>
      <c r="D23" s="10" t="s">
        <v>472</v>
      </c>
      <c r="E23" s="11" t="s">
        <v>473</v>
      </c>
      <c r="F23" s="11" t="s">
        <v>474</v>
      </c>
      <c r="G23" s="10" t="s">
        <v>246</v>
      </c>
      <c r="H23" s="10" t="s">
        <v>247</v>
      </c>
      <c r="I23" s="10" t="s">
        <v>329</v>
      </c>
      <c r="J23" s="11" t="s">
        <v>475</v>
      </c>
    </row>
    <row r="24" spans="1:10" ht="43.5" customHeight="1">
      <c r="A24" s="10" t="s">
        <v>476</v>
      </c>
      <c r="B24" s="11" t="s">
        <v>477</v>
      </c>
      <c r="C24" s="10" t="s">
        <v>244</v>
      </c>
      <c r="D24" s="10" t="s">
        <v>408</v>
      </c>
      <c r="E24" s="11" t="s">
        <v>478</v>
      </c>
      <c r="F24" s="11" t="s">
        <v>479</v>
      </c>
      <c r="G24" s="10" t="s">
        <v>433</v>
      </c>
      <c r="H24" s="10" t="s">
        <v>247</v>
      </c>
      <c r="I24" s="10" t="s">
        <v>329</v>
      </c>
      <c r="J24" s="11" t="s">
        <v>480</v>
      </c>
    </row>
    <row r="25" spans="1:10" ht="43.5" customHeight="1">
      <c r="A25" s="10" t="s">
        <v>481</v>
      </c>
      <c r="B25" s="11" t="s">
        <v>482</v>
      </c>
      <c r="C25" s="10" t="s">
        <v>460</v>
      </c>
      <c r="D25" s="10" t="s">
        <v>403</v>
      </c>
      <c r="E25" s="11" t="s">
        <v>483</v>
      </c>
      <c r="F25" s="11" t="s">
        <v>484</v>
      </c>
      <c r="G25" s="10" t="s">
        <v>246</v>
      </c>
      <c r="H25" s="10" t="s">
        <v>247</v>
      </c>
      <c r="I25" s="10" t="s">
        <v>329</v>
      </c>
      <c r="J25" s="11" t="s">
        <v>485</v>
      </c>
    </row>
    <row r="26" spans="1:10" ht="29.1" customHeight="1">
      <c r="A26" s="10" t="s">
        <v>486</v>
      </c>
      <c r="B26" s="11" t="s">
        <v>487</v>
      </c>
      <c r="C26" s="10" t="s">
        <v>488</v>
      </c>
      <c r="D26" s="10" t="s">
        <v>489</v>
      </c>
      <c r="E26" s="11" t="s">
        <v>490</v>
      </c>
      <c r="F26" s="11" t="s">
        <v>491</v>
      </c>
      <c r="G26" s="10" t="s">
        <v>246</v>
      </c>
      <c r="H26" s="10" t="s">
        <v>247</v>
      </c>
      <c r="I26" s="10" t="s">
        <v>313</v>
      </c>
      <c r="J26" s="11" t="s">
        <v>492</v>
      </c>
    </row>
    <row r="27" spans="1:10" ht="29.1" customHeight="1">
      <c r="A27" s="10" t="s">
        <v>493</v>
      </c>
      <c r="B27" s="11" t="s">
        <v>494</v>
      </c>
      <c r="C27" s="10" t="s">
        <v>488</v>
      </c>
      <c r="D27" s="10" t="s">
        <v>495</v>
      </c>
      <c r="E27" s="11" t="s">
        <v>496</v>
      </c>
      <c r="F27" s="11" t="s">
        <v>497</v>
      </c>
      <c r="G27" s="10" t="s">
        <v>246</v>
      </c>
      <c r="H27" s="10" t="s">
        <v>247</v>
      </c>
      <c r="I27" s="10" t="s">
        <v>313</v>
      </c>
      <c r="J27" s="11" t="s">
        <v>498</v>
      </c>
    </row>
    <row r="28" spans="1:10" ht="29.1" customHeight="1">
      <c r="A28" s="10" t="s">
        <v>499</v>
      </c>
      <c r="B28" s="11" t="s">
        <v>500</v>
      </c>
      <c r="C28" s="10" t="s">
        <v>488</v>
      </c>
      <c r="D28" s="10" t="s">
        <v>501</v>
      </c>
      <c r="E28" s="11" t="s">
        <v>502</v>
      </c>
      <c r="F28" s="11" t="s">
        <v>503</v>
      </c>
      <c r="G28" s="10" t="s">
        <v>246</v>
      </c>
      <c r="H28" s="10" t="s">
        <v>247</v>
      </c>
      <c r="I28" s="10" t="s">
        <v>313</v>
      </c>
      <c r="J28" s="11" t="s">
        <v>504</v>
      </c>
    </row>
    <row r="29" spans="1:10" ht="43.5" customHeight="1">
      <c r="A29" s="10" t="s">
        <v>505</v>
      </c>
      <c r="B29" s="11" t="s">
        <v>506</v>
      </c>
      <c r="C29" s="10" t="s">
        <v>507</v>
      </c>
      <c r="D29" s="10" t="s">
        <v>447</v>
      </c>
      <c r="E29" s="11" t="s">
        <v>508</v>
      </c>
      <c r="F29" s="11" t="s">
        <v>509</v>
      </c>
      <c r="G29" s="10" t="s">
        <v>246</v>
      </c>
      <c r="H29" s="10" t="s">
        <v>247</v>
      </c>
      <c r="I29" s="10" t="s">
        <v>329</v>
      </c>
      <c r="J29" s="11" t="s">
        <v>510</v>
      </c>
    </row>
    <row r="30" spans="1:10" ht="29.1" customHeight="1">
      <c r="A30" s="10" t="s">
        <v>511</v>
      </c>
      <c r="B30" s="11" t="s">
        <v>512</v>
      </c>
      <c r="C30" s="10" t="s">
        <v>513</v>
      </c>
      <c r="D30" s="10" t="s">
        <v>514</v>
      </c>
      <c r="E30" s="11" t="s">
        <v>515</v>
      </c>
      <c r="F30" s="11" t="s">
        <v>516</v>
      </c>
      <c r="G30" s="10" t="s">
        <v>246</v>
      </c>
      <c r="H30" s="10" t="s">
        <v>247</v>
      </c>
      <c r="I30" s="10" t="s">
        <v>313</v>
      </c>
      <c r="J30" s="11" t="s">
        <v>517</v>
      </c>
    </row>
    <row r="31" spans="1:10" ht="29.1" customHeight="1">
      <c r="A31" s="10" t="s">
        <v>518</v>
      </c>
      <c r="B31" s="11" t="s">
        <v>519</v>
      </c>
      <c r="C31" s="10" t="s">
        <v>471</v>
      </c>
      <c r="D31" s="10" t="s">
        <v>520</v>
      </c>
      <c r="E31" s="11" t="s">
        <v>521</v>
      </c>
      <c r="F31" s="11" t="s">
        <v>522</v>
      </c>
      <c r="G31" s="10" t="s">
        <v>246</v>
      </c>
      <c r="H31" s="10" t="s">
        <v>247</v>
      </c>
      <c r="I31" s="10" t="s">
        <v>329</v>
      </c>
      <c r="J31" s="11" t="s">
        <v>523</v>
      </c>
    </row>
    <row r="32" spans="1:10" ht="43.5" customHeight="1">
      <c r="A32" s="10" t="s">
        <v>524</v>
      </c>
      <c r="B32" s="11" t="s">
        <v>525</v>
      </c>
      <c r="C32" s="10" t="s">
        <v>526</v>
      </c>
      <c r="D32" s="10" t="s">
        <v>527</v>
      </c>
      <c r="E32" s="11" t="s">
        <v>528</v>
      </c>
      <c r="F32" s="11" t="s">
        <v>529</v>
      </c>
      <c r="G32" s="10" t="s">
        <v>246</v>
      </c>
      <c r="H32" s="10" t="s">
        <v>247</v>
      </c>
      <c r="I32" s="10" t="s">
        <v>292</v>
      </c>
      <c r="J32" s="11" t="s">
        <v>530</v>
      </c>
    </row>
    <row r="33" spans="1:10" ht="29.1" customHeight="1">
      <c r="A33" s="10" t="s">
        <v>531</v>
      </c>
      <c r="B33" s="11" t="s">
        <v>532</v>
      </c>
      <c r="C33" s="10" t="s">
        <v>526</v>
      </c>
      <c r="D33" s="10" t="s">
        <v>533</v>
      </c>
      <c r="E33" s="11" t="s">
        <v>534</v>
      </c>
      <c r="F33" s="11" t="s">
        <v>535</v>
      </c>
      <c r="G33" s="10" t="s">
        <v>246</v>
      </c>
      <c r="H33" s="10" t="s">
        <v>247</v>
      </c>
      <c r="I33" s="10" t="s">
        <v>292</v>
      </c>
      <c r="J33" s="11" t="s">
        <v>530</v>
      </c>
    </row>
    <row r="34" spans="1:10" ht="29.1" customHeight="1">
      <c r="A34" s="10" t="s">
        <v>536</v>
      </c>
      <c r="B34" s="11" t="s">
        <v>537</v>
      </c>
      <c r="C34" s="10" t="s">
        <v>526</v>
      </c>
      <c r="D34" s="10" t="s">
        <v>538</v>
      </c>
      <c r="E34" s="11" t="s">
        <v>539</v>
      </c>
      <c r="F34" s="11" t="s">
        <v>540</v>
      </c>
      <c r="G34" s="10" t="s">
        <v>246</v>
      </c>
      <c r="H34" s="10" t="s">
        <v>247</v>
      </c>
      <c r="I34" s="10" t="s">
        <v>292</v>
      </c>
      <c r="J34" s="11" t="s">
        <v>530</v>
      </c>
    </row>
    <row r="35" spans="1:10" ht="43.5" customHeight="1">
      <c r="A35" s="10" t="s">
        <v>541</v>
      </c>
      <c r="B35" s="11" t="s">
        <v>542</v>
      </c>
      <c r="C35" s="10" t="s">
        <v>543</v>
      </c>
      <c r="D35" s="10" t="s">
        <v>422</v>
      </c>
      <c r="E35" s="11" t="s">
        <v>544</v>
      </c>
      <c r="F35" s="11" t="s">
        <v>545</v>
      </c>
      <c r="G35" s="10" t="s">
        <v>246</v>
      </c>
      <c r="H35" s="10" t="s">
        <v>247</v>
      </c>
      <c r="I35" s="10" t="s">
        <v>329</v>
      </c>
      <c r="J35" s="11" t="s">
        <v>546</v>
      </c>
    </row>
    <row r="36" spans="1:10" ht="43.5" customHeight="1">
      <c r="A36" s="10" t="s">
        <v>135</v>
      </c>
      <c r="B36" s="11" t="s">
        <v>547</v>
      </c>
      <c r="C36" s="10" t="s">
        <v>244</v>
      </c>
      <c r="D36" s="10" t="s">
        <v>373</v>
      </c>
      <c r="E36" s="12" t="s">
        <v>548</v>
      </c>
      <c r="F36" s="11" t="s">
        <v>549</v>
      </c>
      <c r="G36" s="10" t="s">
        <v>246</v>
      </c>
      <c r="H36" s="10" t="s">
        <v>247</v>
      </c>
      <c r="I36" s="10" t="s">
        <v>329</v>
      </c>
      <c r="J36" s="11" t="s">
        <v>428</v>
      </c>
    </row>
    <row r="37" spans="1:10" ht="29.1" customHeight="1">
      <c r="A37" s="10" t="s">
        <v>550</v>
      </c>
      <c r="B37" s="11" t="s">
        <v>551</v>
      </c>
      <c r="C37" s="10" t="s">
        <v>543</v>
      </c>
      <c r="D37" s="10" t="s">
        <v>422</v>
      </c>
      <c r="E37" s="12" t="s">
        <v>552</v>
      </c>
      <c r="F37" s="11" t="s">
        <v>553</v>
      </c>
      <c r="G37" s="10" t="s">
        <v>246</v>
      </c>
      <c r="H37" s="10" t="s">
        <v>247</v>
      </c>
      <c r="I37" s="10" t="s">
        <v>329</v>
      </c>
      <c r="J37" s="11" t="s">
        <v>554</v>
      </c>
    </row>
    <row r="38" spans="1:10" ht="43.5" customHeight="1">
      <c r="A38" s="10" t="s">
        <v>555</v>
      </c>
      <c r="B38" s="11" t="s">
        <v>556</v>
      </c>
      <c r="C38" s="10" t="s">
        <v>543</v>
      </c>
      <c r="D38" s="10" t="s">
        <v>422</v>
      </c>
      <c r="E38" s="12" t="s">
        <v>557</v>
      </c>
      <c r="F38" s="11" t="s">
        <v>558</v>
      </c>
      <c r="G38" s="10" t="s">
        <v>246</v>
      </c>
      <c r="H38" s="10" t="s">
        <v>247</v>
      </c>
      <c r="I38" s="10" t="s">
        <v>329</v>
      </c>
      <c r="J38" s="11" t="s">
        <v>559</v>
      </c>
    </row>
    <row r="39" spans="1:10" ht="29.1" customHeight="1">
      <c r="A39" s="10" t="s">
        <v>560</v>
      </c>
      <c r="B39" s="11" t="s">
        <v>561</v>
      </c>
      <c r="C39" s="10" t="s">
        <v>244</v>
      </c>
      <c r="D39" s="10" t="s">
        <v>562</v>
      </c>
      <c r="E39" s="12" t="s">
        <v>563</v>
      </c>
      <c r="F39" s="11" t="s">
        <v>564</v>
      </c>
      <c r="G39" s="10" t="s">
        <v>433</v>
      </c>
      <c r="H39" s="10" t="s">
        <v>247</v>
      </c>
      <c r="I39" s="10" t="s">
        <v>329</v>
      </c>
      <c r="J39" s="11" t="s">
        <v>565</v>
      </c>
    </row>
    <row r="40" spans="1:10" ht="43.5" customHeight="1">
      <c r="A40" s="10" t="s">
        <v>566</v>
      </c>
      <c r="B40" s="11" t="s">
        <v>567</v>
      </c>
      <c r="C40" s="10" t="s">
        <v>244</v>
      </c>
      <c r="D40" s="10" t="s">
        <v>568</v>
      </c>
      <c r="E40" s="12" t="s">
        <v>569</v>
      </c>
      <c r="F40" s="11" t="s">
        <v>570</v>
      </c>
      <c r="G40" s="10" t="s">
        <v>433</v>
      </c>
      <c r="H40" s="10" t="s">
        <v>247</v>
      </c>
      <c r="I40" s="10" t="s">
        <v>329</v>
      </c>
      <c r="J40" s="11" t="s">
        <v>571</v>
      </c>
    </row>
    <row r="41" spans="1:10" ht="29.1" customHeight="1">
      <c r="A41" s="10" t="s">
        <v>572</v>
      </c>
      <c r="B41" s="11" t="s">
        <v>573</v>
      </c>
      <c r="C41" s="10" t="s">
        <v>460</v>
      </c>
      <c r="D41" s="10" t="s">
        <v>403</v>
      </c>
      <c r="E41" s="12" t="s">
        <v>574</v>
      </c>
      <c r="F41" s="11" t="s">
        <v>575</v>
      </c>
      <c r="G41" s="10" t="s">
        <v>246</v>
      </c>
      <c r="H41" s="10" t="s">
        <v>247</v>
      </c>
      <c r="I41" s="10" t="s">
        <v>329</v>
      </c>
      <c r="J41" s="11" t="s">
        <v>576</v>
      </c>
    </row>
    <row r="42" spans="1:10" ht="43.5" customHeight="1">
      <c r="A42" s="10" t="s">
        <v>577</v>
      </c>
      <c r="B42" s="11" t="s">
        <v>578</v>
      </c>
      <c r="C42" s="10" t="s">
        <v>460</v>
      </c>
      <c r="D42" s="10" t="s">
        <v>403</v>
      </c>
      <c r="E42" s="12" t="s">
        <v>579</v>
      </c>
      <c r="F42" s="11" t="s">
        <v>580</v>
      </c>
      <c r="G42" s="10" t="s">
        <v>246</v>
      </c>
      <c r="H42" s="10" t="s">
        <v>247</v>
      </c>
      <c r="I42" s="10" t="s">
        <v>329</v>
      </c>
      <c r="J42" s="11" t="s">
        <v>581</v>
      </c>
    </row>
    <row r="43" spans="1:10" ht="29.1" customHeight="1">
      <c r="A43" s="10" t="s">
        <v>582</v>
      </c>
      <c r="B43" s="11" t="s">
        <v>583</v>
      </c>
      <c r="C43" s="10" t="s">
        <v>584</v>
      </c>
      <c r="D43" s="10" t="s">
        <v>520</v>
      </c>
      <c r="E43" s="12" t="s">
        <v>585</v>
      </c>
      <c r="F43" s="11" t="s">
        <v>586</v>
      </c>
      <c r="G43" s="10" t="s">
        <v>246</v>
      </c>
      <c r="H43" s="10" t="s">
        <v>247</v>
      </c>
      <c r="I43" s="10" t="s">
        <v>329</v>
      </c>
      <c r="J43" s="11" t="s">
        <v>587</v>
      </c>
    </row>
    <row r="44" spans="1:10" ht="29.1" customHeight="1">
      <c r="A44" s="10" t="s">
        <v>588</v>
      </c>
      <c r="B44" s="11" t="s">
        <v>589</v>
      </c>
      <c r="C44" s="10" t="s">
        <v>471</v>
      </c>
      <c r="D44" s="10" t="s">
        <v>472</v>
      </c>
      <c r="E44" s="12" t="s">
        <v>590</v>
      </c>
      <c r="F44" s="11" t="s">
        <v>591</v>
      </c>
      <c r="G44" s="10" t="s">
        <v>246</v>
      </c>
      <c r="H44" s="10" t="s">
        <v>247</v>
      </c>
      <c r="I44" s="10" t="s">
        <v>329</v>
      </c>
      <c r="J44" s="11" t="s">
        <v>592</v>
      </c>
    </row>
    <row r="45" spans="1:10" ht="29.1" customHeight="1">
      <c r="A45" s="10" t="s">
        <v>593</v>
      </c>
      <c r="B45" s="11" t="s">
        <v>594</v>
      </c>
      <c r="C45" s="10" t="s">
        <v>488</v>
      </c>
      <c r="D45" s="10" t="s">
        <v>595</v>
      </c>
      <c r="E45" s="12" t="s">
        <v>596</v>
      </c>
      <c r="F45" s="11" t="s">
        <v>597</v>
      </c>
      <c r="G45" s="10" t="s">
        <v>246</v>
      </c>
      <c r="H45" s="10" t="s">
        <v>247</v>
      </c>
      <c r="I45" s="10" t="s">
        <v>313</v>
      </c>
      <c r="J45" s="11" t="s">
        <v>598</v>
      </c>
    </row>
    <row r="46" spans="1:10" ht="29.1" customHeight="1">
      <c r="A46" s="10" t="s">
        <v>599</v>
      </c>
      <c r="B46" s="11" t="s">
        <v>600</v>
      </c>
      <c r="C46" s="10" t="s">
        <v>488</v>
      </c>
      <c r="D46" s="10" t="s">
        <v>601</v>
      </c>
      <c r="E46" s="12" t="s">
        <v>602</v>
      </c>
      <c r="F46" s="11" t="s">
        <v>603</v>
      </c>
      <c r="G46" s="10" t="s">
        <v>246</v>
      </c>
      <c r="H46" s="10" t="s">
        <v>247</v>
      </c>
      <c r="I46" s="10" t="s">
        <v>313</v>
      </c>
      <c r="J46" s="11" t="s">
        <v>604</v>
      </c>
    </row>
    <row r="47" spans="1:10" ht="29.1" customHeight="1">
      <c r="A47" s="10" t="s">
        <v>605</v>
      </c>
      <c r="B47" s="11" t="s">
        <v>606</v>
      </c>
      <c r="C47" s="10" t="s">
        <v>488</v>
      </c>
      <c r="D47" s="10" t="s">
        <v>607</v>
      </c>
      <c r="E47" s="12" t="s">
        <v>608</v>
      </c>
      <c r="F47" s="11" t="s">
        <v>609</v>
      </c>
      <c r="G47" s="10" t="s">
        <v>246</v>
      </c>
      <c r="H47" s="10" t="s">
        <v>247</v>
      </c>
      <c r="I47" s="10" t="s">
        <v>313</v>
      </c>
      <c r="J47" s="11" t="s">
        <v>610</v>
      </c>
    </row>
    <row r="48" spans="1:10" ht="29.1" customHeight="1">
      <c r="A48" s="10" t="s">
        <v>611</v>
      </c>
      <c r="B48" s="11" t="s">
        <v>612</v>
      </c>
      <c r="C48" s="10" t="s">
        <v>488</v>
      </c>
      <c r="D48" s="10" t="s">
        <v>613</v>
      </c>
      <c r="E48" s="12" t="s">
        <v>614</v>
      </c>
      <c r="F48" s="11" t="s">
        <v>615</v>
      </c>
      <c r="G48" s="10" t="s">
        <v>246</v>
      </c>
      <c r="H48" s="10" t="s">
        <v>247</v>
      </c>
      <c r="I48" s="10" t="s">
        <v>313</v>
      </c>
      <c r="J48" s="11" t="s">
        <v>616</v>
      </c>
    </row>
    <row r="49" spans="1:10" ht="29.1" customHeight="1">
      <c r="A49" s="10" t="s">
        <v>617</v>
      </c>
      <c r="B49" s="11" t="s">
        <v>618</v>
      </c>
      <c r="C49" s="10" t="s">
        <v>513</v>
      </c>
      <c r="D49" s="10" t="s">
        <v>619</v>
      </c>
      <c r="E49" s="12" t="s">
        <v>620</v>
      </c>
      <c r="F49" s="11" t="s">
        <v>621</v>
      </c>
      <c r="G49" s="10" t="s">
        <v>246</v>
      </c>
      <c r="H49" s="10" t="s">
        <v>247</v>
      </c>
      <c r="I49" s="10" t="s">
        <v>313</v>
      </c>
      <c r="J49" s="11" t="s">
        <v>622</v>
      </c>
    </row>
    <row r="50" spans="1:10" ht="29.1" customHeight="1">
      <c r="A50" s="10" t="s">
        <v>623</v>
      </c>
      <c r="B50" s="11" t="s">
        <v>624</v>
      </c>
      <c r="C50" s="10" t="s">
        <v>625</v>
      </c>
      <c r="D50" s="10" t="s">
        <v>626</v>
      </c>
      <c r="E50" s="12" t="s">
        <v>627</v>
      </c>
      <c r="F50" s="11" t="s">
        <v>628</v>
      </c>
      <c r="G50" s="10" t="s">
        <v>246</v>
      </c>
      <c r="H50" s="10" t="s">
        <v>247</v>
      </c>
      <c r="I50" s="10" t="s">
        <v>313</v>
      </c>
      <c r="J50" s="11" t="s">
        <v>629</v>
      </c>
    </row>
    <row r="51" spans="1:10" ht="29.1" customHeight="1">
      <c r="A51" s="10" t="s">
        <v>169</v>
      </c>
      <c r="B51" s="11" t="s">
        <v>630</v>
      </c>
      <c r="C51" s="10" t="s">
        <v>244</v>
      </c>
      <c r="D51" s="10" t="s">
        <v>373</v>
      </c>
      <c r="E51" s="12" t="s">
        <v>631</v>
      </c>
      <c r="F51" s="11" t="s">
        <v>632</v>
      </c>
      <c r="G51" s="10" t="s">
        <v>246</v>
      </c>
      <c r="H51" s="10" t="s">
        <v>247</v>
      </c>
      <c r="I51" s="10" t="s">
        <v>329</v>
      </c>
      <c r="J51" s="11" t="s">
        <v>633</v>
      </c>
    </row>
    <row r="52" spans="1:10" ht="29.1" customHeight="1">
      <c r="A52" s="10" t="s">
        <v>634</v>
      </c>
      <c r="B52" s="11" t="s">
        <v>635</v>
      </c>
      <c r="C52" s="10" t="s">
        <v>244</v>
      </c>
      <c r="D52" s="10" t="s">
        <v>373</v>
      </c>
      <c r="E52" s="12" t="s">
        <v>636</v>
      </c>
      <c r="F52" s="11" t="s">
        <v>637</v>
      </c>
      <c r="G52" s="10" t="s">
        <v>330</v>
      </c>
      <c r="H52" s="10" t="s">
        <v>247</v>
      </c>
      <c r="I52" s="10" t="s">
        <v>329</v>
      </c>
      <c r="J52" s="11" t="s">
        <v>638</v>
      </c>
    </row>
    <row r="53" spans="1:10" ht="29.1" customHeight="1">
      <c r="A53" s="10" t="s">
        <v>639</v>
      </c>
      <c r="B53" s="11" t="s">
        <v>640</v>
      </c>
      <c r="C53" s="10" t="s">
        <v>244</v>
      </c>
      <c r="D53" s="10" t="s">
        <v>422</v>
      </c>
      <c r="E53" s="12" t="s">
        <v>641</v>
      </c>
      <c r="F53" s="11" t="s">
        <v>642</v>
      </c>
      <c r="G53" s="10" t="s">
        <v>433</v>
      </c>
      <c r="H53" s="10" t="s">
        <v>247</v>
      </c>
      <c r="I53" s="10" t="s">
        <v>329</v>
      </c>
      <c r="J53" s="11" t="s">
        <v>643</v>
      </c>
    </row>
    <row r="54" spans="1:10" ht="29.1" customHeight="1">
      <c r="A54" s="10" t="s">
        <v>644</v>
      </c>
      <c r="B54" s="11" t="s">
        <v>645</v>
      </c>
      <c r="C54" s="10" t="s">
        <v>646</v>
      </c>
      <c r="D54" s="10" t="s">
        <v>562</v>
      </c>
      <c r="E54" s="12" t="s">
        <v>647</v>
      </c>
      <c r="F54" s="11" t="s">
        <v>648</v>
      </c>
      <c r="G54" s="10" t="s">
        <v>246</v>
      </c>
      <c r="H54" s="10" t="s">
        <v>247</v>
      </c>
      <c r="I54" s="10" t="s">
        <v>329</v>
      </c>
      <c r="J54" s="11" t="s">
        <v>649</v>
      </c>
    </row>
    <row r="55" spans="1:10" ht="29.1" customHeight="1">
      <c r="A55" s="10" t="s">
        <v>650</v>
      </c>
      <c r="B55" s="11" t="s">
        <v>651</v>
      </c>
      <c r="C55" s="10" t="s">
        <v>460</v>
      </c>
      <c r="D55" s="10" t="s">
        <v>403</v>
      </c>
      <c r="E55" s="12" t="s">
        <v>652</v>
      </c>
      <c r="F55" s="11" t="s">
        <v>653</v>
      </c>
      <c r="G55" s="10" t="s">
        <v>246</v>
      </c>
      <c r="H55" s="10" t="s">
        <v>247</v>
      </c>
      <c r="I55" s="10" t="s">
        <v>329</v>
      </c>
      <c r="J55" s="11" t="s">
        <v>654</v>
      </c>
    </row>
    <row r="56" spans="1:10" ht="43.5" customHeight="1">
      <c r="A56" s="10" t="s">
        <v>655</v>
      </c>
      <c r="B56" s="11" t="s">
        <v>656</v>
      </c>
      <c r="C56" s="10" t="s">
        <v>460</v>
      </c>
      <c r="D56" s="10" t="s">
        <v>657</v>
      </c>
      <c r="E56" s="12" t="s">
        <v>658</v>
      </c>
      <c r="F56" s="11" t="s">
        <v>659</v>
      </c>
      <c r="G56" s="10" t="s">
        <v>246</v>
      </c>
      <c r="H56" s="10" t="s">
        <v>247</v>
      </c>
      <c r="I56" s="10" t="s">
        <v>329</v>
      </c>
      <c r="J56" s="11" t="s">
        <v>660</v>
      </c>
    </row>
    <row r="57" spans="1:10" ht="43.5" customHeight="1">
      <c r="A57" s="10" t="s">
        <v>661</v>
      </c>
      <c r="B57" s="11" t="s">
        <v>662</v>
      </c>
      <c r="C57" s="10" t="s">
        <v>471</v>
      </c>
      <c r="D57" s="10" t="s">
        <v>403</v>
      </c>
      <c r="E57" s="12" t="s">
        <v>663</v>
      </c>
      <c r="F57" s="11" t="s">
        <v>664</v>
      </c>
      <c r="G57" s="10" t="s">
        <v>246</v>
      </c>
      <c r="H57" s="10" t="s">
        <v>247</v>
      </c>
      <c r="I57" s="10" t="s">
        <v>329</v>
      </c>
      <c r="J57" s="11" t="s">
        <v>665</v>
      </c>
    </row>
    <row r="58" spans="1:10" ht="43.5" customHeight="1">
      <c r="A58" s="10" t="s">
        <v>666</v>
      </c>
      <c r="B58" s="11" t="s">
        <v>667</v>
      </c>
      <c r="C58" s="10" t="s">
        <v>244</v>
      </c>
      <c r="D58" s="10" t="s">
        <v>408</v>
      </c>
      <c r="E58" s="12" t="s">
        <v>668</v>
      </c>
      <c r="F58" s="11" t="s">
        <v>669</v>
      </c>
      <c r="G58" s="10" t="s">
        <v>433</v>
      </c>
      <c r="H58" s="10" t="s">
        <v>247</v>
      </c>
      <c r="I58" s="10" t="s">
        <v>329</v>
      </c>
      <c r="J58" s="11" t="s">
        <v>670</v>
      </c>
    </row>
    <row r="59" spans="1:10" ht="29.1" customHeight="1">
      <c r="A59" s="10" t="s">
        <v>671</v>
      </c>
      <c r="B59" s="11" t="s">
        <v>672</v>
      </c>
      <c r="C59" s="10" t="s">
        <v>673</v>
      </c>
      <c r="D59" s="10" t="s">
        <v>520</v>
      </c>
      <c r="E59" s="12" t="s">
        <v>674</v>
      </c>
      <c r="F59" s="11" t="s">
        <v>675</v>
      </c>
      <c r="G59" s="10" t="s">
        <v>246</v>
      </c>
      <c r="H59" s="10" t="s">
        <v>247</v>
      </c>
      <c r="I59" s="10" t="s">
        <v>329</v>
      </c>
      <c r="J59" s="11" t="s">
        <v>676</v>
      </c>
    </row>
    <row r="60" spans="1:10" ht="57.95" customHeight="1">
      <c r="A60" s="10" t="s">
        <v>677</v>
      </c>
      <c r="B60" s="11" t="s">
        <v>678</v>
      </c>
      <c r="C60" s="10" t="s">
        <v>584</v>
      </c>
      <c r="D60" s="10" t="s">
        <v>520</v>
      </c>
      <c r="E60" s="12" t="s">
        <v>679</v>
      </c>
      <c r="F60" s="11" t="s">
        <v>680</v>
      </c>
      <c r="G60" s="10" t="s">
        <v>246</v>
      </c>
      <c r="H60" s="10" t="s">
        <v>247</v>
      </c>
      <c r="I60" s="10" t="s">
        <v>329</v>
      </c>
      <c r="J60" s="11" t="s">
        <v>681</v>
      </c>
    </row>
    <row r="61" spans="1:10" ht="43.5" customHeight="1">
      <c r="A61" s="10" t="s">
        <v>682</v>
      </c>
      <c r="B61" s="11" t="s">
        <v>683</v>
      </c>
      <c r="C61" s="10" t="s">
        <v>488</v>
      </c>
      <c r="D61" s="10" t="s">
        <v>684</v>
      </c>
      <c r="E61" s="12" t="s">
        <v>685</v>
      </c>
      <c r="F61" s="11" t="s">
        <v>686</v>
      </c>
      <c r="G61" s="10" t="s">
        <v>246</v>
      </c>
      <c r="H61" s="10" t="s">
        <v>247</v>
      </c>
      <c r="I61" s="10" t="s">
        <v>313</v>
      </c>
      <c r="J61" s="11" t="s">
        <v>687</v>
      </c>
    </row>
    <row r="62" spans="1:10" ht="29.1" customHeight="1">
      <c r="A62" s="10" t="s">
        <v>688</v>
      </c>
      <c r="B62" s="11" t="s">
        <v>689</v>
      </c>
      <c r="C62" s="10" t="s">
        <v>488</v>
      </c>
      <c r="D62" s="10" t="s">
        <v>689</v>
      </c>
      <c r="E62" s="12" t="s">
        <v>690</v>
      </c>
      <c r="F62" s="11" t="s">
        <v>691</v>
      </c>
      <c r="G62" s="10" t="s">
        <v>246</v>
      </c>
      <c r="H62" s="10" t="s">
        <v>247</v>
      </c>
      <c r="I62" s="10" t="s">
        <v>313</v>
      </c>
      <c r="J62" s="11" t="s">
        <v>692</v>
      </c>
    </row>
    <row r="63" spans="1:10" ht="29.1" customHeight="1">
      <c r="A63" s="10" t="s">
        <v>693</v>
      </c>
      <c r="B63" s="11" t="s">
        <v>694</v>
      </c>
      <c r="C63" s="10" t="s">
        <v>488</v>
      </c>
      <c r="D63" s="10" t="s">
        <v>694</v>
      </c>
      <c r="E63" s="12" t="s">
        <v>695</v>
      </c>
      <c r="F63" s="11" t="s">
        <v>696</v>
      </c>
      <c r="G63" s="10" t="s">
        <v>246</v>
      </c>
      <c r="H63" s="10" t="s">
        <v>247</v>
      </c>
      <c r="I63" s="10" t="s">
        <v>313</v>
      </c>
      <c r="J63" s="11" t="s">
        <v>697</v>
      </c>
    </row>
    <row r="64" spans="1:10" ht="43.5" customHeight="1">
      <c r="A64" s="10" t="s">
        <v>698</v>
      </c>
      <c r="B64" s="11" t="s">
        <v>699</v>
      </c>
      <c r="C64" s="10" t="s">
        <v>488</v>
      </c>
      <c r="D64" s="10" t="s">
        <v>700</v>
      </c>
      <c r="E64" s="12" t="s">
        <v>701</v>
      </c>
      <c r="F64" s="11" t="s">
        <v>702</v>
      </c>
      <c r="G64" s="10" t="s">
        <v>246</v>
      </c>
      <c r="H64" s="10" t="s">
        <v>247</v>
      </c>
      <c r="I64" s="10" t="s">
        <v>313</v>
      </c>
      <c r="J64" s="11" t="s">
        <v>703</v>
      </c>
    </row>
    <row r="65" spans="1:10" ht="43.5" customHeight="1">
      <c r="A65" s="10" t="s">
        <v>704</v>
      </c>
      <c r="B65" s="11" t="s">
        <v>705</v>
      </c>
      <c r="C65" s="10" t="s">
        <v>244</v>
      </c>
      <c r="D65" s="10" t="s">
        <v>373</v>
      </c>
      <c r="E65" s="12" t="s">
        <v>706</v>
      </c>
      <c r="F65" s="11" t="s">
        <v>707</v>
      </c>
      <c r="G65" s="10" t="s">
        <v>246</v>
      </c>
      <c r="H65" s="10" t="s">
        <v>247</v>
      </c>
      <c r="I65" s="10" t="s">
        <v>329</v>
      </c>
      <c r="J65" s="11" t="s">
        <v>708</v>
      </c>
    </row>
    <row r="66" spans="1:10" ht="29.1" customHeight="1">
      <c r="A66" s="10" t="s">
        <v>130</v>
      </c>
      <c r="B66" s="11" t="s">
        <v>709</v>
      </c>
      <c r="C66" s="10" t="s">
        <v>543</v>
      </c>
      <c r="D66" s="10" t="s">
        <v>422</v>
      </c>
      <c r="E66" s="12" t="s">
        <v>710</v>
      </c>
      <c r="F66" s="11" t="s">
        <v>711</v>
      </c>
      <c r="G66" s="10" t="s">
        <v>246</v>
      </c>
      <c r="H66" s="10" t="s">
        <v>247</v>
      </c>
      <c r="I66" s="10" t="s">
        <v>329</v>
      </c>
      <c r="J66" s="11" t="s">
        <v>712</v>
      </c>
    </row>
    <row r="67" spans="1:10" ht="29.1" customHeight="1">
      <c r="A67" s="10" t="s">
        <v>713</v>
      </c>
      <c r="B67" s="11" t="s">
        <v>714</v>
      </c>
      <c r="C67" s="10" t="s">
        <v>715</v>
      </c>
      <c r="D67" s="10" t="s">
        <v>716</v>
      </c>
      <c r="E67" s="12" t="s">
        <v>717</v>
      </c>
      <c r="F67" s="11" t="s">
        <v>718</v>
      </c>
      <c r="G67" s="10" t="s">
        <v>246</v>
      </c>
      <c r="H67" s="10" t="s">
        <v>247</v>
      </c>
      <c r="I67" s="10" t="s">
        <v>313</v>
      </c>
      <c r="J67" s="11" t="s">
        <v>719</v>
      </c>
    </row>
    <row r="68" spans="1:10" ht="29.1" customHeight="1">
      <c r="A68" s="10" t="s">
        <v>149</v>
      </c>
      <c r="B68" s="11" t="s">
        <v>720</v>
      </c>
      <c r="C68" s="10" t="s">
        <v>244</v>
      </c>
      <c r="D68" s="10" t="s">
        <v>373</v>
      </c>
      <c r="E68" s="12" t="s">
        <v>721</v>
      </c>
      <c r="F68" s="11" t="s">
        <v>722</v>
      </c>
      <c r="G68" s="10" t="s">
        <v>246</v>
      </c>
      <c r="H68" s="10" t="s">
        <v>247</v>
      </c>
      <c r="I68" s="10" t="s">
        <v>329</v>
      </c>
      <c r="J68" s="11" t="s">
        <v>723</v>
      </c>
    </row>
    <row r="69" spans="1:10" ht="29.1" customHeight="1">
      <c r="A69" s="10" t="s">
        <v>724</v>
      </c>
      <c r="B69" s="11" t="s">
        <v>725</v>
      </c>
      <c r="C69" s="10" t="s">
        <v>543</v>
      </c>
      <c r="D69" s="10" t="s">
        <v>422</v>
      </c>
      <c r="E69" s="12" t="s">
        <v>726</v>
      </c>
      <c r="F69" s="11" t="s">
        <v>727</v>
      </c>
      <c r="G69" s="10" t="s">
        <v>246</v>
      </c>
      <c r="H69" s="10" t="s">
        <v>247</v>
      </c>
      <c r="I69" s="10" t="s">
        <v>313</v>
      </c>
      <c r="J69" s="11" t="s">
        <v>728</v>
      </c>
    </row>
    <row r="70" spans="1:10" ht="43.5" customHeight="1">
      <c r="A70" s="10" t="s">
        <v>729</v>
      </c>
      <c r="B70" s="11" t="s">
        <v>730</v>
      </c>
      <c r="C70" s="10" t="s">
        <v>460</v>
      </c>
      <c r="D70" s="10" t="s">
        <v>403</v>
      </c>
      <c r="E70" s="12" t="s">
        <v>731</v>
      </c>
      <c r="F70" s="11" t="s">
        <v>732</v>
      </c>
      <c r="G70" s="10" t="s">
        <v>246</v>
      </c>
      <c r="H70" s="10" t="s">
        <v>247</v>
      </c>
      <c r="I70" s="10" t="s">
        <v>329</v>
      </c>
      <c r="J70" s="11" t="s">
        <v>733</v>
      </c>
    </row>
    <row r="71" spans="1:10" ht="29.1" customHeight="1">
      <c r="A71" s="10" t="s">
        <v>142</v>
      </c>
      <c r="B71" s="11" t="s">
        <v>734</v>
      </c>
      <c r="C71" s="10" t="s">
        <v>244</v>
      </c>
      <c r="D71" s="10" t="s">
        <v>373</v>
      </c>
      <c r="E71" s="12" t="s">
        <v>735</v>
      </c>
      <c r="F71" s="11" t="s">
        <v>736</v>
      </c>
      <c r="G71" s="10" t="s">
        <v>246</v>
      </c>
      <c r="H71" s="10" t="s">
        <v>247</v>
      </c>
      <c r="I71" s="10" t="s">
        <v>329</v>
      </c>
      <c r="J71" s="11" t="s">
        <v>737</v>
      </c>
    </row>
    <row r="72" spans="1:10" ht="29.1" customHeight="1">
      <c r="A72" s="10" t="s">
        <v>738</v>
      </c>
      <c r="B72" s="11" t="s">
        <v>739</v>
      </c>
      <c r="C72" s="10" t="s">
        <v>543</v>
      </c>
      <c r="D72" s="10" t="s">
        <v>422</v>
      </c>
      <c r="E72" s="12" t="s">
        <v>740</v>
      </c>
      <c r="F72" s="11" t="s">
        <v>741</v>
      </c>
      <c r="G72" s="10" t="s">
        <v>246</v>
      </c>
      <c r="H72" s="10" t="s">
        <v>247</v>
      </c>
      <c r="I72" s="10" t="s">
        <v>329</v>
      </c>
      <c r="J72" s="11" t="s">
        <v>742</v>
      </c>
    </row>
    <row r="73" spans="1:10" ht="43.5" customHeight="1">
      <c r="A73" s="10" t="s">
        <v>160</v>
      </c>
      <c r="B73" s="11" t="s">
        <v>743</v>
      </c>
      <c r="C73" s="10" t="s">
        <v>244</v>
      </c>
      <c r="D73" s="10" t="s">
        <v>373</v>
      </c>
      <c r="E73" s="12" t="s">
        <v>744</v>
      </c>
      <c r="F73" s="11" t="s">
        <v>745</v>
      </c>
      <c r="G73" s="10" t="s">
        <v>246</v>
      </c>
      <c r="H73" s="10" t="s">
        <v>247</v>
      </c>
      <c r="I73" s="10" t="s">
        <v>329</v>
      </c>
      <c r="J73" s="11" t="s">
        <v>746</v>
      </c>
    </row>
    <row r="74" spans="1:10" ht="43.5" customHeight="1">
      <c r="A74" s="10" t="s">
        <v>747</v>
      </c>
      <c r="B74" s="11" t="s">
        <v>748</v>
      </c>
      <c r="C74" s="10" t="s">
        <v>244</v>
      </c>
      <c r="D74" s="10" t="s">
        <v>749</v>
      </c>
      <c r="E74" s="12" t="s">
        <v>750</v>
      </c>
      <c r="F74" s="11" t="s">
        <v>751</v>
      </c>
      <c r="G74" s="10" t="s">
        <v>246</v>
      </c>
      <c r="H74" s="10" t="s">
        <v>247</v>
      </c>
      <c r="I74" s="10" t="s">
        <v>313</v>
      </c>
      <c r="J74" s="11" t="s">
        <v>752</v>
      </c>
    </row>
    <row r="75" spans="1:10" ht="29.1" customHeight="1">
      <c r="A75" s="10" t="s">
        <v>753</v>
      </c>
      <c r="B75" s="11" t="s">
        <v>754</v>
      </c>
      <c r="C75" s="10" t="s">
        <v>755</v>
      </c>
      <c r="D75" s="10" t="s">
        <v>403</v>
      </c>
      <c r="E75" s="12" t="s">
        <v>756</v>
      </c>
      <c r="F75" s="11" t="s">
        <v>757</v>
      </c>
      <c r="G75" s="10" t="s">
        <v>246</v>
      </c>
      <c r="H75" s="10" t="s">
        <v>247</v>
      </c>
      <c r="I75" s="10" t="s">
        <v>329</v>
      </c>
      <c r="J75" s="11" t="s">
        <v>758</v>
      </c>
    </row>
    <row r="76" spans="1:10" ht="29.1" customHeight="1">
      <c r="A76" s="10" t="s">
        <v>759</v>
      </c>
      <c r="B76" s="11" t="s">
        <v>760</v>
      </c>
      <c r="C76" s="10" t="s">
        <v>334</v>
      </c>
      <c r="D76" s="10" t="s">
        <v>761</v>
      </c>
      <c r="E76" s="12" t="s">
        <v>762</v>
      </c>
      <c r="F76" s="11" t="s">
        <v>763</v>
      </c>
      <c r="G76" s="10" t="s">
        <v>246</v>
      </c>
      <c r="H76" s="10" t="s">
        <v>247</v>
      </c>
      <c r="I76" s="10" t="s">
        <v>329</v>
      </c>
      <c r="J76" s="11" t="s">
        <v>764</v>
      </c>
    </row>
    <row r="77" spans="1:10" ht="29.1" customHeight="1">
      <c r="A77" s="10" t="s">
        <v>116</v>
      </c>
      <c r="B77" s="11" t="s">
        <v>765</v>
      </c>
      <c r="C77" s="10" t="s">
        <v>244</v>
      </c>
      <c r="D77" s="10" t="s">
        <v>373</v>
      </c>
      <c r="E77" s="12" t="s">
        <v>766</v>
      </c>
      <c r="F77" s="11" t="s">
        <v>767</v>
      </c>
      <c r="G77" s="10" t="s">
        <v>246</v>
      </c>
      <c r="H77" s="10" t="s">
        <v>247</v>
      </c>
      <c r="I77" s="10" t="s">
        <v>329</v>
      </c>
      <c r="J77" s="11" t="s">
        <v>768</v>
      </c>
    </row>
    <row r="78" spans="1:10" ht="43.5" customHeight="1">
      <c r="A78" s="10" t="s">
        <v>769</v>
      </c>
      <c r="B78" s="11" t="s">
        <v>770</v>
      </c>
      <c r="C78" s="10" t="s">
        <v>543</v>
      </c>
      <c r="D78" s="10" t="s">
        <v>422</v>
      </c>
      <c r="E78" s="12" t="s">
        <v>771</v>
      </c>
      <c r="F78" s="11" t="s">
        <v>772</v>
      </c>
      <c r="G78" s="10" t="s">
        <v>246</v>
      </c>
      <c r="H78" s="10" t="s">
        <v>247</v>
      </c>
      <c r="I78" s="10" t="s">
        <v>329</v>
      </c>
      <c r="J78" s="11" t="s">
        <v>773</v>
      </c>
    </row>
    <row r="79" spans="1:10" ht="29.1" customHeight="1">
      <c r="A79" s="10" t="s">
        <v>107</v>
      </c>
      <c r="B79" s="11" t="s">
        <v>774</v>
      </c>
      <c r="C79" s="10" t="s">
        <v>244</v>
      </c>
      <c r="D79" s="10" t="s">
        <v>373</v>
      </c>
      <c r="E79" s="12" t="s">
        <v>775</v>
      </c>
      <c r="F79" s="11" t="s">
        <v>776</v>
      </c>
      <c r="G79" s="10" t="s">
        <v>246</v>
      </c>
      <c r="H79" s="10" t="s">
        <v>247</v>
      </c>
      <c r="I79" s="10" t="s">
        <v>329</v>
      </c>
      <c r="J79" s="11" t="s">
        <v>777</v>
      </c>
    </row>
    <row r="80" spans="1:10" ht="29.1" customHeight="1">
      <c r="A80" s="10" t="s">
        <v>100</v>
      </c>
      <c r="B80" s="11" t="s">
        <v>778</v>
      </c>
      <c r="C80" s="10" t="s">
        <v>244</v>
      </c>
      <c r="D80" s="10" t="s">
        <v>373</v>
      </c>
      <c r="E80" s="12" t="s">
        <v>779</v>
      </c>
      <c r="F80" s="11" t="s">
        <v>780</v>
      </c>
      <c r="G80" s="10" t="s">
        <v>246</v>
      </c>
      <c r="H80" s="10" t="s">
        <v>247</v>
      </c>
      <c r="I80" s="10" t="s">
        <v>329</v>
      </c>
      <c r="J80" s="11" t="s">
        <v>781</v>
      </c>
    </row>
    <row r="81" spans="1:10" ht="43.5" customHeight="1">
      <c r="A81" s="10" t="s">
        <v>782</v>
      </c>
      <c r="B81" s="11" t="s">
        <v>783</v>
      </c>
      <c r="C81" s="10" t="s">
        <v>460</v>
      </c>
      <c r="D81" s="10" t="s">
        <v>657</v>
      </c>
      <c r="E81" s="12" t="s">
        <v>784</v>
      </c>
      <c r="F81" s="11" t="s">
        <v>785</v>
      </c>
      <c r="G81" s="10" t="s">
        <v>246</v>
      </c>
      <c r="H81" s="10" t="s">
        <v>247</v>
      </c>
      <c r="I81" s="10" t="s">
        <v>329</v>
      </c>
      <c r="J81" s="11" t="s">
        <v>786</v>
      </c>
    </row>
    <row r="82" spans="1:10" ht="43.5" customHeight="1">
      <c r="A82" s="10" t="s">
        <v>154</v>
      </c>
      <c r="B82" s="11" t="s">
        <v>787</v>
      </c>
      <c r="C82" s="10" t="s">
        <v>244</v>
      </c>
      <c r="D82" s="10" t="s">
        <v>373</v>
      </c>
      <c r="E82" s="12" t="s">
        <v>788</v>
      </c>
      <c r="F82" s="11" t="s">
        <v>789</v>
      </c>
      <c r="G82" s="10" t="s">
        <v>246</v>
      </c>
      <c r="H82" s="10" t="s">
        <v>247</v>
      </c>
      <c r="I82" s="10" t="s">
        <v>329</v>
      </c>
      <c r="J82" s="11" t="s">
        <v>790</v>
      </c>
    </row>
    <row r="83" spans="1:10" ht="29.1" customHeight="1">
      <c r="A83" s="10" t="s">
        <v>791</v>
      </c>
      <c r="B83" s="11" t="s">
        <v>792</v>
      </c>
      <c r="C83" s="10" t="s">
        <v>543</v>
      </c>
      <c r="D83" s="10" t="s">
        <v>422</v>
      </c>
      <c r="E83" s="12" t="s">
        <v>793</v>
      </c>
      <c r="F83" s="11" t="s">
        <v>794</v>
      </c>
      <c r="G83" s="10" t="s">
        <v>246</v>
      </c>
      <c r="H83" s="10" t="s">
        <v>247</v>
      </c>
      <c r="I83" s="10" t="s">
        <v>329</v>
      </c>
      <c r="J83" s="11" t="s">
        <v>795</v>
      </c>
    </row>
    <row r="84" spans="1:10" ht="43.5" customHeight="1">
      <c r="A84" s="10" t="s">
        <v>796</v>
      </c>
      <c r="B84" s="11" t="s">
        <v>797</v>
      </c>
      <c r="C84" s="10" t="s">
        <v>460</v>
      </c>
      <c r="D84" s="10" t="s">
        <v>403</v>
      </c>
      <c r="E84" s="12" t="s">
        <v>461</v>
      </c>
      <c r="F84" s="11" t="s">
        <v>798</v>
      </c>
      <c r="G84" s="10" t="s">
        <v>246</v>
      </c>
      <c r="H84" s="10" t="s">
        <v>247</v>
      </c>
      <c r="I84" s="10" t="s">
        <v>329</v>
      </c>
      <c r="J84" s="11" t="s">
        <v>799</v>
      </c>
    </row>
    <row r="85" spans="1:10" ht="29.1" customHeight="1">
      <c r="A85" s="10" t="s">
        <v>800</v>
      </c>
      <c r="B85" s="11" t="s">
        <v>801</v>
      </c>
      <c r="C85" s="10" t="s">
        <v>471</v>
      </c>
      <c r="D85" s="10" t="s">
        <v>472</v>
      </c>
      <c r="E85" s="12" t="s">
        <v>802</v>
      </c>
      <c r="F85" s="11" t="s">
        <v>803</v>
      </c>
      <c r="G85" s="10" t="s">
        <v>246</v>
      </c>
      <c r="H85" s="10" t="s">
        <v>247</v>
      </c>
      <c r="I85" s="10" t="s">
        <v>329</v>
      </c>
      <c r="J85" s="11" t="s">
        <v>804</v>
      </c>
    </row>
    <row r="86" spans="1:10" ht="43.5" customHeight="1">
      <c r="A86" s="10" t="s">
        <v>805</v>
      </c>
      <c r="B86" s="11" t="s">
        <v>482</v>
      </c>
      <c r="C86" s="10" t="s">
        <v>460</v>
      </c>
      <c r="D86" s="10" t="s">
        <v>403</v>
      </c>
      <c r="E86" s="12" t="s">
        <v>483</v>
      </c>
      <c r="F86" s="11" t="s">
        <v>806</v>
      </c>
      <c r="G86" s="10" t="s">
        <v>246</v>
      </c>
      <c r="H86" s="10" t="s">
        <v>247</v>
      </c>
      <c r="I86" s="10" t="s">
        <v>329</v>
      </c>
      <c r="J86" s="11" t="s">
        <v>807</v>
      </c>
    </row>
    <row r="87" spans="1:10" ht="43.5" customHeight="1">
      <c r="A87" s="10" t="s">
        <v>808</v>
      </c>
      <c r="B87" s="11" t="s">
        <v>809</v>
      </c>
      <c r="C87" s="10" t="s">
        <v>471</v>
      </c>
      <c r="D87" s="10" t="s">
        <v>520</v>
      </c>
      <c r="E87" s="12" t="s">
        <v>810</v>
      </c>
      <c r="F87" s="11" t="s">
        <v>811</v>
      </c>
      <c r="G87" s="10" t="s">
        <v>246</v>
      </c>
      <c r="H87" s="10" t="s">
        <v>247</v>
      </c>
      <c r="I87" s="10" t="s">
        <v>313</v>
      </c>
      <c r="J87" s="11" t="s">
        <v>812</v>
      </c>
    </row>
    <row r="88" spans="1:10" ht="57.95" customHeight="1">
      <c r="A88" s="10" t="s">
        <v>813</v>
      </c>
      <c r="B88" s="11" t="s">
        <v>814</v>
      </c>
      <c r="C88" s="10" t="s">
        <v>815</v>
      </c>
      <c r="D88" s="10" t="s">
        <v>403</v>
      </c>
      <c r="E88" s="12" t="s">
        <v>816</v>
      </c>
      <c r="F88" s="11" t="s">
        <v>817</v>
      </c>
      <c r="G88" s="10" t="s">
        <v>246</v>
      </c>
      <c r="H88" s="10" t="s">
        <v>247</v>
      </c>
      <c r="I88" s="10" t="s">
        <v>329</v>
      </c>
      <c r="J88" s="11" t="s">
        <v>818</v>
      </c>
    </row>
    <row r="89" spans="1:10" ht="57.95" customHeight="1">
      <c r="A89" s="10" t="s">
        <v>819</v>
      </c>
      <c r="B89" s="11" t="s">
        <v>820</v>
      </c>
      <c r="C89" s="10" t="s">
        <v>821</v>
      </c>
      <c r="D89" s="10" t="s">
        <v>403</v>
      </c>
      <c r="E89" s="12" t="s">
        <v>822</v>
      </c>
      <c r="F89" s="11" t="s">
        <v>823</v>
      </c>
      <c r="G89" s="10" t="s">
        <v>246</v>
      </c>
      <c r="H89" s="10" t="s">
        <v>247</v>
      </c>
      <c r="I89" s="10" t="s">
        <v>329</v>
      </c>
      <c r="J89" s="11" t="s">
        <v>824</v>
      </c>
    </row>
    <row r="90" spans="1:10" ht="29.1">
      <c r="A90" s="10" t="s">
        <v>825</v>
      </c>
      <c r="B90" s="11" t="s">
        <v>826</v>
      </c>
      <c r="C90" s="10" t="s">
        <v>244</v>
      </c>
      <c r="D90" s="10" t="s">
        <v>373</v>
      </c>
      <c r="E90" s="12" t="s">
        <v>827</v>
      </c>
      <c r="F90" s="11" t="s">
        <v>828</v>
      </c>
      <c r="G90" s="10" t="s">
        <v>433</v>
      </c>
      <c r="H90" s="10" t="s">
        <v>247</v>
      </c>
      <c r="I90" s="10" t="s">
        <v>329</v>
      </c>
      <c r="J90" s="11" t="s">
        <v>829</v>
      </c>
    </row>
    <row r="91" spans="1:10" ht="29.1" customHeight="1">
      <c r="A91" s="10" t="s">
        <v>830</v>
      </c>
      <c r="B91" s="11" t="s">
        <v>831</v>
      </c>
      <c r="C91" s="10" t="s">
        <v>244</v>
      </c>
      <c r="D91" s="10" t="s">
        <v>373</v>
      </c>
      <c r="E91" s="12" t="s">
        <v>832</v>
      </c>
      <c r="F91" s="11" t="s">
        <v>833</v>
      </c>
      <c r="G91" s="10" t="s">
        <v>433</v>
      </c>
      <c r="H91" s="10" t="s">
        <v>247</v>
      </c>
      <c r="I91" s="10" t="s">
        <v>329</v>
      </c>
      <c r="J91" s="11" t="s">
        <v>834</v>
      </c>
    </row>
    <row r="92" spans="1:10" ht="29.1" customHeight="1">
      <c r="A92" s="10" t="s">
        <v>835</v>
      </c>
      <c r="B92" s="11" t="s">
        <v>836</v>
      </c>
      <c r="C92" s="10" t="s">
        <v>244</v>
      </c>
      <c r="D92" s="10" t="s">
        <v>373</v>
      </c>
      <c r="E92" s="12" t="s">
        <v>837</v>
      </c>
      <c r="F92" s="11" t="s">
        <v>838</v>
      </c>
      <c r="G92" s="10" t="s">
        <v>433</v>
      </c>
      <c r="H92" s="10" t="s">
        <v>247</v>
      </c>
      <c r="I92" s="10" t="s">
        <v>329</v>
      </c>
      <c r="J92" s="11" t="s">
        <v>839</v>
      </c>
    </row>
    <row r="93" spans="1:10" ht="29.1" customHeight="1">
      <c r="A93" s="10" t="s">
        <v>840</v>
      </c>
      <c r="B93" s="11" t="s">
        <v>841</v>
      </c>
      <c r="C93" s="10" t="s">
        <v>488</v>
      </c>
      <c r="D93" s="10" t="s">
        <v>842</v>
      </c>
      <c r="E93" s="12" t="s">
        <v>843</v>
      </c>
      <c r="F93" s="11" t="s">
        <v>844</v>
      </c>
      <c r="G93" s="10" t="s">
        <v>246</v>
      </c>
      <c r="H93" s="10" t="s">
        <v>247</v>
      </c>
      <c r="I93" s="10" t="s">
        <v>313</v>
      </c>
      <c r="J93" s="11" t="s">
        <v>845</v>
      </c>
    </row>
    <row r="94" spans="1:10" ht="29.1" customHeight="1">
      <c r="A94" s="10" t="s">
        <v>846</v>
      </c>
      <c r="B94" s="11" t="s">
        <v>847</v>
      </c>
      <c r="C94" s="10" t="s">
        <v>488</v>
      </c>
      <c r="D94" s="10" t="s">
        <v>847</v>
      </c>
      <c r="E94" s="12" t="s">
        <v>848</v>
      </c>
      <c r="F94" s="11" t="s">
        <v>849</v>
      </c>
      <c r="G94" s="10" t="s">
        <v>246</v>
      </c>
      <c r="H94" s="10" t="s">
        <v>247</v>
      </c>
      <c r="I94" s="10" t="s">
        <v>313</v>
      </c>
      <c r="J94" s="11" t="s">
        <v>845</v>
      </c>
    </row>
    <row r="95" spans="1:10" ht="29.1" customHeight="1">
      <c r="A95" s="10" t="s">
        <v>850</v>
      </c>
      <c r="B95" s="11" t="s">
        <v>851</v>
      </c>
      <c r="C95" s="10" t="s">
        <v>488</v>
      </c>
      <c r="D95" s="10" t="s">
        <v>852</v>
      </c>
      <c r="E95" s="12" t="s">
        <v>853</v>
      </c>
      <c r="F95" s="11" t="s">
        <v>854</v>
      </c>
      <c r="G95" s="10" t="s">
        <v>246</v>
      </c>
      <c r="H95" s="10" t="s">
        <v>247</v>
      </c>
      <c r="I95" s="10" t="s">
        <v>313</v>
      </c>
      <c r="J95" s="11" t="s">
        <v>845</v>
      </c>
    </row>
    <row r="96" spans="1:10" ht="29.1" customHeight="1">
      <c r="A96" s="10" t="s">
        <v>855</v>
      </c>
      <c r="B96" s="11" t="s">
        <v>856</v>
      </c>
      <c r="C96" s="10" t="s">
        <v>488</v>
      </c>
      <c r="D96" s="10" t="s">
        <v>857</v>
      </c>
      <c r="E96" s="12" t="s">
        <v>858</v>
      </c>
      <c r="F96" s="11" t="s">
        <v>859</v>
      </c>
      <c r="G96" s="10" t="s">
        <v>246</v>
      </c>
      <c r="H96" s="10" t="s">
        <v>247</v>
      </c>
      <c r="I96" s="10" t="s">
        <v>313</v>
      </c>
      <c r="J96" s="11" t="s">
        <v>860</v>
      </c>
    </row>
    <row r="97" spans="1:10" ht="29.1" customHeight="1">
      <c r="A97" s="10" t="s">
        <v>861</v>
      </c>
      <c r="B97" s="11" t="s">
        <v>862</v>
      </c>
      <c r="C97" s="10" t="s">
        <v>488</v>
      </c>
      <c r="D97" s="10" t="s">
        <v>863</v>
      </c>
      <c r="E97" s="12" t="s">
        <v>864</v>
      </c>
      <c r="F97" s="11" t="s">
        <v>865</v>
      </c>
      <c r="G97" s="10" t="s">
        <v>246</v>
      </c>
      <c r="H97" s="10" t="s">
        <v>247</v>
      </c>
      <c r="I97" s="10" t="s">
        <v>313</v>
      </c>
      <c r="J97" s="11" t="s">
        <v>866</v>
      </c>
    </row>
    <row r="98" spans="1:10" ht="29.1" customHeight="1">
      <c r="A98" s="10" t="s">
        <v>867</v>
      </c>
      <c r="B98" s="11" t="s">
        <v>868</v>
      </c>
      <c r="C98" s="10" t="s">
        <v>488</v>
      </c>
      <c r="D98" s="10" t="s">
        <v>869</v>
      </c>
      <c r="E98" s="12" t="s">
        <v>870</v>
      </c>
      <c r="F98" s="11" t="s">
        <v>871</v>
      </c>
      <c r="G98" s="10" t="s">
        <v>246</v>
      </c>
      <c r="H98" s="10" t="s">
        <v>247</v>
      </c>
      <c r="I98" s="10" t="s">
        <v>313</v>
      </c>
      <c r="J98" s="11" t="s">
        <v>872</v>
      </c>
    </row>
    <row r="99" spans="1:10" ht="29.1" customHeight="1">
      <c r="A99" s="10" t="s">
        <v>873</v>
      </c>
      <c r="B99" s="11" t="s">
        <v>874</v>
      </c>
      <c r="C99" s="10" t="s">
        <v>488</v>
      </c>
      <c r="D99" s="10" t="s">
        <v>875</v>
      </c>
      <c r="E99" s="12" t="s">
        <v>876</v>
      </c>
      <c r="F99" s="11" t="s">
        <v>877</v>
      </c>
      <c r="G99" s="10" t="s">
        <v>246</v>
      </c>
      <c r="H99" s="10" t="s">
        <v>247</v>
      </c>
      <c r="I99" s="10" t="s">
        <v>313</v>
      </c>
      <c r="J99" s="11" t="s">
        <v>878</v>
      </c>
    </row>
    <row r="100" spans="1:10" ht="29.1" customHeight="1">
      <c r="A100" s="10" t="s">
        <v>879</v>
      </c>
      <c r="B100" s="11" t="s">
        <v>880</v>
      </c>
      <c r="C100" s="10" t="s">
        <v>488</v>
      </c>
      <c r="D100" s="10" t="s">
        <v>601</v>
      </c>
      <c r="E100" s="12" t="s">
        <v>881</v>
      </c>
      <c r="F100" s="11" t="s">
        <v>882</v>
      </c>
      <c r="G100" s="10" t="s">
        <v>246</v>
      </c>
      <c r="H100" s="10" t="s">
        <v>247</v>
      </c>
      <c r="I100" s="10" t="s">
        <v>313</v>
      </c>
      <c r="J100" s="11" t="s">
        <v>883</v>
      </c>
    </row>
    <row r="101" spans="1:10" ht="43.5" customHeight="1">
      <c r="A101" s="10" t="s">
        <v>884</v>
      </c>
      <c r="B101" s="11" t="s">
        <v>885</v>
      </c>
      <c r="C101" s="10" t="s">
        <v>488</v>
      </c>
      <c r="D101" s="10" t="s">
        <v>886</v>
      </c>
      <c r="E101" s="12" t="s">
        <v>887</v>
      </c>
      <c r="F101" s="11" t="s">
        <v>888</v>
      </c>
      <c r="G101" s="10" t="s">
        <v>246</v>
      </c>
      <c r="H101" s="10" t="s">
        <v>247</v>
      </c>
      <c r="I101" s="10" t="s">
        <v>313</v>
      </c>
      <c r="J101" s="11" t="s">
        <v>889</v>
      </c>
    </row>
    <row r="102" spans="1:10" ht="29.1" customHeight="1">
      <c r="A102" s="10" t="s">
        <v>890</v>
      </c>
      <c r="B102" s="11" t="s">
        <v>891</v>
      </c>
      <c r="C102" s="10" t="s">
        <v>488</v>
      </c>
      <c r="D102" s="10" t="s">
        <v>892</v>
      </c>
      <c r="E102" s="12" t="s">
        <v>893</v>
      </c>
      <c r="F102" s="11" t="s">
        <v>894</v>
      </c>
      <c r="G102" s="10" t="s">
        <v>246</v>
      </c>
      <c r="H102" s="10" t="s">
        <v>247</v>
      </c>
      <c r="I102" s="10" t="s">
        <v>313</v>
      </c>
      <c r="J102" s="11" t="s">
        <v>895</v>
      </c>
    </row>
    <row r="103" spans="1:10" ht="29.1" customHeight="1">
      <c r="A103" s="10" t="s">
        <v>896</v>
      </c>
      <c r="B103" s="11" t="s">
        <v>897</v>
      </c>
      <c r="C103" s="10" t="s">
        <v>488</v>
      </c>
      <c r="D103" s="10" t="s">
        <v>898</v>
      </c>
      <c r="E103" s="12" t="s">
        <v>899</v>
      </c>
      <c r="F103" s="11" t="s">
        <v>900</v>
      </c>
      <c r="G103" s="10" t="s">
        <v>246</v>
      </c>
      <c r="H103" s="10" t="s">
        <v>247</v>
      </c>
      <c r="I103" s="10" t="s">
        <v>313</v>
      </c>
      <c r="J103" s="11" t="s">
        <v>901</v>
      </c>
    </row>
    <row r="104" spans="1:10" ht="29.1" customHeight="1">
      <c r="A104" s="10" t="s">
        <v>902</v>
      </c>
      <c r="B104" s="11" t="s">
        <v>903</v>
      </c>
      <c r="C104" s="10" t="s">
        <v>488</v>
      </c>
      <c r="D104" s="10" t="s">
        <v>903</v>
      </c>
      <c r="E104" s="12" t="s">
        <v>904</v>
      </c>
      <c r="F104" s="11" t="s">
        <v>905</v>
      </c>
      <c r="G104" s="10" t="s">
        <v>246</v>
      </c>
      <c r="H104" s="10" t="s">
        <v>247</v>
      </c>
      <c r="I104" s="10" t="s">
        <v>313</v>
      </c>
      <c r="J104" s="11" t="s">
        <v>906</v>
      </c>
    </row>
    <row r="105" spans="1:10" ht="29.1" customHeight="1">
      <c r="A105" s="10" t="s">
        <v>907</v>
      </c>
      <c r="B105" s="11" t="s">
        <v>908</v>
      </c>
      <c r="C105" s="10" t="s">
        <v>488</v>
      </c>
      <c r="D105" s="10" t="s">
        <v>909</v>
      </c>
      <c r="E105" s="12" t="s">
        <v>910</v>
      </c>
      <c r="F105" s="11" t="s">
        <v>911</v>
      </c>
      <c r="G105" s="10" t="s">
        <v>246</v>
      </c>
      <c r="H105" s="10" t="s">
        <v>247</v>
      </c>
      <c r="I105" s="10" t="s">
        <v>313</v>
      </c>
      <c r="J105" s="11" t="s">
        <v>912</v>
      </c>
    </row>
    <row r="106" spans="1:10" ht="43.5" customHeight="1">
      <c r="A106" s="10" t="s">
        <v>913</v>
      </c>
      <c r="B106" s="11" t="s">
        <v>914</v>
      </c>
      <c r="C106" s="10" t="s">
        <v>488</v>
      </c>
      <c r="D106" s="10" t="s">
        <v>915</v>
      </c>
      <c r="E106" s="12" t="s">
        <v>916</v>
      </c>
      <c r="F106" s="11" t="s">
        <v>917</v>
      </c>
      <c r="G106" s="10" t="s">
        <v>246</v>
      </c>
      <c r="H106" s="10" t="s">
        <v>247</v>
      </c>
      <c r="I106" s="10" t="s">
        <v>313</v>
      </c>
      <c r="J106" s="11" t="s">
        <v>918</v>
      </c>
    </row>
    <row r="107" spans="1:10" ht="43.5" customHeight="1">
      <c r="A107" s="10" t="s">
        <v>919</v>
      </c>
      <c r="B107" s="11" t="s">
        <v>920</v>
      </c>
      <c r="C107" s="10" t="s">
        <v>488</v>
      </c>
      <c r="D107" s="10" t="s">
        <v>920</v>
      </c>
      <c r="E107" s="12" t="s">
        <v>921</v>
      </c>
      <c r="F107" s="11" t="s">
        <v>922</v>
      </c>
      <c r="G107" s="10" t="s">
        <v>246</v>
      </c>
      <c r="H107" s="10" t="s">
        <v>247</v>
      </c>
      <c r="I107" s="10" t="s">
        <v>313</v>
      </c>
      <c r="J107" s="11" t="s">
        <v>923</v>
      </c>
    </row>
    <row r="108" spans="1:10" ht="29.1" customHeight="1">
      <c r="A108" s="10" t="s">
        <v>924</v>
      </c>
      <c r="B108" s="11" t="s">
        <v>925</v>
      </c>
      <c r="C108" s="10" t="s">
        <v>488</v>
      </c>
      <c r="D108" s="10" t="s">
        <v>925</v>
      </c>
      <c r="E108" s="12" t="s">
        <v>926</v>
      </c>
      <c r="F108" s="11" t="s">
        <v>927</v>
      </c>
      <c r="G108" s="10" t="s">
        <v>246</v>
      </c>
      <c r="H108" s="10" t="s">
        <v>247</v>
      </c>
      <c r="I108" s="10" t="s">
        <v>313</v>
      </c>
      <c r="J108" s="11" t="s">
        <v>928</v>
      </c>
    </row>
    <row r="109" spans="1:10" ht="43.5" customHeight="1">
      <c r="A109" s="10" t="s">
        <v>929</v>
      </c>
      <c r="B109" s="11" t="s">
        <v>930</v>
      </c>
      <c r="C109" s="10" t="s">
        <v>488</v>
      </c>
      <c r="D109" s="10" t="s">
        <v>931</v>
      </c>
      <c r="E109" s="12" t="s">
        <v>932</v>
      </c>
      <c r="F109" s="11" t="s">
        <v>933</v>
      </c>
      <c r="G109" s="10" t="s">
        <v>246</v>
      </c>
      <c r="H109" s="10" t="s">
        <v>247</v>
      </c>
      <c r="I109" s="10" t="s">
        <v>313</v>
      </c>
      <c r="J109" s="11" t="s">
        <v>934</v>
      </c>
    </row>
    <row r="110" spans="1:10" ht="29.1" customHeight="1">
      <c r="A110" s="10" t="s">
        <v>935</v>
      </c>
      <c r="B110" s="11" t="s">
        <v>936</v>
      </c>
      <c r="C110" s="10" t="s">
        <v>488</v>
      </c>
      <c r="D110" s="10" t="s">
        <v>937</v>
      </c>
      <c r="E110" s="12" t="s">
        <v>938</v>
      </c>
      <c r="F110" s="11" t="s">
        <v>939</v>
      </c>
      <c r="G110" s="10" t="s">
        <v>246</v>
      </c>
      <c r="H110" s="10" t="s">
        <v>247</v>
      </c>
      <c r="I110" s="10" t="s">
        <v>313</v>
      </c>
      <c r="J110" s="11" t="s">
        <v>940</v>
      </c>
    </row>
    <row r="111" spans="1:10" ht="29.1" customHeight="1">
      <c r="A111" s="10" t="s">
        <v>941</v>
      </c>
      <c r="B111" s="11" t="s">
        <v>942</v>
      </c>
      <c r="C111" s="10" t="s">
        <v>488</v>
      </c>
      <c r="D111" s="10" t="s">
        <v>943</v>
      </c>
      <c r="E111" s="12" t="s">
        <v>944</v>
      </c>
      <c r="F111" s="11" t="s">
        <v>945</v>
      </c>
      <c r="G111" s="10" t="s">
        <v>246</v>
      </c>
      <c r="H111" s="10" t="s">
        <v>247</v>
      </c>
      <c r="I111" s="10" t="s">
        <v>313</v>
      </c>
      <c r="J111" s="11" t="s">
        <v>946</v>
      </c>
    </row>
    <row r="112" spans="1:10">
      <c r="A112" s="10" t="s">
        <v>947</v>
      </c>
      <c r="B112" s="11" t="s">
        <v>948</v>
      </c>
      <c r="C112" s="10" t="s">
        <v>488</v>
      </c>
      <c r="D112" s="10" t="s">
        <v>949</v>
      </c>
      <c r="E112" s="12" t="s">
        <v>950</v>
      </c>
      <c r="F112" s="11" t="s">
        <v>951</v>
      </c>
      <c r="G112" s="10" t="s">
        <v>246</v>
      </c>
      <c r="H112" s="10" t="s">
        <v>247</v>
      </c>
      <c r="I112" s="10" t="s">
        <v>292</v>
      </c>
      <c r="J112" s="11" t="s">
        <v>952</v>
      </c>
    </row>
    <row r="113" spans="1:10" ht="29.1" customHeight="1">
      <c r="A113" s="10" t="s">
        <v>953</v>
      </c>
      <c r="B113" s="11" t="s">
        <v>954</v>
      </c>
      <c r="C113" s="10" t="s">
        <v>488</v>
      </c>
      <c r="D113" s="10" t="s">
        <v>955</v>
      </c>
      <c r="E113" s="12" t="s">
        <v>956</v>
      </c>
      <c r="F113" s="11" t="s">
        <v>957</v>
      </c>
      <c r="G113" s="10" t="s">
        <v>246</v>
      </c>
      <c r="H113" s="10" t="s">
        <v>247</v>
      </c>
      <c r="I113" s="10" t="s">
        <v>313</v>
      </c>
      <c r="J113" s="11" t="s">
        <v>958</v>
      </c>
    </row>
    <row r="114" spans="1:10" ht="29.1" customHeight="1">
      <c r="A114" s="10" t="s">
        <v>959</v>
      </c>
      <c r="B114" s="11" t="s">
        <v>960</v>
      </c>
      <c r="C114" s="10" t="s">
        <v>488</v>
      </c>
      <c r="D114" s="10" t="s">
        <v>961</v>
      </c>
      <c r="E114" s="12" t="s">
        <v>962</v>
      </c>
      <c r="F114" s="11" t="s">
        <v>963</v>
      </c>
      <c r="G114" s="10" t="s">
        <v>246</v>
      </c>
      <c r="H114" s="10" t="s">
        <v>247</v>
      </c>
      <c r="I114" s="10" t="s">
        <v>313</v>
      </c>
      <c r="J114" s="11" t="s">
        <v>964</v>
      </c>
    </row>
    <row r="115" spans="1:10" ht="29.1" customHeight="1">
      <c r="A115" s="10" t="s">
        <v>965</v>
      </c>
      <c r="B115" s="11" t="s">
        <v>966</v>
      </c>
      <c r="C115" s="10" t="s">
        <v>488</v>
      </c>
      <c r="D115" s="10" t="s">
        <v>966</v>
      </c>
      <c r="E115" s="12" t="s">
        <v>967</v>
      </c>
      <c r="F115" s="11" t="s">
        <v>968</v>
      </c>
      <c r="G115" s="10" t="s">
        <v>246</v>
      </c>
      <c r="H115" s="10" t="s">
        <v>247</v>
      </c>
      <c r="I115" s="10" t="s">
        <v>313</v>
      </c>
      <c r="J115" s="11" t="s">
        <v>969</v>
      </c>
    </row>
    <row r="116" spans="1:10" ht="29.1" customHeight="1">
      <c r="A116" s="10" t="s">
        <v>970</v>
      </c>
      <c r="B116" s="11" t="s">
        <v>971</v>
      </c>
      <c r="C116" s="10" t="s">
        <v>488</v>
      </c>
      <c r="D116" s="10" t="s">
        <v>972</v>
      </c>
      <c r="E116" s="12" t="s">
        <v>973</v>
      </c>
      <c r="F116" s="11" t="s">
        <v>974</v>
      </c>
      <c r="G116" s="10" t="s">
        <v>246</v>
      </c>
      <c r="H116" s="10" t="s">
        <v>247</v>
      </c>
      <c r="I116" s="10" t="s">
        <v>292</v>
      </c>
      <c r="J116" s="11" t="s">
        <v>975</v>
      </c>
    </row>
    <row r="117" spans="1:10" ht="29.1" customHeight="1">
      <c r="A117" s="10" t="s">
        <v>976</v>
      </c>
      <c r="B117" s="11" t="s">
        <v>977</v>
      </c>
      <c r="C117" s="10" t="s">
        <v>488</v>
      </c>
      <c r="D117" s="10" t="s">
        <v>978</v>
      </c>
      <c r="E117" s="12" t="s">
        <v>979</v>
      </c>
      <c r="F117" s="11" t="s">
        <v>980</v>
      </c>
      <c r="G117" s="10" t="s">
        <v>246</v>
      </c>
      <c r="H117" s="10" t="s">
        <v>247</v>
      </c>
      <c r="I117" s="10" t="s">
        <v>292</v>
      </c>
      <c r="J117" s="11" t="s">
        <v>981</v>
      </c>
    </row>
    <row r="118" spans="1:10" ht="43.5" customHeight="1">
      <c r="A118" s="10" t="s">
        <v>982</v>
      </c>
      <c r="B118" s="11" t="s">
        <v>983</v>
      </c>
      <c r="C118" s="10" t="s">
        <v>488</v>
      </c>
      <c r="D118" s="10" t="s">
        <v>984</v>
      </c>
      <c r="E118" s="12" t="s">
        <v>985</v>
      </c>
      <c r="F118" s="11" t="s">
        <v>986</v>
      </c>
      <c r="G118" s="10" t="s">
        <v>246</v>
      </c>
      <c r="H118" s="10" t="s">
        <v>247</v>
      </c>
      <c r="I118" s="10" t="s">
        <v>292</v>
      </c>
      <c r="J118" s="11" t="s">
        <v>987</v>
      </c>
    </row>
    <row r="119" spans="1:10" ht="29.1" customHeight="1">
      <c r="A119" s="10" t="s">
        <v>988</v>
      </c>
      <c r="B119" s="11" t="s">
        <v>989</v>
      </c>
      <c r="C119" s="10" t="s">
        <v>488</v>
      </c>
      <c r="D119" s="10" t="s">
        <v>990</v>
      </c>
      <c r="E119" s="12" t="s">
        <v>991</v>
      </c>
      <c r="F119" s="11" t="s">
        <v>992</v>
      </c>
      <c r="G119" s="10" t="s">
        <v>246</v>
      </c>
      <c r="H119" s="10" t="s">
        <v>247</v>
      </c>
      <c r="I119" s="10" t="s">
        <v>292</v>
      </c>
      <c r="J119" s="11" t="s">
        <v>993</v>
      </c>
    </row>
    <row r="120" spans="1:10" ht="29.1" customHeight="1">
      <c r="A120" s="10" t="s">
        <v>994</v>
      </c>
      <c r="B120" s="11" t="s">
        <v>995</v>
      </c>
      <c r="C120" s="10" t="s">
        <v>488</v>
      </c>
      <c r="D120" s="10" t="s">
        <v>996</v>
      </c>
      <c r="E120" s="12" t="s">
        <v>997</v>
      </c>
      <c r="F120" s="11" t="s">
        <v>998</v>
      </c>
      <c r="G120" s="10" t="s">
        <v>246</v>
      </c>
      <c r="H120" s="10" t="s">
        <v>247</v>
      </c>
      <c r="I120" s="10" t="s">
        <v>292</v>
      </c>
      <c r="J120" s="11" t="s">
        <v>999</v>
      </c>
    </row>
    <row r="121" spans="1:10" ht="29.1" customHeight="1">
      <c r="A121" s="10" t="s">
        <v>1000</v>
      </c>
      <c r="B121" s="11" t="s">
        <v>1001</v>
      </c>
      <c r="C121" s="10" t="s">
        <v>488</v>
      </c>
      <c r="D121" s="10" t="s">
        <v>1001</v>
      </c>
      <c r="E121" s="12" t="s">
        <v>1002</v>
      </c>
      <c r="F121" s="11" t="s">
        <v>1003</v>
      </c>
      <c r="G121" s="10" t="s">
        <v>246</v>
      </c>
      <c r="H121" s="10" t="s">
        <v>247</v>
      </c>
      <c r="I121" s="10" t="s">
        <v>313</v>
      </c>
      <c r="J121" s="11" t="s">
        <v>1004</v>
      </c>
    </row>
    <row r="122" spans="1:10" ht="57.95" customHeight="1">
      <c r="A122" s="10" t="s">
        <v>1005</v>
      </c>
      <c r="B122" s="11" t="s">
        <v>1006</v>
      </c>
      <c r="C122" s="10" t="s">
        <v>488</v>
      </c>
      <c r="D122" s="10" t="s">
        <v>1007</v>
      </c>
      <c r="E122" s="12" t="s">
        <v>1008</v>
      </c>
      <c r="F122" s="11" t="s">
        <v>1009</v>
      </c>
      <c r="G122" s="10" t="s">
        <v>246</v>
      </c>
      <c r="H122" s="10" t="s">
        <v>247</v>
      </c>
      <c r="I122" s="10" t="s">
        <v>313</v>
      </c>
      <c r="J122" s="11" t="s">
        <v>1004</v>
      </c>
    </row>
    <row r="123" spans="1:10" ht="29.1" customHeight="1">
      <c r="A123" s="10" t="s">
        <v>1010</v>
      </c>
      <c r="B123" s="11" t="s">
        <v>1011</v>
      </c>
      <c r="C123" s="10" t="s">
        <v>488</v>
      </c>
      <c r="D123" s="10" t="s">
        <v>1012</v>
      </c>
      <c r="E123" s="12" t="s">
        <v>1013</v>
      </c>
      <c r="F123" s="11" t="s">
        <v>1014</v>
      </c>
      <c r="G123" s="10" t="s">
        <v>246</v>
      </c>
      <c r="H123" s="10" t="s">
        <v>247</v>
      </c>
      <c r="I123" s="10" t="s">
        <v>313</v>
      </c>
      <c r="J123" s="11" t="s">
        <v>1015</v>
      </c>
    </row>
    <row r="124" spans="1:10" ht="29.1" customHeight="1">
      <c r="A124" s="10" t="s">
        <v>1016</v>
      </c>
      <c r="B124" s="11" t="s">
        <v>1017</v>
      </c>
      <c r="C124" s="10" t="s">
        <v>488</v>
      </c>
      <c r="D124" s="10" t="s">
        <v>1018</v>
      </c>
      <c r="E124" s="12" t="s">
        <v>1019</v>
      </c>
      <c r="F124" s="11" t="s">
        <v>1020</v>
      </c>
      <c r="G124" s="10" t="s">
        <v>246</v>
      </c>
      <c r="H124" s="10" t="s">
        <v>247</v>
      </c>
      <c r="I124" s="10" t="s">
        <v>292</v>
      </c>
      <c r="J124" s="11" t="s">
        <v>1021</v>
      </c>
    </row>
    <row r="125" spans="1:10">
      <c r="A125" s="10"/>
      <c r="B125" s="11"/>
      <c r="C125" s="10"/>
      <c r="D125" s="10"/>
      <c r="E125" s="11"/>
      <c r="F125" s="11"/>
      <c r="G125" s="10"/>
      <c r="H125" s="10"/>
      <c r="I125" s="10"/>
      <c r="J125" s="11"/>
    </row>
    <row r="126" spans="1:10">
      <c r="A126" s="10"/>
      <c r="B126" s="11"/>
      <c r="C126" s="10"/>
      <c r="D126" s="10"/>
      <c r="E126" s="11"/>
      <c r="F126" s="11"/>
      <c r="G126" s="10"/>
      <c r="H126" s="10"/>
      <c r="I126" s="10"/>
      <c r="J126" s="11"/>
    </row>
    <row r="127" spans="1:10">
      <c r="A127" s="10"/>
      <c r="B127" s="11"/>
      <c r="C127" s="10"/>
      <c r="D127" s="10"/>
      <c r="E127" s="11"/>
      <c r="F127" s="11"/>
      <c r="G127" s="10"/>
      <c r="H127" s="10"/>
      <c r="I127" s="10"/>
      <c r="J127" s="11"/>
    </row>
    <row r="128" spans="1:10">
      <c r="A128" s="10"/>
      <c r="B128" s="11"/>
      <c r="C128" s="10"/>
      <c r="D128" s="10"/>
      <c r="E128" s="11"/>
      <c r="F128" s="11"/>
      <c r="G128" s="10"/>
      <c r="H128" s="10"/>
      <c r="I128" s="10"/>
      <c r="J128" s="11"/>
    </row>
    <row r="129" spans="1:10">
      <c r="A129" s="10"/>
      <c r="B129" s="11"/>
      <c r="C129" s="10"/>
      <c r="D129" s="10"/>
      <c r="E129" s="11"/>
      <c r="F129" s="11"/>
      <c r="G129" s="10"/>
      <c r="H129" s="10"/>
      <c r="I129" s="10"/>
      <c r="J129" s="11"/>
    </row>
    <row r="130" spans="1:10">
      <c r="A130" s="10"/>
      <c r="B130" s="11"/>
      <c r="C130" s="10"/>
      <c r="D130" s="10"/>
      <c r="E130" s="11"/>
      <c r="F130" s="11"/>
      <c r="G130" s="10"/>
      <c r="H130" s="10"/>
      <c r="I130" s="10"/>
      <c r="J130" s="11"/>
    </row>
    <row r="131" spans="1:10">
      <c r="A131" s="10"/>
      <c r="B131" s="11"/>
      <c r="C131" s="10"/>
      <c r="D131" s="10"/>
      <c r="E131" s="11"/>
      <c r="F131" s="11"/>
      <c r="G131" s="10"/>
      <c r="H131" s="10"/>
      <c r="I131" s="10"/>
      <c r="J131" s="11"/>
    </row>
    <row r="132" spans="1:10">
      <c r="A132" s="10"/>
      <c r="B132" s="11"/>
      <c r="C132" s="10"/>
      <c r="D132" s="10"/>
      <c r="E132" s="11"/>
      <c r="F132" s="11"/>
      <c r="G132" s="10"/>
      <c r="H132" s="10"/>
      <c r="I132" s="10"/>
      <c r="J132" s="11"/>
    </row>
    <row r="133" spans="1:10">
      <c r="A133" s="10"/>
      <c r="B133" s="11"/>
      <c r="C133" s="10"/>
      <c r="D133" s="10"/>
      <c r="E133" s="11"/>
      <c r="F133" s="11"/>
      <c r="G133" s="10"/>
      <c r="H133" s="10"/>
      <c r="I133" s="10"/>
      <c r="J133" s="11"/>
    </row>
    <row r="134" spans="1:10">
      <c r="A134" s="10"/>
      <c r="B134" s="11"/>
      <c r="C134" s="10"/>
      <c r="D134" s="10"/>
      <c r="E134" s="11"/>
      <c r="F134" s="11"/>
      <c r="G134" s="10"/>
      <c r="H134" s="10"/>
      <c r="I134" s="10"/>
      <c r="J134" s="11"/>
    </row>
    <row r="135" spans="1:10">
      <c r="A135" s="10"/>
      <c r="B135" s="11"/>
      <c r="C135" s="10"/>
      <c r="D135" s="10"/>
      <c r="E135" s="11"/>
      <c r="F135" s="11"/>
      <c r="G135" s="10"/>
      <c r="H135" s="10"/>
      <c r="I135" s="10"/>
      <c r="J135" s="11"/>
    </row>
    <row r="136" spans="1:10">
      <c r="A136" s="10"/>
      <c r="B136" s="11"/>
      <c r="C136" s="10"/>
      <c r="D136" s="10"/>
      <c r="E136" s="11"/>
      <c r="F136" s="11"/>
      <c r="G136" s="10"/>
      <c r="H136" s="10"/>
      <c r="I136" s="10"/>
      <c r="J136" s="11"/>
    </row>
    <row r="137" spans="1:10">
      <c r="A137" s="10"/>
      <c r="B137" s="11"/>
      <c r="C137" s="10"/>
      <c r="D137" s="10"/>
      <c r="E137" s="11"/>
      <c r="F137" s="11"/>
      <c r="G137" s="10"/>
      <c r="H137" s="10"/>
      <c r="I137" s="10"/>
      <c r="J137" s="11"/>
    </row>
    <row r="138" spans="1:10">
      <c r="A138" s="10"/>
      <c r="B138" s="11"/>
      <c r="C138" s="10"/>
      <c r="D138" s="10"/>
      <c r="E138" s="11"/>
      <c r="F138" s="11"/>
      <c r="G138" s="10"/>
      <c r="H138" s="10"/>
      <c r="I138" s="10"/>
      <c r="J138" s="11"/>
    </row>
    <row r="139" spans="1:10">
      <c r="A139" s="10"/>
      <c r="B139" s="11"/>
      <c r="C139" s="10"/>
      <c r="D139" s="10"/>
      <c r="E139" s="11"/>
      <c r="F139" s="11"/>
      <c r="G139" s="10"/>
      <c r="H139" s="10"/>
      <c r="I139" s="10"/>
      <c r="J139" s="11"/>
    </row>
    <row r="140" spans="1:10">
      <c r="A140" s="10"/>
      <c r="B140" s="11"/>
      <c r="C140" s="10"/>
      <c r="D140" s="10"/>
      <c r="E140" s="11"/>
      <c r="F140" s="11"/>
      <c r="G140" s="10"/>
      <c r="H140" s="10"/>
      <c r="I140" s="10"/>
      <c r="J140" s="11"/>
    </row>
    <row r="141" spans="1:10">
      <c r="A141" s="10"/>
      <c r="B141" s="11"/>
      <c r="C141" s="10"/>
      <c r="D141" s="10"/>
      <c r="E141" s="11"/>
      <c r="F141" s="11"/>
      <c r="G141" s="10"/>
      <c r="H141" s="10"/>
      <c r="I141" s="10"/>
      <c r="J141" s="11"/>
    </row>
    <row r="142" spans="1:10">
      <c r="A142" s="10"/>
      <c r="B142" s="11" t="s">
        <v>281</v>
      </c>
      <c r="C142" s="10"/>
      <c r="D142" s="10"/>
      <c r="E142" s="11"/>
      <c r="F142" s="11"/>
      <c r="G142" s="10"/>
      <c r="H142" s="10"/>
      <c r="I142" s="10"/>
      <c r="J142" s="11"/>
    </row>
    <row r="143" spans="1:10">
      <c r="A143" s="10"/>
      <c r="B143" s="11"/>
      <c r="C143" s="10"/>
      <c r="D143" s="10"/>
      <c r="E143" s="11"/>
      <c r="F143" s="11"/>
      <c r="G143" s="10"/>
      <c r="H143" s="10"/>
      <c r="I143" s="10"/>
      <c r="J143" s="11"/>
    </row>
    <row r="144" spans="1:10">
      <c r="A144" s="10"/>
      <c r="B144" s="11"/>
      <c r="C144" s="10"/>
      <c r="D144" s="10"/>
      <c r="E144" s="11"/>
      <c r="F144" s="11"/>
      <c r="G144" s="10"/>
      <c r="H144" s="10"/>
      <c r="I144" s="10"/>
      <c r="J144" s="11"/>
    </row>
    <row r="145" spans="1:10">
      <c r="A145" s="10"/>
      <c r="B145" s="11"/>
      <c r="C145" s="10"/>
      <c r="D145" s="10"/>
      <c r="E145" s="11"/>
      <c r="F145" s="11"/>
      <c r="G145" s="10"/>
      <c r="H145" s="10"/>
      <c r="I145" s="10"/>
      <c r="J145" s="11"/>
    </row>
    <row r="146" spans="1:10">
      <c r="A146" s="10"/>
      <c r="B146" s="11"/>
      <c r="C146" s="10"/>
      <c r="D146" s="10"/>
      <c r="E146" s="11"/>
      <c r="F146" s="11"/>
      <c r="G146" s="10"/>
      <c r="H146" s="10"/>
      <c r="I146" s="10"/>
      <c r="J146" s="11"/>
    </row>
    <row r="147" spans="1:10">
      <c r="A147" s="10"/>
      <c r="B147" s="11"/>
      <c r="C147" s="10"/>
      <c r="D147" s="10"/>
      <c r="E147" s="11"/>
      <c r="F147" s="11"/>
      <c r="G147" s="10"/>
      <c r="H147" s="10"/>
      <c r="I147" s="10"/>
      <c r="J147" s="11"/>
    </row>
    <row r="148" spans="1:10">
      <c r="A148" s="10"/>
      <c r="B148" s="11"/>
      <c r="C148" s="10"/>
      <c r="D148" s="10"/>
      <c r="E148" s="11"/>
      <c r="F148" s="11"/>
      <c r="G148" s="10"/>
      <c r="H148" s="10"/>
      <c r="I148" s="10"/>
      <c r="J148" s="11"/>
    </row>
    <row r="149" spans="1:10">
      <c r="A149" s="10"/>
      <c r="B149" s="11"/>
      <c r="C149" s="10"/>
      <c r="D149" s="10"/>
      <c r="E149" s="11"/>
      <c r="F149" s="11"/>
      <c r="G149" s="10"/>
      <c r="H149" s="10"/>
      <c r="I149" s="10"/>
      <c r="J149" s="11"/>
    </row>
    <row r="150" spans="1:10">
      <c r="A150" s="10"/>
      <c r="B150" s="11"/>
      <c r="C150" s="10"/>
      <c r="D150" s="10"/>
      <c r="E150" s="11"/>
      <c r="F150" s="11"/>
      <c r="G150" s="10"/>
      <c r="H150" s="10"/>
      <c r="I150" s="10"/>
      <c r="J150" s="11"/>
    </row>
    <row r="151" spans="1:10">
      <c r="A151" s="10"/>
      <c r="B151" s="11"/>
      <c r="C151" s="10"/>
      <c r="D151" s="10"/>
      <c r="E151" s="11"/>
      <c r="F151" s="11"/>
      <c r="G151" s="10"/>
      <c r="H151" s="10"/>
      <c r="I151" s="10"/>
      <c r="J151" s="11"/>
    </row>
    <row r="152" spans="1:10">
      <c r="A152" s="10"/>
      <c r="B152" s="11"/>
      <c r="C152" s="10"/>
      <c r="D152" s="10"/>
      <c r="E152" s="11"/>
      <c r="F152" s="11"/>
      <c r="G152" s="10"/>
      <c r="H152" s="10"/>
      <c r="I152" s="10"/>
      <c r="J152" s="11"/>
    </row>
    <row r="153" spans="1:10">
      <c r="A153" s="10"/>
      <c r="B153" s="11"/>
      <c r="C153" s="10"/>
      <c r="D153" s="10"/>
      <c r="E153" s="11"/>
      <c r="F153" s="11"/>
      <c r="G153" s="10"/>
      <c r="H153" s="10"/>
      <c r="I153" s="10"/>
      <c r="J153" s="11"/>
    </row>
    <row r="154" spans="1:10">
      <c r="A154" s="10"/>
      <c r="B154" s="11"/>
      <c r="C154" s="10"/>
      <c r="D154" s="10"/>
      <c r="E154" s="11"/>
      <c r="F154" s="11"/>
      <c r="G154" s="10"/>
      <c r="H154" s="10"/>
      <c r="I154" s="10"/>
      <c r="J154" s="11"/>
    </row>
    <row r="155" spans="1:10">
      <c r="A155" s="10"/>
      <c r="B155" s="11"/>
      <c r="C155" s="10"/>
      <c r="D155" s="10"/>
      <c r="E155" s="11"/>
      <c r="F155" s="11"/>
      <c r="G155" s="10"/>
      <c r="H155" s="10"/>
      <c r="I155" s="10"/>
      <c r="J155" s="11"/>
    </row>
    <row r="156" spans="1:10">
      <c r="A156" s="10"/>
      <c r="B156" s="11"/>
      <c r="C156" s="10"/>
      <c r="D156" s="10"/>
      <c r="E156" s="11"/>
      <c r="F156" s="11"/>
      <c r="G156" s="10"/>
      <c r="H156" s="10"/>
      <c r="I156" s="10"/>
      <c r="J156" s="11"/>
    </row>
    <row r="157" spans="1:10">
      <c r="A157" s="10"/>
      <c r="B157" s="11"/>
      <c r="C157" s="10"/>
      <c r="D157" s="10"/>
      <c r="E157" s="11"/>
      <c r="F157" s="11"/>
      <c r="G157" s="10"/>
      <c r="H157" s="10"/>
      <c r="I157" s="10"/>
      <c r="J157" s="11"/>
    </row>
    <row r="158" spans="1:10">
      <c r="A158" s="10"/>
      <c r="B158" s="11"/>
      <c r="C158" s="10"/>
      <c r="D158" s="10"/>
      <c r="E158" s="11"/>
      <c r="F158" s="11"/>
      <c r="G158" s="10"/>
      <c r="H158" s="10"/>
      <c r="I158" s="10"/>
      <c r="J158" s="11"/>
    </row>
    <row r="159" spans="1:10">
      <c r="A159" s="10"/>
      <c r="B159" s="11"/>
      <c r="C159" s="10"/>
      <c r="D159" s="10"/>
      <c r="E159" s="11"/>
      <c r="F159" s="11"/>
      <c r="G159" s="10"/>
      <c r="H159" s="10"/>
      <c r="I159" s="10"/>
      <c r="J159" s="11"/>
    </row>
    <row r="160" spans="1:10">
      <c r="A160" s="10"/>
      <c r="B160" s="11"/>
      <c r="C160" s="10"/>
      <c r="D160" s="10"/>
      <c r="E160" s="11"/>
      <c r="F160" s="11"/>
      <c r="G160" s="10"/>
      <c r="H160" s="10"/>
      <c r="I160" s="10"/>
      <c r="J160" s="11"/>
    </row>
    <row r="161" spans="1:10">
      <c r="A161" s="10"/>
      <c r="B161" s="11"/>
      <c r="C161" s="10"/>
      <c r="D161" s="10"/>
      <c r="E161" s="11"/>
      <c r="F161" s="11"/>
      <c r="G161" s="10"/>
      <c r="H161" s="10"/>
      <c r="I161" s="10"/>
      <c r="J161" s="11"/>
    </row>
    <row r="162" spans="1:10">
      <c r="A162" s="10"/>
      <c r="B162" s="11"/>
      <c r="C162" s="10"/>
      <c r="D162" s="10"/>
      <c r="E162" s="11"/>
      <c r="F162" s="11"/>
      <c r="G162" s="10"/>
      <c r="H162" s="10"/>
      <c r="I162" s="10"/>
      <c r="J162" s="11"/>
    </row>
    <row r="163" spans="1:10">
      <c r="A163" s="10"/>
      <c r="B163" s="11"/>
      <c r="C163" s="10"/>
      <c r="D163" s="10"/>
      <c r="E163" s="11"/>
      <c r="F163" s="11"/>
      <c r="G163" s="10"/>
      <c r="H163" s="10"/>
      <c r="I163" s="10"/>
      <c r="J163" s="11"/>
    </row>
    <row r="164" spans="1:10">
      <c r="A164" s="10"/>
      <c r="B164" s="11"/>
      <c r="C164" s="10"/>
      <c r="D164" s="10"/>
      <c r="E164" s="11"/>
      <c r="F164" s="11"/>
      <c r="G164" s="10"/>
      <c r="H164" s="10"/>
      <c r="I164" s="10"/>
      <c r="J164" s="11"/>
    </row>
    <row r="165" spans="1:10">
      <c r="A165" s="10"/>
      <c r="B165" s="11"/>
      <c r="C165" s="10"/>
      <c r="D165" s="10"/>
      <c r="E165" s="11"/>
      <c r="F165" s="11"/>
      <c r="G165" s="10"/>
      <c r="H165" s="10"/>
      <c r="I165" s="10"/>
      <c r="J165" s="11"/>
    </row>
    <row r="166" spans="1:10">
      <c r="A166" s="10"/>
      <c r="B166" s="11"/>
      <c r="C166" s="10"/>
      <c r="D166" s="10"/>
      <c r="E166" s="11"/>
      <c r="F166" s="11"/>
      <c r="G166" s="10"/>
      <c r="H166" s="10"/>
      <c r="I166" s="10"/>
      <c r="J166" s="11"/>
    </row>
    <row r="167" spans="1:10">
      <c r="A167" s="10"/>
      <c r="B167" s="11"/>
      <c r="C167" s="10"/>
      <c r="D167" s="10"/>
      <c r="E167" s="11"/>
      <c r="F167" s="11"/>
      <c r="G167" s="10"/>
      <c r="H167" s="10"/>
      <c r="I167" s="10"/>
      <c r="J167" s="11"/>
    </row>
    <row r="168" spans="1:10">
      <c r="A168" s="10"/>
      <c r="B168" s="11"/>
      <c r="C168" s="10"/>
      <c r="D168" s="10"/>
      <c r="E168" s="11"/>
      <c r="F168" s="11"/>
      <c r="G168" s="10"/>
      <c r="H168" s="10"/>
      <c r="I168" s="10"/>
      <c r="J168" s="11"/>
    </row>
    <row r="169" spans="1:10">
      <c r="A169" s="10"/>
      <c r="B169" s="11"/>
      <c r="C169" s="10"/>
      <c r="D169" s="10"/>
      <c r="E169" s="11"/>
      <c r="F169" s="11"/>
      <c r="G169" s="10"/>
      <c r="H169" s="10"/>
      <c r="I169" s="10"/>
      <c r="J169" s="11"/>
    </row>
    <row r="170" spans="1:10">
      <c r="A170" s="10"/>
      <c r="B170" s="11"/>
      <c r="C170" s="10"/>
      <c r="D170" s="10"/>
      <c r="E170" s="11"/>
      <c r="F170" s="11"/>
      <c r="G170" s="10"/>
      <c r="H170" s="10"/>
      <c r="I170" s="10"/>
      <c r="J170" s="11"/>
    </row>
    <row r="171" spans="1:10">
      <c r="A171" s="10"/>
      <c r="B171" s="11"/>
      <c r="C171" s="10"/>
      <c r="D171" s="10"/>
      <c r="E171" s="11"/>
      <c r="F171" s="11"/>
      <c r="G171" s="10"/>
      <c r="H171" s="10"/>
      <c r="I171" s="10"/>
      <c r="J171" s="11"/>
    </row>
    <row r="172" spans="1:10">
      <c r="A172" s="10"/>
      <c r="B172" s="11"/>
      <c r="C172" s="10"/>
      <c r="D172" s="10"/>
      <c r="E172" s="11"/>
      <c r="F172" s="11"/>
      <c r="G172" s="10"/>
      <c r="H172" s="10"/>
      <c r="I172" s="10"/>
      <c r="J172" s="11"/>
    </row>
    <row r="173" spans="1:10">
      <c r="A173" s="10"/>
      <c r="B173" s="11"/>
      <c r="C173" s="10"/>
      <c r="D173" s="10"/>
      <c r="E173" s="11"/>
      <c r="F173" s="11"/>
      <c r="G173" s="10"/>
      <c r="H173" s="10"/>
      <c r="I173" s="10"/>
      <c r="J173" s="11"/>
    </row>
    <row r="174" spans="1:10">
      <c r="A174" s="10"/>
      <c r="B174" s="11"/>
      <c r="C174" s="10"/>
      <c r="D174" s="10"/>
      <c r="E174" s="11"/>
      <c r="F174" s="11"/>
      <c r="G174" s="10"/>
      <c r="H174" s="10"/>
      <c r="I174" s="10"/>
      <c r="J174" s="11"/>
    </row>
    <row r="175" spans="1:10">
      <c r="A175" s="10"/>
      <c r="B175" s="11"/>
      <c r="C175" s="10"/>
      <c r="D175" s="10"/>
      <c r="E175" s="11"/>
      <c r="F175" s="11"/>
      <c r="G175" s="10"/>
      <c r="H175" s="10"/>
      <c r="I175" s="10"/>
      <c r="J175" s="11"/>
    </row>
    <row r="176" spans="1:10">
      <c r="A176" s="10"/>
      <c r="B176" s="11"/>
      <c r="C176" s="10"/>
      <c r="D176" s="10"/>
      <c r="E176" s="11"/>
      <c r="F176" s="11"/>
      <c r="G176" s="10"/>
      <c r="H176" s="10"/>
      <c r="I176" s="10"/>
      <c r="J176" s="11"/>
    </row>
    <row r="177" spans="1:10">
      <c r="A177" s="10"/>
      <c r="B177" s="11"/>
      <c r="C177" s="10"/>
      <c r="D177" s="10"/>
      <c r="E177" s="11"/>
      <c r="F177" s="11"/>
      <c r="G177" s="10"/>
      <c r="H177" s="10"/>
      <c r="I177" s="10"/>
      <c r="J177" s="11"/>
    </row>
    <row r="178" spans="1:10">
      <c r="A178" s="10"/>
      <c r="B178" s="11"/>
      <c r="C178" s="10"/>
      <c r="D178" s="10"/>
      <c r="E178" s="11"/>
      <c r="F178" s="11"/>
      <c r="G178" s="10"/>
      <c r="H178" s="10"/>
      <c r="I178" s="10"/>
      <c r="J178" s="11"/>
    </row>
    <row r="179" spans="1:10">
      <c r="A179" s="10"/>
      <c r="B179" s="11"/>
      <c r="C179" s="10"/>
      <c r="D179" s="10"/>
      <c r="E179" s="11"/>
      <c r="F179" s="11"/>
      <c r="G179" s="10"/>
      <c r="H179" s="10"/>
      <c r="I179" s="10"/>
      <c r="J179" s="11"/>
    </row>
    <row r="180" spans="1:10">
      <c r="A180" s="10"/>
      <c r="B180" s="11"/>
      <c r="C180" s="10"/>
      <c r="D180" s="10"/>
      <c r="E180" s="11"/>
      <c r="F180" s="11"/>
      <c r="G180" s="10"/>
      <c r="H180" s="10"/>
      <c r="I180" s="10"/>
      <c r="J180" s="11"/>
    </row>
    <row r="181" spans="1:10">
      <c r="A181" s="10"/>
      <c r="B181" s="11"/>
      <c r="C181" s="10"/>
      <c r="D181" s="10"/>
      <c r="E181" s="11"/>
      <c r="F181" s="11"/>
      <c r="G181" s="10"/>
      <c r="H181" s="10"/>
      <c r="I181" s="10"/>
      <c r="J181" s="11"/>
    </row>
    <row r="182" spans="1:10">
      <c r="A182" s="10"/>
      <c r="B182" s="11"/>
      <c r="C182" s="10"/>
      <c r="D182" s="10"/>
      <c r="E182" s="11"/>
      <c r="F182" s="11"/>
      <c r="G182" s="10"/>
      <c r="H182" s="10"/>
      <c r="I182" s="10"/>
      <c r="J182" s="11"/>
    </row>
    <row r="183" spans="1:10">
      <c r="A183" s="10"/>
      <c r="B183" s="11"/>
      <c r="C183" s="10"/>
      <c r="D183" s="10"/>
      <c r="E183" s="11"/>
      <c r="F183" s="11"/>
      <c r="G183" s="10"/>
      <c r="H183" s="10"/>
      <c r="I183" s="10"/>
      <c r="J183" s="11"/>
    </row>
    <row r="184" spans="1:10">
      <c r="A184" s="10"/>
      <c r="B184" s="11"/>
      <c r="C184" s="10"/>
      <c r="D184" s="10"/>
      <c r="E184" s="11"/>
      <c r="F184" s="11"/>
      <c r="G184" s="10"/>
      <c r="H184" s="10"/>
      <c r="I184" s="10"/>
      <c r="J184" s="11"/>
    </row>
    <row r="185" spans="1:10">
      <c r="A185" s="10"/>
      <c r="B185" s="11"/>
      <c r="C185" s="10"/>
      <c r="D185" s="10"/>
      <c r="E185" s="11"/>
      <c r="F185" s="11"/>
      <c r="G185" s="10"/>
      <c r="H185" s="10"/>
      <c r="I185" s="10"/>
      <c r="J185" s="11"/>
    </row>
    <row r="186" spans="1:10">
      <c r="A186" s="10"/>
      <c r="B186" s="11"/>
      <c r="C186" s="10"/>
      <c r="D186" s="10"/>
      <c r="E186" s="11"/>
      <c r="F186" s="11"/>
      <c r="G186" s="10"/>
      <c r="H186" s="10"/>
      <c r="I186" s="10"/>
      <c r="J186" s="11"/>
    </row>
    <row r="187" spans="1:10">
      <c r="A187" s="10"/>
      <c r="B187" s="11"/>
      <c r="C187" s="10"/>
      <c r="D187" s="10"/>
      <c r="E187" s="11"/>
      <c r="F187" s="11"/>
      <c r="G187" s="10"/>
      <c r="H187" s="10"/>
      <c r="I187" s="10"/>
      <c r="J187" s="11"/>
    </row>
    <row r="188" spans="1:10">
      <c r="A188" s="10"/>
      <c r="B188" s="11"/>
      <c r="C188" s="10"/>
      <c r="D188" s="10"/>
      <c r="E188" s="11"/>
      <c r="F188" s="11"/>
      <c r="G188" s="10"/>
      <c r="H188" s="10"/>
      <c r="I188" s="10"/>
      <c r="J188" s="11"/>
    </row>
    <row r="189" spans="1:10">
      <c r="A189" s="10"/>
      <c r="B189" s="11"/>
      <c r="C189" s="10"/>
      <c r="D189" s="10"/>
      <c r="E189" s="11"/>
      <c r="F189" s="11"/>
      <c r="G189" s="10"/>
      <c r="H189" s="10"/>
      <c r="I189" s="10"/>
      <c r="J189" s="11"/>
    </row>
    <row r="190" spans="1:10">
      <c r="A190" s="10"/>
      <c r="B190" s="11"/>
      <c r="C190" s="10"/>
      <c r="D190" s="10"/>
      <c r="E190" s="11"/>
      <c r="F190" s="11"/>
      <c r="G190" s="10"/>
      <c r="H190" s="10"/>
      <c r="I190" s="10"/>
      <c r="J190" s="11"/>
    </row>
    <row r="191" spans="1:10">
      <c r="A191" s="10"/>
      <c r="B191" s="11"/>
      <c r="C191" s="10"/>
      <c r="D191" s="10"/>
      <c r="E191" s="11"/>
      <c r="F191" s="11"/>
      <c r="G191" s="10"/>
      <c r="H191" s="10"/>
      <c r="I191" s="10"/>
      <c r="J191" s="11"/>
    </row>
    <row r="192" spans="1:10">
      <c r="A192" s="10"/>
      <c r="B192" s="11"/>
      <c r="C192" s="10"/>
      <c r="D192" s="10"/>
      <c r="E192" s="11"/>
      <c r="F192" s="11"/>
      <c r="G192" s="10"/>
      <c r="H192" s="10"/>
      <c r="I192" s="10"/>
      <c r="J192" s="11"/>
    </row>
    <row r="193" spans="1:10">
      <c r="A193" s="10"/>
      <c r="B193" s="11"/>
      <c r="C193" s="10"/>
      <c r="D193" s="10"/>
      <c r="E193" s="11"/>
      <c r="F193" s="11"/>
      <c r="G193" s="10"/>
      <c r="H193" s="10"/>
      <c r="I193" s="10"/>
      <c r="J193" s="11"/>
    </row>
    <row r="194" spans="1:10">
      <c r="A194" s="10"/>
      <c r="B194" s="11"/>
      <c r="C194" s="10"/>
      <c r="D194" s="10"/>
      <c r="E194" s="11"/>
      <c r="F194" s="11"/>
      <c r="G194" s="10"/>
      <c r="H194" s="10"/>
      <c r="I194" s="10"/>
      <c r="J194" s="11"/>
    </row>
    <row r="195" spans="1:10">
      <c r="A195" s="10"/>
      <c r="B195" s="11"/>
      <c r="C195" s="10"/>
      <c r="D195" s="10"/>
      <c r="E195" s="11"/>
      <c r="F195" s="11"/>
      <c r="G195" s="10"/>
      <c r="H195" s="10"/>
      <c r="I195" s="10"/>
      <c r="J195" s="11"/>
    </row>
    <row r="196" spans="1:10">
      <c r="A196" s="10"/>
      <c r="B196" s="11"/>
      <c r="C196" s="10"/>
      <c r="D196" s="10"/>
      <c r="E196" s="11"/>
      <c r="F196" s="11"/>
      <c r="G196" s="10"/>
      <c r="H196" s="10"/>
      <c r="I196" s="10"/>
      <c r="J196" s="11"/>
    </row>
    <row r="197" spans="1:10">
      <c r="A197" s="10"/>
      <c r="B197" s="11"/>
      <c r="C197" s="10"/>
      <c r="D197" s="10"/>
      <c r="E197" s="11"/>
      <c r="F197" s="11"/>
      <c r="G197" s="10"/>
      <c r="H197" s="10"/>
      <c r="I197" s="10"/>
      <c r="J197" s="11"/>
    </row>
    <row r="198" spans="1:10">
      <c r="A198" s="10"/>
      <c r="B198" s="11"/>
      <c r="C198" s="10"/>
      <c r="D198" s="10"/>
      <c r="E198" s="11"/>
      <c r="F198" s="11"/>
      <c r="G198" s="10"/>
      <c r="H198" s="10"/>
      <c r="I198" s="10"/>
      <c r="J198" s="11"/>
    </row>
    <row r="199" spans="1:10">
      <c r="A199" s="10"/>
      <c r="B199" s="11"/>
      <c r="C199" s="10"/>
      <c r="D199" s="10"/>
      <c r="E199" s="11"/>
      <c r="F199" s="11"/>
      <c r="G199" s="10"/>
      <c r="H199" s="10"/>
      <c r="I199" s="10"/>
      <c r="J199" s="11"/>
    </row>
    <row r="200" spans="1:10">
      <c r="A200" s="10"/>
      <c r="B200" s="11"/>
      <c r="C200" s="10"/>
      <c r="D200" s="10"/>
      <c r="E200" s="11"/>
      <c r="F200" s="11"/>
      <c r="G200" s="10"/>
      <c r="H200" s="10"/>
      <c r="I200" s="10"/>
      <c r="J200" s="11"/>
    </row>
    <row r="201" spans="1:10">
      <c r="A201" s="10"/>
      <c r="B201" s="11"/>
      <c r="C201" s="10"/>
      <c r="D201" s="10"/>
      <c r="E201" s="11"/>
      <c r="F201" s="11"/>
      <c r="G201" s="10"/>
      <c r="H201" s="10"/>
      <c r="I201" s="10"/>
      <c r="J201" s="11"/>
    </row>
    <row r="202" spans="1:10">
      <c r="A202" s="10"/>
      <c r="B202" s="11"/>
      <c r="C202" s="10"/>
      <c r="D202" s="10"/>
      <c r="E202" s="11"/>
      <c r="F202" s="11"/>
      <c r="G202" s="10"/>
      <c r="H202" s="10"/>
      <c r="I202" s="10"/>
      <c r="J202" s="11"/>
    </row>
    <row r="203" spans="1:10">
      <c r="A203" s="10"/>
      <c r="B203" s="11"/>
      <c r="C203" s="10"/>
      <c r="D203" s="10"/>
      <c r="E203" s="11"/>
      <c r="F203" s="11"/>
      <c r="G203" s="10"/>
      <c r="H203" s="10"/>
      <c r="I203" s="10"/>
      <c r="J203" s="11"/>
    </row>
    <row r="204" spans="1:10">
      <c r="A204" s="10"/>
      <c r="B204" s="11"/>
      <c r="C204" s="10"/>
      <c r="D204" s="10"/>
      <c r="E204" s="11"/>
      <c r="F204" s="11"/>
      <c r="G204" s="10"/>
      <c r="H204" s="10"/>
      <c r="I204" s="10"/>
      <c r="J204" s="11"/>
    </row>
    <row r="205" spans="1:10">
      <c r="A205" s="10"/>
      <c r="B205" s="11"/>
      <c r="C205" s="10"/>
      <c r="D205" s="10"/>
      <c r="E205" s="11"/>
      <c r="F205" s="11"/>
      <c r="G205" s="10"/>
      <c r="H205" s="10"/>
      <c r="I205" s="10"/>
      <c r="J205" s="11"/>
    </row>
    <row r="206" spans="1:10">
      <c r="A206" s="10"/>
      <c r="B206" s="11"/>
      <c r="C206" s="10"/>
      <c r="D206" s="10"/>
      <c r="E206" s="11"/>
      <c r="F206" s="11"/>
      <c r="G206" s="10"/>
      <c r="H206" s="10"/>
      <c r="I206" s="10"/>
      <c r="J206" s="11"/>
    </row>
    <row r="207" spans="1:10">
      <c r="A207" s="10"/>
      <c r="B207" s="11"/>
      <c r="C207" s="10"/>
      <c r="D207" s="10"/>
      <c r="E207" s="11"/>
      <c r="F207" s="11"/>
      <c r="G207" s="10"/>
      <c r="H207" s="10"/>
      <c r="I207" s="10"/>
      <c r="J207" s="11"/>
    </row>
    <row r="208" spans="1:10">
      <c r="A208" s="10"/>
      <c r="B208" s="11"/>
      <c r="C208" s="10"/>
      <c r="D208" s="10"/>
      <c r="E208" s="11"/>
      <c r="F208" s="11"/>
      <c r="G208" s="10"/>
      <c r="H208" s="10"/>
      <c r="I208" s="10"/>
      <c r="J208" s="11"/>
    </row>
    <row r="209" spans="1:10">
      <c r="A209" s="10"/>
      <c r="B209" s="11"/>
      <c r="C209" s="10"/>
      <c r="D209" s="10"/>
      <c r="E209" s="11"/>
      <c r="F209" s="11"/>
      <c r="G209" s="10"/>
      <c r="H209" s="10"/>
      <c r="I209" s="10"/>
      <c r="J209" s="11"/>
    </row>
    <row r="210" spans="1:10">
      <c r="A210" s="10"/>
      <c r="B210" s="11"/>
      <c r="C210" s="10"/>
      <c r="D210" s="10"/>
      <c r="E210" s="11"/>
      <c r="F210" s="11"/>
      <c r="G210" s="10"/>
      <c r="H210" s="10"/>
      <c r="I210" s="10"/>
      <c r="J210" s="11"/>
    </row>
    <row r="211" spans="1:10">
      <c r="A211" s="10"/>
      <c r="B211" s="11"/>
      <c r="C211" s="10"/>
      <c r="D211" s="10"/>
      <c r="E211" s="11"/>
      <c r="F211" s="11"/>
      <c r="G211" s="10"/>
      <c r="H211" s="10"/>
      <c r="I211" s="10"/>
      <c r="J211" s="11"/>
    </row>
    <row r="212" spans="1:10">
      <c r="A212" s="10"/>
      <c r="B212" s="11"/>
      <c r="C212" s="10"/>
      <c r="D212" s="10"/>
      <c r="E212" s="11"/>
      <c r="F212" s="11"/>
      <c r="G212" s="10"/>
      <c r="H212" s="10"/>
      <c r="I212" s="10"/>
      <c r="J212" s="11"/>
    </row>
    <row r="213" spans="1:10">
      <c r="A213" s="10"/>
      <c r="B213" s="11"/>
      <c r="C213" s="10"/>
      <c r="D213" s="10"/>
      <c r="E213" s="11"/>
      <c r="F213" s="11"/>
      <c r="G213" s="10"/>
      <c r="H213" s="10"/>
      <c r="I213" s="10"/>
      <c r="J213" s="11"/>
    </row>
    <row r="214" spans="1:10">
      <c r="A214" s="10"/>
      <c r="B214" s="11"/>
      <c r="C214" s="10"/>
      <c r="D214" s="10"/>
      <c r="E214" s="11"/>
      <c r="F214" s="11"/>
      <c r="G214" s="10"/>
      <c r="H214" s="10"/>
      <c r="I214" s="10"/>
      <c r="J214" s="11"/>
    </row>
    <row r="215" spans="1:10">
      <c r="A215" s="10"/>
      <c r="B215" s="11"/>
      <c r="C215" s="10"/>
      <c r="D215" s="10"/>
      <c r="E215" s="11"/>
      <c r="F215" s="11"/>
      <c r="G215" s="10"/>
      <c r="H215" s="10"/>
      <c r="I215" s="10"/>
      <c r="J215" s="11"/>
    </row>
    <row r="216" spans="1:10">
      <c r="A216" s="10"/>
      <c r="B216" s="11"/>
      <c r="C216" s="10"/>
      <c r="D216" s="10"/>
      <c r="E216" s="11"/>
      <c r="F216" s="11"/>
      <c r="G216" s="10"/>
      <c r="H216" s="10"/>
      <c r="I216" s="10"/>
      <c r="J216" s="11"/>
    </row>
    <row r="217" spans="1:10">
      <c r="A217" s="10"/>
      <c r="B217" s="11"/>
      <c r="C217" s="10"/>
      <c r="D217" s="10"/>
      <c r="E217" s="11"/>
      <c r="F217" s="11"/>
      <c r="G217" s="10"/>
      <c r="H217" s="10"/>
      <c r="I217" s="10"/>
      <c r="J217" s="11"/>
    </row>
    <row r="218" spans="1:10">
      <c r="A218" s="10"/>
      <c r="B218" s="11"/>
      <c r="C218" s="10"/>
      <c r="D218" s="10"/>
      <c r="E218" s="11"/>
      <c r="F218" s="11"/>
      <c r="G218" s="10"/>
      <c r="H218" s="10"/>
      <c r="I218" s="10"/>
      <c r="J218" s="11"/>
    </row>
    <row r="219" spans="1:10">
      <c r="A219" s="10"/>
      <c r="B219" s="11"/>
      <c r="C219" s="10"/>
      <c r="D219" s="10"/>
      <c r="E219" s="11"/>
      <c r="F219" s="11"/>
      <c r="G219" s="10"/>
      <c r="H219" s="10"/>
      <c r="I219" s="10"/>
      <c r="J219" s="11"/>
    </row>
    <row r="220" spans="1:10">
      <c r="A220" s="10"/>
      <c r="B220" s="11"/>
      <c r="C220" s="10"/>
      <c r="D220" s="10"/>
      <c r="E220" s="11"/>
      <c r="F220" s="11"/>
      <c r="G220" s="10"/>
      <c r="H220" s="10"/>
      <c r="I220" s="10"/>
      <c r="J220" s="11"/>
    </row>
    <row r="221" spans="1:10">
      <c r="A221" s="10"/>
      <c r="B221" s="11"/>
      <c r="C221" s="10"/>
      <c r="D221" s="10"/>
      <c r="E221" s="11"/>
      <c r="F221" s="11"/>
      <c r="G221" s="10"/>
      <c r="H221" s="10"/>
      <c r="I221" s="10"/>
      <c r="J221" s="11"/>
    </row>
    <row r="222" spans="1:10">
      <c r="A222" s="10"/>
      <c r="B222" s="11"/>
      <c r="C222" s="10"/>
      <c r="D222" s="10"/>
      <c r="E222" s="11"/>
      <c r="F222" s="11"/>
      <c r="G222" s="10"/>
      <c r="H222" s="10"/>
      <c r="I222" s="10"/>
      <c r="J222" s="11"/>
    </row>
    <row r="223" spans="1:10">
      <c r="A223" s="10"/>
      <c r="B223" s="11"/>
      <c r="C223" s="10"/>
      <c r="D223" s="10"/>
      <c r="E223" s="11"/>
      <c r="F223" s="11"/>
      <c r="G223" s="10"/>
      <c r="H223" s="10"/>
      <c r="I223" s="10"/>
      <c r="J223" s="11"/>
    </row>
    <row r="224" spans="1:10">
      <c r="A224" s="10"/>
      <c r="B224" s="11"/>
      <c r="C224" s="10"/>
      <c r="D224" s="10"/>
      <c r="E224" s="11"/>
      <c r="F224" s="11"/>
      <c r="G224" s="10"/>
      <c r="H224" s="10"/>
      <c r="I224" s="10"/>
      <c r="J224" s="11"/>
    </row>
    <row r="225" spans="1:10">
      <c r="A225" s="10"/>
      <c r="B225" s="11"/>
      <c r="C225" s="10"/>
      <c r="D225" s="10"/>
      <c r="E225" s="11"/>
      <c r="F225" s="11"/>
      <c r="G225" s="10"/>
      <c r="H225" s="10"/>
      <c r="I225" s="10"/>
      <c r="J225" s="11"/>
    </row>
    <row r="226" spans="1:10">
      <c r="A226" s="10"/>
      <c r="B226" s="11"/>
      <c r="C226" s="10"/>
      <c r="D226" s="10"/>
      <c r="E226" s="11"/>
      <c r="F226" s="11"/>
      <c r="G226" s="10"/>
      <c r="H226" s="10"/>
      <c r="I226" s="10"/>
      <c r="J226" s="11"/>
    </row>
    <row r="227" spans="1:10">
      <c r="A227" s="10"/>
      <c r="B227" s="11"/>
      <c r="C227" s="10"/>
      <c r="D227" s="10"/>
      <c r="E227" s="11"/>
      <c r="F227" s="11"/>
      <c r="G227" s="10"/>
      <c r="H227" s="10"/>
      <c r="I227" s="10"/>
      <c r="J227" s="11"/>
    </row>
    <row r="228" spans="1:10">
      <c r="A228" s="10"/>
      <c r="B228" s="11"/>
      <c r="C228" s="10"/>
      <c r="D228" s="10"/>
      <c r="E228" s="11"/>
      <c r="F228" s="11"/>
      <c r="G228" s="10"/>
      <c r="H228" s="10"/>
      <c r="I228" s="10"/>
      <c r="J228" s="11"/>
    </row>
    <row r="229" spans="1:10">
      <c r="A229" s="10"/>
      <c r="B229" s="11"/>
      <c r="C229" s="10"/>
      <c r="D229" s="10"/>
      <c r="E229" s="11"/>
      <c r="F229" s="11"/>
      <c r="G229" s="10"/>
      <c r="H229" s="10"/>
      <c r="I229" s="10"/>
      <c r="J229" s="11"/>
    </row>
    <row r="230" spans="1:10">
      <c r="A230" s="10"/>
      <c r="B230" s="11"/>
      <c r="C230" s="10"/>
      <c r="D230" s="10"/>
      <c r="E230" s="11"/>
      <c r="F230" s="11"/>
      <c r="G230" s="10"/>
      <c r="H230" s="10"/>
      <c r="I230" s="10"/>
      <c r="J230" s="11"/>
    </row>
    <row r="231" spans="1:10">
      <c r="A231" s="10"/>
      <c r="B231" s="11"/>
      <c r="C231" s="10"/>
      <c r="D231" s="10"/>
      <c r="E231" s="11"/>
      <c r="F231" s="11"/>
      <c r="G231" s="10"/>
      <c r="H231" s="10"/>
      <c r="I231" s="10"/>
      <c r="J231" s="11"/>
    </row>
    <row r="232" spans="1:10">
      <c r="A232" s="10"/>
      <c r="B232" s="11"/>
      <c r="C232" s="10"/>
      <c r="D232" s="10"/>
      <c r="E232" s="11"/>
      <c r="F232" s="11"/>
      <c r="G232" s="10"/>
      <c r="H232" s="10"/>
      <c r="I232" s="10"/>
      <c r="J232" s="11"/>
    </row>
    <row r="233" spans="1:10">
      <c r="A233" s="10"/>
      <c r="B233" s="11"/>
      <c r="C233" s="10"/>
      <c r="D233" s="10"/>
      <c r="E233" s="11"/>
      <c r="F233" s="11"/>
      <c r="G233" s="10"/>
      <c r="H233" s="10"/>
      <c r="I233" s="10"/>
      <c r="J233" s="11"/>
    </row>
    <row r="234" spans="1:10">
      <c r="A234" s="10"/>
      <c r="B234" s="11"/>
      <c r="C234" s="10"/>
      <c r="D234" s="10"/>
      <c r="E234" s="11"/>
      <c r="F234" s="11"/>
      <c r="G234" s="10"/>
      <c r="H234" s="10"/>
      <c r="I234" s="10"/>
      <c r="J234" s="11"/>
    </row>
    <row r="235" spans="1:10">
      <c r="A235" s="10"/>
      <c r="B235" s="11"/>
      <c r="C235" s="10"/>
      <c r="D235" s="10"/>
      <c r="E235" s="11"/>
      <c r="F235" s="11"/>
      <c r="G235" s="10"/>
      <c r="H235" s="10"/>
      <c r="I235" s="10"/>
      <c r="J235" s="11"/>
    </row>
    <row r="236" spans="1:10">
      <c r="A236" s="10"/>
      <c r="B236" s="11"/>
      <c r="C236" s="10"/>
      <c r="D236" s="10"/>
      <c r="E236" s="11"/>
      <c r="F236" s="11"/>
      <c r="G236" s="10"/>
      <c r="H236" s="10"/>
      <c r="I236" s="10"/>
      <c r="J236" s="11"/>
    </row>
    <row r="237" spans="1:10">
      <c r="A237" s="10"/>
      <c r="B237" s="11"/>
      <c r="C237" s="10"/>
      <c r="D237" s="10"/>
      <c r="E237" s="11"/>
      <c r="F237" s="11"/>
      <c r="G237" s="10"/>
      <c r="H237" s="10"/>
      <c r="I237" s="10"/>
      <c r="J237" s="11"/>
    </row>
    <row r="238" spans="1:10">
      <c r="A238" s="10"/>
      <c r="B238" s="11"/>
      <c r="C238" s="10"/>
      <c r="D238" s="10"/>
      <c r="E238" s="11"/>
      <c r="F238" s="11"/>
      <c r="G238" s="10"/>
      <c r="H238" s="10"/>
      <c r="I238" s="10"/>
      <c r="J238" s="11"/>
    </row>
    <row r="239" spans="1:10">
      <c r="A239" s="10"/>
      <c r="B239" s="11"/>
      <c r="C239" s="10"/>
      <c r="D239" s="10"/>
      <c r="E239" s="11"/>
      <c r="F239" s="11"/>
      <c r="G239" s="10"/>
      <c r="H239" s="10"/>
      <c r="I239" s="10"/>
      <c r="J239" s="11"/>
    </row>
    <row r="240" spans="1:10">
      <c r="A240" s="10"/>
      <c r="B240" s="11"/>
      <c r="C240" s="10"/>
      <c r="D240" s="10"/>
      <c r="E240" s="11"/>
      <c r="F240" s="11"/>
      <c r="G240" s="10"/>
      <c r="H240" s="10"/>
      <c r="I240" s="10"/>
      <c r="J240" s="11"/>
    </row>
    <row r="241" spans="1:10">
      <c r="A241" s="10"/>
      <c r="B241" s="11"/>
      <c r="C241" s="10"/>
      <c r="D241" s="10"/>
      <c r="E241" s="11"/>
      <c r="F241" s="11"/>
      <c r="G241" s="10"/>
      <c r="H241" s="10"/>
      <c r="I241" s="10"/>
      <c r="J241" s="11"/>
    </row>
    <row r="242" spans="1:10">
      <c r="A242" s="10"/>
      <c r="B242" s="11"/>
      <c r="C242" s="10"/>
      <c r="D242" s="10"/>
      <c r="E242" s="11"/>
      <c r="F242" s="11"/>
      <c r="G242" s="10"/>
      <c r="H242" s="10"/>
      <c r="I242" s="10"/>
      <c r="J242" s="11"/>
    </row>
    <row r="243" spans="1:10">
      <c r="A243" s="10"/>
      <c r="B243" s="11"/>
      <c r="C243" s="10"/>
      <c r="D243" s="10"/>
      <c r="E243" s="11"/>
      <c r="F243" s="11"/>
      <c r="G243" s="10"/>
      <c r="H243" s="10"/>
      <c r="I243" s="10"/>
      <c r="J243" s="11"/>
    </row>
    <row r="244" spans="1:10">
      <c r="A244" s="10"/>
      <c r="B244" s="11"/>
      <c r="C244" s="10"/>
      <c r="D244" s="10"/>
      <c r="E244" s="11"/>
      <c r="F244" s="11"/>
      <c r="G244" s="10"/>
      <c r="H244" s="10"/>
      <c r="I244" s="10"/>
      <c r="J244" s="11"/>
    </row>
    <row r="245" spans="1:10">
      <c r="A245" s="10"/>
      <c r="B245" s="11"/>
      <c r="C245" s="10"/>
      <c r="D245" s="10"/>
      <c r="E245" s="11"/>
      <c r="F245" s="11"/>
      <c r="G245" s="10"/>
      <c r="H245" s="10"/>
      <c r="I245" s="10"/>
      <c r="J245" s="11"/>
    </row>
    <row r="246" spans="1:10">
      <c r="A246" s="10"/>
      <c r="B246" s="11"/>
      <c r="C246" s="10"/>
      <c r="D246" s="10"/>
      <c r="E246" s="11"/>
      <c r="F246" s="11"/>
      <c r="G246" s="10"/>
      <c r="H246" s="10"/>
      <c r="I246" s="10"/>
      <c r="J246" s="11"/>
    </row>
    <row r="247" spans="1:10">
      <c r="A247" s="10"/>
      <c r="B247" s="11"/>
      <c r="C247" s="10"/>
      <c r="D247" s="10"/>
      <c r="E247" s="11"/>
      <c r="F247" s="11"/>
      <c r="G247" s="10"/>
      <c r="H247" s="10"/>
      <c r="I247" s="10"/>
      <c r="J247" s="11"/>
    </row>
    <row r="248" spans="1:10">
      <c r="A248" s="10"/>
      <c r="B248" s="11"/>
      <c r="C248" s="10"/>
      <c r="D248" s="10"/>
      <c r="E248" s="11"/>
      <c r="F248" s="11"/>
      <c r="G248" s="10"/>
      <c r="H248" s="10"/>
      <c r="I248" s="10"/>
      <c r="J248" s="11"/>
    </row>
    <row r="249" spans="1:10">
      <c r="A249" s="10"/>
      <c r="B249" s="11"/>
      <c r="C249" s="10"/>
      <c r="D249" s="10"/>
      <c r="E249" s="11"/>
      <c r="F249" s="11"/>
      <c r="G249" s="10"/>
      <c r="H249" s="10"/>
      <c r="I249" s="10"/>
      <c r="J249" s="11"/>
    </row>
    <row r="250" spans="1:10">
      <c r="A250" s="10"/>
      <c r="B250" s="11"/>
      <c r="C250" s="10"/>
      <c r="D250" s="10"/>
      <c r="E250" s="11"/>
      <c r="F250" s="11"/>
      <c r="G250" s="10"/>
      <c r="H250" s="10"/>
      <c r="I250" s="10"/>
      <c r="J250" s="11"/>
    </row>
  </sheetData>
  <mergeCells count="2">
    <mergeCell ref="A1:J1"/>
    <mergeCell ref="A2:J2"/>
  </mergeCells>
  <dataValidations count="4">
    <dataValidation type="list" allowBlank="1" sqref="C4:C250" xr:uid="{00000000-0002-0000-0600-000000000000}">
      <formula1>TipiFonte</formula1>
    </dataValidation>
    <dataValidation type="list" allowBlank="1" sqref="G4:G250" xr:uid="{00000000-0002-0000-0600-000001000000}">
      <formula1>FrequenzeAgg</formula1>
    </dataValidation>
    <dataValidation type="list" allowBlank="1" sqref="H4:H250" xr:uid="{00000000-0002-0000-0600-000002000000}">
      <formula1>AccessoFonte</formula1>
    </dataValidation>
    <dataValidation type="list" allowBlank="1" sqref="I4:I250" xr:uid="{00000000-0002-0000-0600-000003000000}">
      <formula1>Affidabilita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8"/>
  </sheetPr>
  <dimension ref="A1:M250"/>
  <sheetViews>
    <sheetView showGridLines="0" workbookViewId="0">
      <selection activeCell="E7" sqref="E7"/>
    </sheetView>
  </sheetViews>
  <sheetFormatPr defaultRowHeight="14.45"/>
  <cols>
    <col min="1" max="1" width="10" customWidth="1"/>
    <col min="2" max="2" width="22" customWidth="1"/>
    <col min="3" max="3" width="20" customWidth="1"/>
    <col min="4" max="4" width="24" customWidth="1"/>
    <col min="5" max="5" width="36" customWidth="1"/>
    <col min="6" max="6" width="18" customWidth="1"/>
    <col min="7" max="9" width="16" customWidth="1"/>
    <col min="10" max="10" width="32" customWidth="1"/>
    <col min="11" max="11" width="14" customWidth="1"/>
    <col min="12" max="13" width="18" customWidth="1"/>
  </cols>
  <sheetData>
    <row r="1" spans="1:13" ht="24" customHeight="1">
      <c r="A1" s="28" t="s">
        <v>1022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36" customHeight="1">
      <c r="A2" s="29" t="s">
        <v>1023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27.95" customHeight="1">
      <c r="A3" s="18" t="s">
        <v>64</v>
      </c>
      <c r="B3" s="18" t="s">
        <v>29</v>
      </c>
      <c r="C3" s="18" t="s">
        <v>1024</v>
      </c>
      <c r="D3" s="18" t="s">
        <v>23</v>
      </c>
      <c r="E3" s="18" t="s">
        <v>1025</v>
      </c>
      <c r="F3" s="18" t="s">
        <v>58</v>
      </c>
      <c r="G3" s="18" t="s">
        <v>1026</v>
      </c>
      <c r="H3" s="18" t="s">
        <v>30</v>
      </c>
      <c r="I3" s="18" t="s">
        <v>1027</v>
      </c>
      <c r="J3" s="18" t="s">
        <v>1028</v>
      </c>
      <c r="K3" s="18" t="s">
        <v>1029</v>
      </c>
      <c r="L3" s="18" t="s">
        <v>1030</v>
      </c>
      <c r="M3" s="25"/>
    </row>
    <row r="4" spans="1:13" ht="87" customHeight="1">
      <c r="A4" s="19" t="s">
        <v>90</v>
      </c>
      <c r="B4" s="19" t="s">
        <v>92</v>
      </c>
      <c r="C4" s="19" t="s">
        <v>1031</v>
      </c>
      <c r="D4" s="19" t="s">
        <v>91</v>
      </c>
      <c r="E4" s="20" t="s">
        <v>1032</v>
      </c>
      <c r="F4" s="19" t="s">
        <v>94</v>
      </c>
      <c r="G4" s="19" t="s">
        <v>338</v>
      </c>
      <c r="H4" s="19"/>
      <c r="I4" s="20" t="s">
        <v>779</v>
      </c>
      <c r="J4" s="19" t="s">
        <v>100</v>
      </c>
      <c r="K4" s="19"/>
      <c r="L4" s="19"/>
      <c r="M4" s="25"/>
    </row>
    <row r="5" spans="1:13" ht="72.599999999999994" customHeight="1">
      <c r="A5" s="19" t="s">
        <v>102</v>
      </c>
      <c r="B5" s="19" t="s">
        <v>92</v>
      </c>
      <c r="C5" s="19" t="s">
        <v>1031</v>
      </c>
      <c r="D5" s="19" t="s">
        <v>103</v>
      </c>
      <c r="E5" s="20" t="s">
        <v>1033</v>
      </c>
      <c r="F5" s="19" t="s">
        <v>256</v>
      </c>
      <c r="G5" s="19" t="s">
        <v>338</v>
      </c>
      <c r="H5" s="19"/>
      <c r="I5" s="20" t="s">
        <v>775</v>
      </c>
      <c r="J5" s="19" t="s">
        <v>107</v>
      </c>
      <c r="K5" s="19"/>
      <c r="L5" s="19"/>
      <c r="M5" s="25"/>
    </row>
    <row r="6" spans="1:13" ht="87" customHeight="1">
      <c r="A6" s="19" t="s">
        <v>108</v>
      </c>
      <c r="B6" s="19" t="s">
        <v>92</v>
      </c>
      <c r="C6" s="19" t="s">
        <v>1034</v>
      </c>
      <c r="D6" s="19" t="s">
        <v>109</v>
      </c>
      <c r="E6" s="20" t="s">
        <v>1035</v>
      </c>
      <c r="F6" s="19" t="s">
        <v>94</v>
      </c>
      <c r="G6" s="19" t="s">
        <v>1036</v>
      </c>
      <c r="H6" s="19"/>
      <c r="I6" s="20" t="s">
        <v>766</v>
      </c>
      <c r="J6" s="19" t="s">
        <v>116</v>
      </c>
      <c r="K6" s="19"/>
      <c r="L6" s="19"/>
      <c r="M6" s="25"/>
    </row>
    <row r="7" spans="1:13" ht="72.599999999999994" customHeight="1">
      <c r="A7" s="19" t="s">
        <v>117</v>
      </c>
      <c r="B7" s="19" t="s">
        <v>119</v>
      </c>
      <c r="C7" s="19" t="s">
        <v>1037</v>
      </c>
      <c r="D7" s="19" t="s">
        <v>118</v>
      </c>
      <c r="E7" s="20" t="s">
        <v>1038</v>
      </c>
      <c r="F7" s="19" t="s">
        <v>94</v>
      </c>
      <c r="G7" s="19" t="s">
        <v>338</v>
      </c>
      <c r="H7" s="19"/>
      <c r="I7" s="20" t="s">
        <v>426</v>
      </c>
      <c r="J7" s="19" t="s">
        <v>123</v>
      </c>
      <c r="K7" s="19" t="s">
        <v>1039</v>
      </c>
      <c r="L7" s="19" t="s">
        <v>281</v>
      </c>
      <c r="M7" s="25"/>
    </row>
    <row r="8" spans="1:13" ht="87" customHeight="1">
      <c r="A8" s="19" t="s">
        <v>124</v>
      </c>
      <c r="B8" s="19" t="s">
        <v>119</v>
      </c>
      <c r="C8" s="19" t="s">
        <v>1037</v>
      </c>
      <c r="D8" s="19" t="s">
        <v>125</v>
      </c>
      <c r="E8" s="20" t="s">
        <v>1040</v>
      </c>
      <c r="F8" s="19" t="s">
        <v>94</v>
      </c>
      <c r="G8" s="19" t="s">
        <v>1041</v>
      </c>
      <c r="H8" s="19"/>
      <c r="I8" s="20" t="s">
        <v>710</v>
      </c>
      <c r="J8" s="19" t="s">
        <v>130</v>
      </c>
      <c r="K8" s="19"/>
      <c r="L8" s="19"/>
      <c r="M8" s="25"/>
    </row>
    <row r="9" spans="1:13" ht="72.599999999999994" customHeight="1">
      <c r="A9" s="19" t="s">
        <v>131</v>
      </c>
      <c r="B9" s="19" t="s">
        <v>119</v>
      </c>
      <c r="C9" s="19" t="s">
        <v>1042</v>
      </c>
      <c r="D9" s="19" t="s">
        <v>132</v>
      </c>
      <c r="E9" s="20" t="s">
        <v>1043</v>
      </c>
      <c r="F9" s="19" t="s">
        <v>94</v>
      </c>
      <c r="G9" s="19" t="s">
        <v>338</v>
      </c>
      <c r="H9" s="19"/>
      <c r="I9" s="20" t="s">
        <v>548</v>
      </c>
      <c r="J9" s="19" t="s">
        <v>135</v>
      </c>
      <c r="K9" s="19" t="s">
        <v>1039</v>
      </c>
      <c r="L9" s="19" t="s">
        <v>281</v>
      </c>
      <c r="M9" s="25"/>
    </row>
    <row r="10" spans="1:13" ht="72.599999999999994" customHeight="1">
      <c r="A10" s="19" t="s">
        <v>136</v>
      </c>
      <c r="B10" s="19" t="s">
        <v>119</v>
      </c>
      <c r="C10" s="19" t="s">
        <v>1044</v>
      </c>
      <c r="D10" s="19" t="s">
        <v>137</v>
      </c>
      <c r="E10" s="20" t="s">
        <v>1045</v>
      </c>
      <c r="F10" s="19" t="s">
        <v>94</v>
      </c>
      <c r="G10" s="19" t="s">
        <v>338</v>
      </c>
      <c r="H10" s="19"/>
      <c r="I10" s="20" t="s">
        <v>735</v>
      </c>
      <c r="J10" s="19" t="s">
        <v>142</v>
      </c>
      <c r="K10" s="19"/>
      <c r="L10" s="19"/>
      <c r="M10" s="25"/>
    </row>
    <row r="11" spans="1:13" ht="87" customHeight="1">
      <c r="A11" s="19" t="s">
        <v>143</v>
      </c>
      <c r="B11" s="19" t="s">
        <v>119</v>
      </c>
      <c r="C11" s="19" t="s">
        <v>1046</v>
      </c>
      <c r="D11" s="19" t="s">
        <v>144</v>
      </c>
      <c r="E11" s="20" t="s">
        <v>1047</v>
      </c>
      <c r="F11" s="19" t="s">
        <v>94</v>
      </c>
      <c r="G11" s="19" t="s">
        <v>1048</v>
      </c>
      <c r="H11" s="19"/>
      <c r="I11" s="20" t="s">
        <v>721</v>
      </c>
      <c r="J11" s="19" t="s">
        <v>149</v>
      </c>
      <c r="K11" s="19"/>
      <c r="L11" s="19"/>
      <c r="M11" s="25"/>
    </row>
    <row r="12" spans="1:13" ht="72.599999999999994" customHeight="1">
      <c r="A12" s="19" t="s">
        <v>150</v>
      </c>
      <c r="B12" s="19" t="s">
        <v>119</v>
      </c>
      <c r="C12" s="19" t="s">
        <v>1049</v>
      </c>
      <c r="D12" s="19" t="s">
        <v>151</v>
      </c>
      <c r="E12" s="20" t="s">
        <v>1050</v>
      </c>
      <c r="F12" s="19" t="s">
        <v>94</v>
      </c>
      <c r="G12" s="19" t="s">
        <v>1051</v>
      </c>
      <c r="H12" s="19"/>
      <c r="I12" s="20" t="s">
        <v>788</v>
      </c>
      <c r="J12" s="19" t="s">
        <v>154</v>
      </c>
      <c r="K12" s="19"/>
      <c r="L12" s="19"/>
      <c r="M12" s="25"/>
    </row>
    <row r="13" spans="1:13" ht="87" customHeight="1">
      <c r="A13" s="19" t="s">
        <v>155</v>
      </c>
      <c r="B13" s="19" t="s">
        <v>157</v>
      </c>
      <c r="C13" s="19" t="s">
        <v>280</v>
      </c>
      <c r="D13" s="19" t="s">
        <v>156</v>
      </c>
      <c r="E13" s="20" t="s">
        <v>1052</v>
      </c>
      <c r="F13" s="19" t="s">
        <v>94</v>
      </c>
      <c r="G13" s="19" t="s">
        <v>1051</v>
      </c>
      <c r="H13" s="19"/>
      <c r="I13" s="20" t="s">
        <v>744</v>
      </c>
      <c r="J13" s="19" t="s">
        <v>160</v>
      </c>
      <c r="K13" s="19"/>
      <c r="L13" s="19"/>
      <c r="M13" s="25"/>
    </row>
    <row r="14" spans="1:13" ht="72.599999999999994" customHeight="1">
      <c r="A14" s="19" t="s">
        <v>161</v>
      </c>
      <c r="B14" s="19" t="s">
        <v>163</v>
      </c>
      <c r="C14" s="19" t="s">
        <v>303</v>
      </c>
      <c r="D14" s="19" t="s">
        <v>162</v>
      </c>
      <c r="E14" s="20" t="s">
        <v>1053</v>
      </c>
      <c r="F14" s="19" t="s">
        <v>111</v>
      </c>
      <c r="G14" s="19" t="s">
        <v>1051</v>
      </c>
      <c r="H14" s="19"/>
      <c r="I14" s="20" t="s">
        <v>631</v>
      </c>
      <c r="J14" s="19" t="s">
        <v>169</v>
      </c>
      <c r="K14" s="19" t="s">
        <v>1039</v>
      </c>
      <c r="L14" s="19" t="s">
        <v>281</v>
      </c>
      <c r="M14" s="25"/>
    </row>
    <row r="15" spans="1:13">
      <c r="A15" s="19" t="s">
        <v>1054</v>
      </c>
      <c r="B15" s="19" t="s">
        <v>119</v>
      </c>
      <c r="C15" s="19"/>
      <c r="D15" s="19"/>
      <c r="E15" s="20"/>
      <c r="F15" s="19"/>
      <c r="G15" s="19"/>
      <c r="H15" s="19"/>
      <c r="I15" s="20"/>
      <c r="J15" s="19"/>
      <c r="K15" s="19"/>
      <c r="L15" s="19"/>
      <c r="M15" s="25"/>
    </row>
    <row r="16" spans="1:13">
      <c r="A16" s="19"/>
      <c r="B16" s="19"/>
      <c r="C16" s="19"/>
      <c r="D16" s="19"/>
      <c r="E16" s="20"/>
      <c r="F16" s="19"/>
      <c r="G16" s="19"/>
      <c r="H16" s="19"/>
      <c r="I16" s="20"/>
      <c r="J16" s="19"/>
      <c r="K16" s="19"/>
      <c r="L16" s="19"/>
      <c r="M16" s="25"/>
    </row>
    <row r="17" spans="1:12">
      <c r="A17" s="19"/>
      <c r="B17" s="19"/>
      <c r="C17" s="19"/>
      <c r="D17" s="19"/>
      <c r="E17" s="20"/>
      <c r="F17" s="19"/>
      <c r="G17" s="19"/>
      <c r="H17" s="19"/>
      <c r="I17" s="20"/>
      <c r="J17" s="19"/>
      <c r="K17" s="19"/>
      <c r="L17" s="19"/>
    </row>
    <row r="18" spans="1:12">
      <c r="A18" s="19"/>
      <c r="B18" s="19"/>
      <c r="C18" s="19"/>
      <c r="D18" s="19"/>
      <c r="E18" s="20"/>
      <c r="F18" s="19"/>
      <c r="G18" s="19"/>
      <c r="H18" s="19"/>
      <c r="I18" s="20"/>
      <c r="J18" s="19"/>
      <c r="K18" s="19"/>
      <c r="L18" s="19"/>
    </row>
    <row r="19" spans="1:12">
      <c r="A19" s="10"/>
      <c r="B19" s="10"/>
      <c r="C19" s="10"/>
      <c r="D19" s="10"/>
      <c r="E19" s="11"/>
      <c r="F19" s="10"/>
      <c r="G19" s="10"/>
      <c r="H19" s="10"/>
      <c r="I19" s="11"/>
      <c r="J19" s="10"/>
      <c r="K19" s="10"/>
      <c r="L19" s="10"/>
    </row>
    <row r="20" spans="1:12">
      <c r="A20" s="10"/>
      <c r="B20" s="10"/>
      <c r="C20" s="10"/>
      <c r="D20" s="10"/>
      <c r="E20" s="11"/>
      <c r="F20" s="10"/>
      <c r="G20" s="10"/>
      <c r="H20" s="10"/>
      <c r="I20" s="11"/>
      <c r="J20" s="10"/>
      <c r="K20" s="10"/>
      <c r="L20" s="10"/>
    </row>
    <row r="21" spans="1:12">
      <c r="A21" s="10"/>
      <c r="B21" s="10"/>
      <c r="C21" s="10"/>
      <c r="D21" s="10"/>
      <c r="E21" s="11"/>
      <c r="F21" s="10"/>
      <c r="G21" s="10"/>
      <c r="H21" s="10"/>
      <c r="I21" s="11"/>
      <c r="J21" s="10"/>
      <c r="K21" s="10"/>
      <c r="L21" s="10"/>
    </row>
    <row r="22" spans="1:12">
      <c r="A22" s="10"/>
      <c r="B22" s="10"/>
      <c r="C22" s="10"/>
      <c r="D22" s="10"/>
      <c r="E22" s="11"/>
      <c r="F22" s="10"/>
      <c r="G22" s="10"/>
      <c r="H22" s="10"/>
      <c r="I22" s="11"/>
      <c r="J22" s="10"/>
      <c r="K22" s="10"/>
      <c r="L22" s="10"/>
    </row>
    <row r="23" spans="1:12">
      <c r="A23" s="10"/>
      <c r="B23" s="10"/>
      <c r="C23" s="10"/>
      <c r="D23" s="10"/>
      <c r="E23" s="11"/>
      <c r="F23" s="10"/>
      <c r="G23" s="10"/>
      <c r="H23" s="10"/>
      <c r="I23" s="11"/>
      <c r="J23" s="10"/>
      <c r="K23" s="10"/>
      <c r="L23" s="10"/>
    </row>
    <row r="24" spans="1:12">
      <c r="A24" s="10"/>
      <c r="B24" s="10"/>
      <c r="C24" s="10"/>
      <c r="D24" s="10"/>
      <c r="E24" s="11"/>
      <c r="F24" s="10"/>
      <c r="G24" s="10"/>
      <c r="H24" s="10"/>
      <c r="I24" s="11"/>
      <c r="J24" s="10"/>
      <c r="K24" s="10"/>
      <c r="L24" s="10"/>
    </row>
    <row r="25" spans="1:12">
      <c r="A25" s="10"/>
      <c r="B25" s="10"/>
      <c r="C25" s="10"/>
      <c r="D25" s="10"/>
      <c r="E25" s="11"/>
      <c r="F25" s="10"/>
      <c r="G25" s="10"/>
      <c r="H25" s="10"/>
      <c r="I25" s="11"/>
      <c r="J25" s="10"/>
      <c r="K25" s="10"/>
      <c r="L25" s="10"/>
    </row>
    <row r="26" spans="1:12">
      <c r="A26" s="10"/>
      <c r="B26" s="10"/>
      <c r="C26" s="10"/>
      <c r="D26" s="10"/>
      <c r="E26" s="11"/>
      <c r="F26" s="10"/>
      <c r="G26" s="10"/>
      <c r="H26" s="10"/>
      <c r="I26" s="11"/>
      <c r="J26" s="10"/>
      <c r="K26" s="10"/>
      <c r="L26" s="10"/>
    </row>
    <row r="27" spans="1:12">
      <c r="A27" s="10"/>
      <c r="B27" s="10"/>
      <c r="C27" s="10"/>
      <c r="D27" s="10"/>
      <c r="E27" s="11"/>
      <c r="F27" s="10"/>
      <c r="G27" s="10"/>
      <c r="H27" s="10"/>
      <c r="I27" s="11"/>
      <c r="J27" s="10"/>
      <c r="K27" s="10"/>
      <c r="L27" s="10"/>
    </row>
    <row r="28" spans="1:12">
      <c r="A28" s="10"/>
      <c r="B28" s="10"/>
      <c r="C28" s="10"/>
      <c r="D28" s="10"/>
      <c r="E28" s="11"/>
      <c r="F28" s="10"/>
      <c r="G28" s="10"/>
      <c r="H28" s="10"/>
      <c r="I28" s="11"/>
      <c r="J28" s="10"/>
      <c r="K28" s="10"/>
      <c r="L28" s="10"/>
    </row>
    <row r="29" spans="1:12">
      <c r="A29" s="10"/>
      <c r="B29" s="10"/>
      <c r="C29" s="10"/>
      <c r="D29" s="10"/>
      <c r="E29" s="11"/>
      <c r="F29" s="10"/>
      <c r="G29" s="10"/>
      <c r="H29" s="10"/>
      <c r="I29" s="11"/>
      <c r="J29" s="10"/>
      <c r="K29" s="10"/>
      <c r="L29" s="10"/>
    </row>
    <row r="30" spans="1:12">
      <c r="A30" s="10"/>
      <c r="B30" s="10"/>
      <c r="C30" s="10"/>
      <c r="D30" s="10"/>
      <c r="E30" s="11"/>
      <c r="F30" s="10"/>
      <c r="G30" s="10"/>
      <c r="H30" s="10"/>
      <c r="I30" s="11"/>
      <c r="J30" s="10"/>
      <c r="K30" s="10"/>
      <c r="L30" s="10"/>
    </row>
    <row r="31" spans="1:12">
      <c r="A31" s="10"/>
      <c r="B31" s="10"/>
      <c r="C31" s="10"/>
      <c r="D31" s="10"/>
      <c r="E31" s="11"/>
      <c r="F31" s="10"/>
      <c r="G31" s="10"/>
      <c r="H31" s="10"/>
      <c r="I31" s="11"/>
      <c r="J31" s="10"/>
      <c r="K31" s="10"/>
      <c r="L31" s="10"/>
    </row>
    <row r="32" spans="1:12">
      <c r="A32" s="10"/>
      <c r="B32" s="10"/>
      <c r="C32" s="10"/>
      <c r="D32" s="10"/>
      <c r="E32" s="11"/>
      <c r="F32" s="10"/>
      <c r="G32" s="10"/>
      <c r="H32" s="10"/>
      <c r="I32" s="11"/>
      <c r="J32" s="10"/>
      <c r="K32" s="10"/>
      <c r="L32" s="10"/>
    </row>
    <row r="33" spans="1:12">
      <c r="A33" s="10"/>
      <c r="B33" s="10"/>
      <c r="C33" s="10"/>
      <c r="D33" s="10"/>
      <c r="E33" s="11"/>
      <c r="F33" s="10"/>
      <c r="G33" s="10"/>
      <c r="H33" s="10"/>
      <c r="I33" s="11"/>
      <c r="J33" s="10"/>
      <c r="K33" s="10"/>
      <c r="L33" s="10"/>
    </row>
    <row r="34" spans="1:12">
      <c r="A34" s="10"/>
      <c r="B34" s="10"/>
      <c r="C34" s="10"/>
      <c r="D34" s="10"/>
      <c r="E34" s="11"/>
      <c r="F34" s="10"/>
      <c r="G34" s="10"/>
      <c r="H34" s="10"/>
      <c r="I34" s="11"/>
      <c r="J34" s="10"/>
      <c r="K34" s="10"/>
      <c r="L34" s="10"/>
    </row>
    <row r="35" spans="1:12">
      <c r="A35" s="10"/>
      <c r="B35" s="10"/>
      <c r="C35" s="10"/>
      <c r="D35" s="10"/>
      <c r="E35" s="11"/>
      <c r="F35" s="10"/>
      <c r="G35" s="10"/>
      <c r="H35" s="10"/>
      <c r="I35" s="11"/>
      <c r="J35" s="10"/>
      <c r="K35" s="10"/>
      <c r="L35" s="10"/>
    </row>
    <row r="36" spans="1:12">
      <c r="A36" s="10"/>
      <c r="B36" s="10"/>
      <c r="C36" s="10"/>
      <c r="D36" s="10"/>
      <c r="E36" s="11"/>
      <c r="F36" s="10"/>
      <c r="G36" s="10"/>
      <c r="H36" s="10"/>
      <c r="I36" s="11"/>
      <c r="J36" s="10"/>
      <c r="K36" s="10"/>
      <c r="L36" s="10"/>
    </row>
    <row r="37" spans="1:12">
      <c r="A37" s="10"/>
      <c r="B37" s="10"/>
      <c r="C37" s="10"/>
      <c r="D37" s="10"/>
      <c r="E37" s="11"/>
      <c r="F37" s="10"/>
      <c r="G37" s="10"/>
      <c r="H37" s="10"/>
      <c r="I37" s="11"/>
      <c r="J37" s="10"/>
      <c r="K37" s="10"/>
      <c r="L37" s="10"/>
    </row>
    <row r="38" spans="1:12">
      <c r="A38" s="10"/>
      <c r="B38" s="10"/>
      <c r="C38" s="10"/>
      <c r="D38" s="10"/>
      <c r="E38" s="11"/>
      <c r="F38" s="10"/>
      <c r="G38" s="10"/>
      <c r="H38" s="10"/>
      <c r="I38" s="11"/>
      <c r="J38" s="10"/>
      <c r="K38" s="10"/>
      <c r="L38" s="10"/>
    </row>
    <row r="39" spans="1:12">
      <c r="A39" s="10"/>
      <c r="B39" s="10"/>
      <c r="C39" s="10"/>
      <c r="D39" s="10"/>
      <c r="E39" s="11"/>
      <c r="F39" s="10"/>
      <c r="G39" s="10"/>
      <c r="H39" s="10"/>
      <c r="I39" s="11"/>
      <c r="J39" s="10"/>
      <c r="K39" s="10"/>
      <c r="L39" s="10"/>
    </row>
    <row r="40" spans="1:12">
      <c r="A40" s="10"/>
      <c r="B40" s="10"/>
      <c r="C40" s="10"/>
      <c r="D40" s="10"/>
      <c r="E40" s="11"/>
      <c r="F40" s="10"/>
      <c r="G40" s="10"/>
      <c r="H40" s="10"/>
      <c r="I40" s="11"/>
      <c r="J40" s="10"/>
      <c r="K40" s="10"/>
      <c r="L40" s="10"/>
    </row>
    <row r="41" spans="1:12">
      <c r="A41" s="10"/>
      <c r="B41" s="10"/>
      <c r="C41" s="10"/>
      <c r="D41" s="10"/>
      <c r="E41" s="11"/>
      <c r="F41" s="10"/>
      <c r="G41" s="10"/>
      <c r="H41" s="10"/>
      <c r="I41" s="11"/>
      <c r="J41" s="10"/>
      <c r="K41" s="10"/>
      <c r="L41" s="10"/>
    </row>
    <row r="42" spans="1:12">
      <c r="A42" s="10"/>
      <c r="B42" s="10"/>
      <c r="C42" s="10"/>
      <c r="D42" s="10"/>
      <c r="E42" s="11"/>
      <c r="F42" s="10"/>
      <c r="G42" s="10"/>
      <c r="H42" s="10"/>
      <c r="I42" s="11"/>
      <c r="J42" s="10"/>
      <c r="K42" s="10"/>
      <c r="L42" s="10"/>
    </row>
    <row r="43" spans="1:12">
      <c r="A43" s="10"/>
      <c r="B43" s="10"/>
      <c r="C43" s="10"/>
      <c r="D43" s="10"/>
      <c r="E43" s="11"/>
      <c r="F43" s="10"/>
      <c r="G43" s="10"/>
      <c r="H43" s="10"/>
      <c r="I43" s="11"/>
      <c r="J43" s="10"/>
      <c r="K43" s="10"/>
      <c r="L43" s="10"/>
    </row>
    <row r="44" spans="1:12">
      <c r="A44" s="10"/>
      <c r="B44" s="10"/>
      <c r="C44" s="10"/>
      <c r="D44" s="10"/>
      <c r="E44" s="11"/>
      <c r="F44" s="10"/>
      <c r="G44" s="10"/>
      <c r="H44" s="10"/>
      <c r="I44" s="11"/>
      <c r="J44" s="10"/>
      <c r="K44" s="10"/>
      <c r="L44" s="10"/>
    </row>
    <row r="45" spans="1:12">
      <c r="A45" s="10"/>
      <c r="B45" s="10"/>
      <c r="C45" s="10"/>
      <c r="D45" s="10"/>
      <c r="E45" s="11"/>
      <c r="F45" s="10"/>
      <c r="G45" s="10"/>
      <c r="H45" s="10"/>
      <c r="I45" s="11"/>
      <c r="J45" s="10"/>
      <c r="K45" s="10"/>
      <c r="L45" s="10"/>
    </row>
    <row r="46" spans="1:12">
      <c r="A46" s="10"/>
      <c r="B46" s="10"/>
      <c r="C46" s="10"/>
      <c r="D46" s="10"/>
      <c r="E46" s="11"/>
      <c r="F46" s="10"/>
      <c r="G46" s="10"/>
      <c r="H46" s="10"/>
      <c r="I46" s="11"/>
      <c r="J46" s="10"/>
      <c r="K46" s="10"/>
      <c r="L46" s="10"/>
    </row>
    <row r="47" spans="1:12">
      <c r="A47" s="10"/>
      <c r="B47" s="10"/>
      <c r="C47" s="10"/>
      <c r="D47" s="10"/>
      <c r="E47" s="11"/>
      <c r="F47" s="10"/>
      <c r="G47" s="10"/>
      <c r="H47" s="10"/>
      <c r="I47" s="11"/>
      <c r="J47" s="10"/>
      <c r="K47" s="10"/>
      <c r="L47" s="10"/>
    </row>
    <row r="48" spans="1:12">
      <c r="A48" s="10"/>
      <c r="B48" s="10"/>
      <c r="C48" s="10"/>
      <c r="D48" s="10"/>
      <c r="E48" s="11"/>
      <c r="F48" s="10"/>
      <c r="G48" s="10"/>
      <c r="H48" s="10"/>
      <c r="I48" s="11"/>
      <c r="J48" s="10"/>
      <c r="K48" s="10"/>
      <c r="L48" s="10"/>
    </row>
    <row r="49" spans="1:12">
      <c r="A49" s="10"/>
      <c r="B49" s="10"/>
      <c r="C49" s="10"/>
      <c r="D49" s="10"/>
      <c r="E49" s="11"/>
      <c r="F49" s="10"/>
      <c r="G49" s="10"/>
      <c r="H49" s="10"/>
      <c r="I49" s="11"/>
      <c r="J49" s="10"/>
      <c r="K49" s="10"/>
      <c r="L49" s="10"/>
    </row>
    <row r="50" spans="1:12">
      <c r="A50" s="10"/>
      <c r="B50" s="10"/>
      <c r="C50" s="10"/>
      <c r="D50" s="10"/>
      <c r="E50" s="11"/>
      <c r="F50" s="10"/>
      <c r="G50" s="10"/>
      <c r="H50" s="10"/>
      <c r="I50" s="11"/>
      <c r="J50" s="10"/>
      <c r="K50" s="10"/>
      <c r="L50" s="10"/>
    </row>
    <row r="51" spans="1:12">
      <c r="A51" s="10"/>
      <c r="B51" s="10"/>
      <c r="C51" s="10"/>
      <c r="D51" s="10"/>
      <c r="E51" s="11"/>
      <c r="F51" s="10"/>
      <c r="G51" s="10"/>
      <c r="H51" s="10"/>
      <c r="I51" s="11"/>
      <c r="J51" s="10"/>
      <c r="K51" s="10"/>
      <c r="L51" s="10"/>
    </row>
    <row r="52" spans="1:12">
      <c r="A52" s="10"/>
      <c r="B52" s="10"/>
      <c r="C52" s="10"/>
      <c r="D52" s="10"/>
      <c r="E52" s="11"/>
      <c r="F52" s="10"/>
      <c r="G52" s="10"/>
      <c r="H52" s="10"/>
      <c r="I52" s="11"/>
      <c r="J52" s="10"/>
      <c r="K52" s="10"/>
      <c r="L52" s="10"/>
    </row>
    <row r="53" spans="1:12">
      <c r="A53" s="10"/>
      <c r="B53" s="10"/>
      <c r="C53" s="10"/>
      <c r="D53" s="10"/>
      <c r="E53" s="11"/>
      <c r="F53" s="10"/>
      <c r="G53" s="10"/>
      <c r="H53" s="10"/>
      <c r="I53" s="11"/>
      <c r="J53" s="10"/>
      <c r="K53" s="10"/>
      <c r="L53" s="10"/>
    </row>
    <row r="54" spans="1:12">
      <c r="A54" s="10"/>
      <c r="B54" s="10"/>
      <c r="C54" s="10"/>
      <c r="D54" s="10"/>
      <c r="E54" s="11"/>
      <c r="F54" s="10"/>
      <c r="G54" s="10"/>
      <c r="H54" s="10"/>
      <c r="I54" s="11"/>
      <c r="J54" s="10"/>
      <c r="K54" s="10"/>
      <c r="L54" s="10"/>
    </row>
    <row r="55" spans="1:12">
      <c r="A55" s="10"/>
      <c r="B55" s="10"/>
      <c r="C55" s="10"/>
      <c r="D55" s="10"/>
      <c r="E55" s="11"/>
      <c r="F55" s="10"/>
      <c r="G55" s="10"/>
      <c r="H55" s="10"/>
      <c r="I55" s="11"/>
      <c r="J55" s="10"/>
      <c r="K55" s="10"/>
      <c r="L55" s="10"/>
    </row>
    <row r="56" spans="1:12">
      <c r="A56" s="10"/>
      <c r="B56" s="10"/>
      <c r="C56" s="10"/>
      <c r="D56" s="10"/>
      <c r="E56" s="11"/>
      <c r="F56" s="10"/>
      <c r="G56" s="10"/>
      <c r="H56" s="10"/>
      <c r="I56" s="11"/>
      <c r="J56" s="10"/>
      <c r="K56" s="10"/>
      <c r="L56" s="10"/>
    </row>
    <row r="57" spans="1:12">
      <c r="A57" s="10"/>
      <c r="B57" s="10"/>
      <c r="C57" s="10"/>
      <c r="D57" s="10"/>
      <c r="E57" s="11"/>
      <c r="F57" s="10"/>
      <c r="G57" s="10"/>
      <c r="H57" s="10"/>
      <c r="I57" s="11"/>
      <c r="J57" s="10"/>
      <c r="K57" s="10"/>
      <c r="L57" s="10"/>
    </row>
    <row r="58" spans="1:12">
      <c r="A58" s="10"/>
      <c r="B58" s="10"/>
      <c r="C58" s="10"/>
      <c r="D58" s="10"/>
      <c r="E58" s="11"/>
      <c r="F58" s="10"/>
      <c r="G58" s="10"/>
      <c r="H58" s="10"/>
      <c r="I58" s="11"/>
      <c r="J58" s="10"/>
      <c r="K58" s="10"/>
      <c r="L58" s="10"/>
    </row>
    <row r="59" spans="1:12">
      <c r="A59" s="10"/>
      <c r="B59" s="10"/>
      <c r="C59" s="10"/>
      <c r="D59" s="10"/>
      <c r="E59" s="11"/>
      <c r="F59" s="10"/>
      <c r="G59" s="10"/>
      <c r="H59" s="10"/>
      <c r="I59" s="11"/>
      <c r="J59" s="10"/>
      <c r="K59" s="10"/>
      <c r="L59" s="10"/>
    </row>
    <row r="60" spans="1:12">
      <c r="A60" s="10"/>
      <c r="B60" s="10"/>
      <c r="C60" s="10"/>
      <c r="D60" s="10"/>
      <c r="E60" s="11"/>
      <c r="F60" s="10"/>
      <c r="G60" s="10"/>
      <c r="H60" s="10"/>
      <c r="I60" s="11"/>
      <c r="J60" s="10"/>
      <c r="K60" s="10"/>
      <c r="L60" s="10"/>
    </row>
    <row r="61" spans="1:12">
      <c r="A61" s="10"/>
      <c r="B61" s="10"/>
      <c r="C61" s="10"/>
      <c r="D61" s="10"/>
      <c r="E61" s="11"/>
      <c r="F61" s="10"/>
      <c r="G61" s="10"/>
      <c r="H61" s="10"/>
      <c r="I61" s="11"/>
      <c r="J61" s="10"/>
      <c r="K61" s="10"/>
      <c r="L61" s="10"/>
    </row>
    <row r="62" spans="1:12">
      <c r="A62" s="10"/>
      <c r="B62" s="10"/>
      <c r="C62" s="10"/>
      <c r="D62" s="10"/>
      <c r="E62" s="11"/>
      <c r="F62" s="10"/>
      <c r="G62" s="10"/>
      <c r="H62" s="10"/>
      <c r="I62" s="11"/>
      <c r="J62" s="10"/>
      <c r="K62" s="10"/>
      <c r="L62" s="10"/>
    </row>
    <row r="63" spans="1:12">
      <c r="A63" s="10"/>
      <c r="B63" s="10"/>
      <c r="C63" s="10"/>
      <c r="D63" s="10"/>
      <c r="E63" s="11"/>
      <c r="F63" s="10"/>
      <c r="G63" s="10"/>
      <c r="H63" s="10"/>
      <c r="I63" s="11"/>
      <c r="J63" s="10"/>
      <c r="K63" s="10"/>
      <c r="L63" s="10"/>
    </row>
    <row r="64" spans="1:12">
      <c r="A64" s="10"/>
      <c r="B64" s="10"/>
      <c r="C64" s="10"/>
      <c r="D64" s="10"/>
      <c r="E64" s="11"/>
      <c r="F64" s="10"/>
      <c r="G64" s="10"/>
      <c r="H64" s="10"/>
      <c r="I64" s="11"/>
      <c r="J64" s="10"/>
      <c r="K64" s="10"/>
      <c r="L64" s="10"/>
    </row>
    <row r="65" spans="1:12">
      <c r="A65" s="10"/>
      <c r="B65" s="10"/>
      <c r="C65" s="10"/>
      <c r="D65" s="10"/>
      <c r="E65" s="11"/>
      <c r="F65" s="10"/>
      <c r="G65" s="10"/>
      <c r="H65" s="10"/>
      <c r="I65" s="11"/>
      <c r="J65" s="10"/>
      <c r="K65" s="10"/>
      <c r="L65" s="10"/>
    </row>
    <row r="66" spans="1:12">
      <c r="A66" s="10"/>
      <c r="B66" s="10"/>
      <c r="C66" s="10"/>
      <c r="D66" s="10"/>
      <c r="E66" s="11"/>
      <c r="F66" s="10"/>
      <c r="G66" s="10"/>
      <c r="H66" s="10"/>
      <c r="I66" s="11"/>
      <c r="J66" s="10"/>
      <c r="K66" s="10"/>
      <c r="L66" s="10"/>
    </row>
    <row r="67" spans="1:12">
      <c r="A67" s="10"/>
      <c r="B67" s="10"/>
      <c r="C67" s="10"/>
      <c r="D67" s="10"/>
      <c r="E67" s="11"/>
      <c r="F67" s="10"/>
      <c r="G67" s="10"/>
      <c r="H67" s="10"/>
      <c r="I67" s="11"/>
      <c r="J67" s="10"/>
      <c r="K67" s="10"/>
      <c r="L67" s="10"/>
    </row>
    <row r="68" spans="1:12">
      <c r="A68" s="10"/>
      <c r="B68" s="10"/>
      <c r="C68" s="10"/>
      <c r="D68" s="10"/>
      <c r="E68" s="11"/>
      <c r="F68" s="10"/>
      <c r="G68" s="10"/>
      <c r="H68" s="10"/>
      <c r="I68" s="11"/>
      <c r="J68" s="10"/>
      <c r="K68" s="10"/>
      <c r="L68" s="10"/>
    </row>
    <row r="69" spans="1:12">
      <c r="A69" s="10"/>
      <c r="B69" s="10"/>
      <c r="C69" s="10"/>
      <c r="D69" s="10"/>
      <c r="E69" s="11"/>
      <c r="F69" s="10"/>
      <c r="G69" s="10"/>
      <c r="H69" s="10"/>
      <c r="I69" s="11"/>
      <c r="J69" s="10"/>
      <c r="K69" s="10"/>
      <c r="L69" s="10"/>
    </row>
    <row r="70" spans="1:12">
      <c r="A70" s="10"/>
      <c r="B70" s="10"/>
      <c r="C70" s="10"/>
      <c r="D70" s="10"/>
      <c r="E70" s="11"/>
      <c r="F70" s="10"/>
      <c r="G70" s="10"/>
      <c r="H70" s="10"/>
      <c r="I70" s="11"/>
      <c r="J70" s="10"/>
      <c r="K70" s="10"/>
      <c r="L70" s="10"/>
    </row>
    <row r="71" spans="1:12">
      <c r="A71" s="10"/>
      <c r="B71" s="10"/>
      <c r="C71" s="10"/>
      <c r="D71" s="10"/>
      <c r="E71" s="11"/>
      <c r="F71" s="10"/>
      <c r="G71" s="10"/>
      <c r="H71" s="10"/>
      <c r="I71" s="11"/>
      <c r="J71" s="10"/>
      <c r="K71" s="10"/>
      <c r="L71" s="10"/>
    </row>
    <row r="72" spans="1:12">
      <c r="A72" s="10"/>
      <c r="B72" s="10"/>
      <c r="C72" s="10"/>
      <c r="D72" s="10"/>
      <c r="E72" s="11"/>
      <c r="F72" s="10"/>
      <c r="G72" s="10"/>
      <c r="H72" s="10"/>
      <c r="I72" s="11"/>
      <c r="J72" s="10"/>
      <c r="K72" s="10"/>
      <c r="L72" s="10"/>
    </row>
    <row r="73" spans="1:12">
      <c r="A73" s="10"/>
      <c r="B73" s="10"/>
      <c r="C73" s="10"/>
      <c r="D73" s="10"/>
      <c r="E73" s="11"/>
      <c r="F73" s="10"/>
      <c r="G73" s="10"/>
      <c r="H73" s="10"/>
      <c r="I73" s="11"/>
      <c r="J73" s="10"/>
      <c r="K73" s="10"/>
      <c r="L73" s="10"/>
    </row>
    <row r="74" spans="1:12">
      <c r="A74" s="10"/>
      <c r="B74" s="10"/>
      <c r="C74" s="10"/>
      <c r="D74" s="10"/>
      <c r="E74" s="11"/>
      <c r="F74" s="10"/>
      <c r="G74" s="10"/>
      <c r="H74" s="10"/>
      <c r="I74" s="11"/>
      <c r="J74" s="10"/>
      <c r="K74" s="10"/>
      <c r="L74" s="10"/>
    </row>
    <row r="75" spans="1:12">
      <c r="A75" s="10"/>
      <c r="B75" s="10"/>
      <c r="C75" s="10"/>
      <c r="D75" s="10"/>
      <c r="E75" s="11"/>
      <c r="F75" s="10"/>
      <c r="G75" s="10"/>
      <c r="H75" s="10"/>
      <c r="I75" s="11"/>
      <c r="J75" s="10"/>
      <c r="K75" s="10"/>
      <c r="L75" s="10"/>
    </row>
    <row r="76" spans="1:12">
      <c r="A76" s="10"/>
      <c r="B76" s="10"/>
      <c r="C76" s="10"/>
      <c r="D76" s="10"/>
      <c r="E76" s="11"/>
      <c r="F76" s="10"/>
      <c r="G76" s="10"/>
      <c r="H76" s="10"/>
      <c r="I76" s="11"/>
      <c r="J76" s="10"/>
      <c r="K76" s="10"/>
      <c r="L76" s="10"/>
    </row>
    <row r="77" spans="1:12">
      <c r="A77" s="10"/>
      <c r="B77" s="10"/>
      <c r="C77" s="10"/>
      <c r="D77" s="10"/>
      <c r="E77" s="11"/>
      <c r="F77" s="10"/>
      <c r="G77" s="10"/>
      <c r="H77" s="10"/>
      <c r="I77" s="11"/>
      <c r="J77" s="10"/>
      <c r="K77" s="10"/>
      <c r="L77" s="10"/>
    </row>
    <row r="78" spans="1:12">
      <c r="A78" s="10"/>
      <c r="B78" s="10"/>
      <c r="C78" s="10"/>
      <c r="D78" s="10"/>
      <c r="E78" s="11"/>
      <c r="F78" s="10"/>
      <c r="G78" s="10"/>
      <c r="H78" s="10"/>
      <c r="I78" s="11"/>
      <c r="J78" s="10"/>
      <c r="K78" s="10"/>
      <c r="L78" s="10"/>
    </row>
    <row r="79" spans="1:12">
      <c r="A79" s="10"/>
      <c r="B79" s="10"/>
      <c r="C79" s="10"/>
      <c r="D79" s="10"/>
      <c r="E79" s="11"/>
      <c r="F79" s="10"/>
      <c r="G79" s="10"/>
      <c r="H79" s="10"/>
      <c r="I79" s="11"/>
      <c r="J79" s="10"/>
      <c r="K79" s="10"/>
      <c r="L79" s="10"/>
    </row>
    <row r="80" spans="1:12">
      <c r="A80" s="10"/>
      <c r="B80" s="10"/>
      <c r="C80" s="10"/>
      <c r="D80" s="10"/>
      <c r="E80" s="11"/>
      <c r="F80" s="10"/>
      <c r="G80" s="10"/>
      <c r="H80" s="10"/>
      <c r="I80" s="11"/>
      <c r="J80" s="10"/>
      <c r="K80" s="10"/>
      <c r="L80" s="10"/>
    </row>
    <row r="81" spans="1:12">
      <c r="A81" s="10"/>
      <c r="B81" s="10"/>
      <c r="C81" s="10"/>
      <c r="D81" s="10"/>
      <c r="E81" s="11"/>
      <c r="F81" s="10"/>
      <c r="G81" s="10"/>
      <c r="H81" s="10"/>
      <c r="I81" s="11"/>
      <c r="J81" s="10"/>
      <c r="K81" s="10"/>
      <c r="L81" s="10"/>
    </row>
    <row r="82" spans="1:12">
      <c r="A82" s="10"/>
      <c r="B82" s="10"/>
      <c r="C82" s="10"/>
      <c r="D82" s="10"/>
      <c r="E82" s="11"/>
      <c r="F82" s="10"/>
      <c r="G82" s="10"/>
      <c r="H82" s="10"/>
      <c r="I82" s="11"/>
      <c r="J82" s="10"/>
      <c r="K82" s="10"/>
      <c r="L82" s="10"/>
    </row>
    <row r="83" spans="1:12">
      <c r="A83" s="10"/>
      <c r="B83" s="10"/>
      <c r="C83" s="10"/>
      <c r="D83" s="10"/>
      <c r="E83" s="11"/>
      <c r="F83" s="10"/>
      <c r="G83" s="10"/>
      <c r="H83" s="10"/>
      <c r="I83" s="11"/>
      <c r="J83" s="10"/>
      <c r="K83" s="10"/>
      <c r="L83" s="10"/>
    </row>
    <row r="84" spans="1:12">
      <c r="A84" s="10"/>
      <c r="B84" s="10"/>
      <c r="C84" s="10"/>
      <c r="D84" s="10"/>
      <c r="E84" s="11"/>
      <c r="F84" s="10"/>
      <c r="G84" s="10"/>
      <c r="H84" s="10"/>
      <c r="I84" s="11"/>
      <c r="J84" s="10"/>
      <c r="K84" s="10"/>
      <c r="L84" s="10"/>
    </row>
    <row r="85" spans="1:12">
      <c r="A85" s="10"/>
      <c r="B85" s="10"/>
      <c r="C85" s="10"/>
      <c r="D85" s="10"/>
      <c r="E85" s="11"/>
      <c r="F85" s="10"/>
      <c r="G85" s="10"/>
      <c r="H85" s="10"/>
      <c r="I85" s="11"/>
      <c r="J85" s="10"/>
      <c r="K85" s="10"/>
      <c r="L85" s="10"/>
    </row>
    <row r="86" spans="1:12">
      <c r="A86" s="10"/>
      <c r="B86" s="10"/>
      <c r="C86" s="10"/>
      <c r="D86" s="10"/>
      <c r="E86" s="11"/>
      <c r="F86" s="10"/>
      <c r="G86" s="10"/>
      <c r="H86" s="10"/>
      <c r="I86" s="11"/>
      <c r="J86" s="10"/>
      <c r="K86" s="10"/>
      <c r="L86" s="10"/>
    </row>
    <row r="87" spans="1:12">
      <c r="A87" s="10"/>
      <c r="B87" s="10"/>
      <c r="C87" s="10"/>
      <c r="D87" s="10"/>
      <c r="E87" s="11"/>
      <c r="F87" s="10"/>
      <c r="G87" s="10"/>
      <c r="H87" s="10"/>
      <c r="I87" s="11"/>
      <c r="J87" s="10"/>
      <c r="K87" s="10"/>
      <c r="L87" s="10"/>
    </row>
    <row r="88" spans="1:12">
      <c r="A88" s="10"/>
      <c r="B88" s="10"/>
      <c r="C88" s="10"/>
      <c r="D88" s="10"/>
      <c r="E88" s="11"/>
      <c r="F88" s="10"/>
      <c r="G88" s="10"/>
      <c r="H88" s="10"/>
      <c r="I88" s="11"/>
      <c r="J88" s="10"/>
      <c r="K88" s="10"/>
      <c r="L88" s="10"/>
    </row>
    <row r="89" spans="1:12">
      <c r="A89" s="10"/>
      <c r="B89" s="10"/>
      <c r="C89" s="10"/>
      <c r="D89" s="10"/>
      <c r="E89" s="11"/>
      <c r="F89" s="10"/>
      <c r="G89" s="10"/>
      <c r="H89" s="10"/>
      <c r="I89" s="11"/>
      <c r="J89" s="10"/>
      <c r="K89" s="10"/>
      <c r="L89" s="10"/>
    </row>
    <row r="90" spans="1:12">
      <c r="A90" s="10"/>
      <c r="B90" s="10"/>
      <c r="C90" s="10"/>
      <c r="D90" s="10"/>
      <c r="E90" s="11"/>
      <c r="F90" s="10"/>
      <c r="G90" s="10"/>
      <c r="H90" s="10"/>
      <c r="I90" s="11"/>
      <c r="J90" s="10"/>
      <c r="K90" s="10"/>
      <c r="L90" s="10"/>
    </row>
    <row r="91" spans="1:12">
      <c r="A91" s="10"/>
      <c r="B91" s="10"/>
      <c r="C91" s="10"/>
      <c r="D91" s="10"/>
      <c r="E91" s="11"/>
      <c r="F91" s="10"/>
      <c r="G91" s="10"/>
      <c r="H91" s="10"/>
      <c r="I91" s="11"/>
      <c r="J91" s="10"/>
      <c r="K91" s="10"/>
      <c r="L91" s="10"/>
    </row>
    <row r="92" spans="1:12">
      <c r="A92" s="10"/>
      <c r="B92" s="10"/>
      <c r="C92" s="10"/>
      <c r="D92" s="10"/>
      <c r="E92" s="11"/>
      <c r="F92" s="10"/>
      <c r="G92" s="10"/>
      <c r="H92" s="10"/>
      <c r="I92" s="11"/>
      <c r="J92" s="10"/>
      <c r="K92" s="10"/>
      <c r="L92" s="10"/>
    </row>
    <row r="93" spans="1:12">
      <c r="A93" s="10"/>
      <c r="B93" s="10"/>
      <c r="C93" s="10"/>
      <c r="D93" s="10"/>
      <c r="E93" s="11"/>
      <c r="F93" s="10"/>
      <c r="G93" s="10"/>
      <c r="H93" s="10"/>
      <c r="I93" s="11"/>
      <c r="J93" s="10"/>
      <c r="K93" s="10"/>
      <c r="L93" s="10"/>
    </row>
    <row r="94" spans="1:12">
      <c r="A94" s="10"/>
      <c r="B94" s="10"/>
      <c r="C94" s="10"/>
      <c r="D94" s="10"/>
      <c r="E94" s="11"/>
      <c r="F94" s="10"/>
      <c r="G94" s="10"/>
      <c r="H94" s="10"/>
      <c r="I94" s="11"/>
      <c r="J94" s="10"/>
      <c r="K94" s="10"/>
      <c r="L94" s="10"/>
    </row>
    <row r="95" spans="1:12">
      <c r="A95" s="10"/>
      <c r="B95" s="10"/>
      <c r="C95" s="10"/>
      <c r="D95" s="10"/>
      <c r="E95" s="11"/>
      <c r="F95" s="10"/>
      <c r="G95" s="10"/>
      <c r="H95" s="10"/>
      <c r="I95" s="11"/>
      <c r="J95" s="10"/>
      <c r="K95" s="10"/>
      <c r="L95" s="10"/>
    </row>
    <row r="96" spans="1:12">
      <c r="A96" s="10"/>
      <c r="B96" s="10"/>
      <c r="C96" s="10"/>
      <c r="D96" s="10"/>
      <c r="E96" s="11"/>
      <c r="F96" s="10"/>
      <c r="G96" s="10"/>
      <c r="H96" s="10"/>
      <c r="I96" s="11"/>
      <c r="J96" s="10"/>
      <c r="K96" s="10"/>
      <c r="L96" s="10"/>
    </row>
    <row r="97" spans="1:12">
      <c r="A97" s="10"/>
      <c r="B97" s="10"/>
      <c r="C97" s="10"/>
      <c r="D97" s="10"/>
      <c r="E97" s="11"/>
      <c r="F97" s="10"/>
      <c r="G97" s="10"/>
      <c r="H97" s="10"/>
      <c r="I97" s="11"/>
      <c r="J97" s="10"/>
      <c r="K97" s="10"/>
      <c r="L97" s="10"/>
    </row>
    <row r="98" spans="1:12">
      <c r="A98" s="10"/>
      <c r="B98" s="10"/>
      <c r="C98" s="10"/>
      <c r="D98" s="10"/>
      <c r="E98" s="11"/>
      <c r="F98" s="10"/>
      <c r="G98" s="10"/>
      <c r="H98" s="10"/>
      <c r="I98" s="11"/>
      <c r="J98" s="10"/>
      <c r="K98" s="10"/>
      <c r="L98" s="10"/>
    </row>
    <row r="99" spans="1:12">
      <c r="A99" s="10"/>
      <c r="B99" s="10"/>
      <c r="C99" s="10"/>
      <c r="D99" s="10"/>
      <c r="E99" s="11"/>
      <c r="F99" s="10"/>
      <c r="G99" s="10"/>
      <c r="H99" s="10"/>
      <c r="I99" s="11"/>
      <c r="J99" s="10"/>
      <c r="K99" s="10"/>
      <c r="L99" s="10"/>
    </row>
    <row r="100" spans="1:12">
      <c r="A100" s="10"/>
      <c r="B100" s="10"/>
      <c r="C100" s="10"/>
      <c r="D100" s="10"/>
      <c r="E100" s="11"/>
      <c r="F100" s="10"/>
      <c r="G100" s="10"/>
      <c r="H100" s="10"/>
      <c r="I100" s="11"/>
      <c r="J100" s="10"/>
      <c r="K100" s="10"/>
      <c r="L100" s="10"/>
    </row>
    <row r="101" spans="1:12">
      <c r="A101" s="10"/>
      <c r="B101" s="10"/>
      <c r="C101" s="10"/>
      <c r="D101" s="10"/>
      <c r="E101" s="11"/>
      <c r="F101" s="10"/>
      <c r="G101" s="10"/>
      <c r="H101" s="10"/>
      <c r="I101" s="11"/>
      <c r="J101" s="10"/>
      <c r="K101" s="10"/>
      <c r="L101" s="10"/>
    </row>
    <row r="102" spans="1:12">
      <c r="A102" s="10"/>
      <c r="B102" s="10"/>
      <c r="C102" s="10"/>
      <c r="D102" s="10"/>
      <c r="E102" s="11"/>
      <c r="F102" s="10"/>
      <c r="G102" s="10"/>
      <c r="H102" s="10"/>
      <c r="I102" s="11"/>
      <c r="J102" s="10"/>
      <c r="K102" s="10"/>
      <c r="L102" s="10"/>
    </row>
    <row r="103" spans="1:12">
      <c r="A103" s="10"/>
      <c r="B103" s="10"/>
      <c r="C103" s="10"/>
      <c r="D103" s="10"/>
      <c r="E103" s="11"/>
      <c r="F103" s="10"/>
      <c r="G103" s="10"/>
      <c r="H103" s="10"/>
      <c r="I103" s="11"/>
      <c r="J103" s="10"/>
      <c r="K103" s="10"/>
      <c r="L103" s="10"/>
    </row>
    <row r="104" spans="1:12">
      <c r="A104" s="10"/>
      <c r="B104" s="10"/>
      <c r="C104" s="10"/>
      <c r="D104" s="10"/>
      <c r="E104" s="11"/>
      <c r="F104" s="10"/>
      <c r="G104" s="10"/>
      <c r="H104" s="10"/>
      <c r="I104" s="11"/>
      <c r="J104" s="10"/>
      <c r="K104" s="10"/>
      <c r="L104" s="10"/>
    </row>
    <row r="105" spans="1:12">
      <c r="A105" s="10"/>
      <c r="B105" s="10"/>
      <c r="C105" s="10"/>
      <c r="D105" s="10"/>
      <c r="E105" s="11"/>
      <c r="F105" s="10"/>
      <c r="G105" s="10"/>
      <c r="H105" s="10"/>
      <c r="I105" s="11"/>
      <c r="J105" s="10"/>
      <c r="K105" s="10"/>
      <c r="L105" s="10"/>
    </row>
    <row r="106" spans="1:12">
      <c r="A106" s="10"/>
      <c r="B106" s="10"/>
      <c r="C106" s="10"/>
      <c r="D106" s="10"/>
      <c r="E106" s="11"/>
      <c r="F106" s="10"/>
      <c r="G106" s="10"/>
      <c r="H106" s="10"/>
      <c r="I106" s="11"/>
      <c r="J106" s="10"/>
      <c r="K106" s="10"/>
      <c r="L106" s="10"/>
    </row>
    <row r="107" spans="1:12">
      <c r="A107" s="10"/>
      <c r="B107" s="10"/>
      <c r="C107" s="10"/>
      <c r="D107" s="10"/>
      <c r="E107" s="11"/>
      <c r="F107" s="10"/>
      <c r="G107" s="10"/>
      <c r="H107" s="10"/>
      <c r="I107" s="11"/>
      <c r="J107" s="10"/>
      <c r="K107" s="10"/>
      <c r="L107" s="10"/>
    </row>
    <row r="108" spans="1:12">
      <c r="A108" s="10"/>
      <c r="B108" s="10"/>
      <c r="C108" s="10"/>
      <c r="D108" s="10"/>
      <c r="E108" s="11"/>
      <c r="F108" s="10"/>
      <c r="G108" s="10"/>
      <c r="H108" s="10"/>
      <c r="I108" s="11"/>
      <c r="J108" s="10"/>
      <c r="K108" s="10"/>
      <c r="L108" s="10"/>
    </row>
    <row r="109" spans="1:12">
      <c r="A109" s="10"/>
      <c r="B109" s="10"/>
      <c r="C109" s="10"/>
      <c r="D109" s="10"/>
      <c r="E109" s="11"/>
      <c r="F109" s="10"/>
      <c r="G109" s="10"/>
      <c r="H109" s="10"/>
      <c r="I109" s="11"/>
      <c r="J109" s="10"/>
      <c r="K109" s="10"/>
      <c r="L109" s="10"/>
    </row>
    <row r="110" spans="1:12">
      <c r="A110" s="10"/>
      <c r="B110" s="10"/>
      <c r="C110" s="10"/>
      <c r="D110" s="10"/>
      <c r="E110" s="11"/>
      <c r="F110" s="10"/>
      <c r="G110" s="10"/>
      <c r="H110" s="10"/>
      <c r="I110" s="11"/>
      <c r="J110" s="10"/>
      <c r="K110" s="10"/>
      <c r="L110" s="10"/>
    </row>
    <row r="111" spans="1:12">
      <c r="A111" s="10"/>
      <c r="B111" s="10"/>
      <c r="C111" s="10"/>
      <c r="D111" s="10"/>
      <c r="E111" s="11"/>
      <c r="F111" s="10"/>
      <c r="G111" s="10"/>
      <c r="H111" s="10"/>
      <c r="I111" s="11"/>
      <c r="J111" s="10"/>
      <c r="K111" s="10"/>
      <c r="L111" s="10"/>
    </row>
    <row r="112" spans="1:12">
      <c r="A112" s="10"/>
      <c r="B112" s="10"/>
      <c r="C112" s="10"/>
      <c r="D112" s="10"/>
      <c r="E112" s="11"/>
      <c r="F112" s="10"/>
      <c r="G112" s="10"/>
      <c r="H112" s="10"/>
      <c r="I112" s="11"/>
      <c r="J112" s="10"/>
      <c r="K112" s="10"/>
      <c r="L112" s="10"/>
    </row>
    <row r="113" spans="1:12">
      <c r="A113" s="10"/>
      <c r="B113" s="10"/>
      <c r="C113" s="10"/>
      <c r="D113" s="10"/>
      <c r="E113" s="11"/>
      <c r="F113" s="10"/>
      <c r="G113" s="10"/>
      <c r="H113" s="10"/>
      <c r="I113" s="11"/>
      <c r="J113" s="10"/>
      <c r="K113" s="10"/>
      <c r="L113" s="10"/>
    </row>
    <row r="114" spans="1:12">
      <c r="A114" s="10"/>
      <c r="B114" s="10"/>
      <c r="C114" s="10"/>
      <c r="D114" s="10"/>
      <c r="E114" s="11"/>
      <c r="F114" s="10"/>
      <c r="G114" s="10"/>
      <c r="H114" s="10"/>
      <c r="I114" s="11"/>
      <c r="J114" s="10"/>
      <c r="K114" s="10"/>
      <c r="L114" s="10"/>
    </row>
    <row r="115" spans="1:12">
      <c r="A115" s="10"/>
      <c r="B115" s="10"/>
      <c r="C115" s="10"/>
      <c r="D115" s="10"/>
      <c r="E115" s="11"/>
      <c r="F115" s="10"/>
      <c r="G115" s="10"/>
      <c r="H115" s="10"/>
      <c r="I115" s="11"/>
      <c r="J115" s="10"/>
      <c r="K115" s="10"/>
      <c r="L115" s="10"/>
    </row>
    <row r="116" spans="1:12">
      <c r="A116" s="10"/>
      <c r="B116" s="10"/>
      <c r="C116" s="10"/>
      <c r="D116" s="10"/>
      <c r="E116" s="11"/>
      <c r="F116" s="10"/>
      <c r="G116" s="10"/>
      <c r="H116" s="10"/>
      <c r="I116" s="11"/>
      <c r="J116" s="10"/>
      <c r="K116" s="10"/>
      <c r="L116" s="10"/>
    </row>
    <row r="117" spans="1:12">
      <c r="A117" s="10"/>
      <c r="B117" s="10"/>
      <c r="C117" s="10"/>
      <c r="D117" s="10"/>
      <c r="E117" s="11"/>
      <c r="F117" s="10"/>
      <c r="G117" s="10"/>
      <c r="H117" s="10"/>
      <c r="I117" s="11"/>
      <c r="J117" s="10"/>
      <c r="K117" s="10"/>
      <c r="L117" s="10"/>
    </row>
    <row r="118" spans="1:12">
      <c r="A118" s="10"/>
      <c r="B118" s="10"/>
      <c r="C118" s="10"/>
      <c r="D118" s="10"/>
      <c r="E118" s="11"/>
      <c r="F118" s="10"/>
      <c r="G118" s="10"/>
      <c r="H118" s="10"/>
      <c r="I118" s="11"/>
      <c r="J118" s="10"/>
      <c r="K118" s="10"/>
      <c r="L118" s="10"/>
    </row>
    <row r="119" spans="1:12">
      <c r="A119" s="10"/>
      <c r="B119" s="10"/>
      <c r="C119" s="10"/>
      <c r="D119" s="10"/>
      <c r="E119" s="11"/>
      <c r="F119" s="10"/>
      <c r="G119" s="10"/>
      <c r="H119" s="10"/>
      <c r="I119" s="11"/>
      <c r="J119" s="10"/>
      <c r="K119" s="10"/>
      <c r="L119" s="10"/>
    </row>
    <row r="120" spans="1:12">
      <c r="A120" s="10"/>
      <c r="B120" s="10"/>
      <c r="C120" s="10"/>
      <c r="D120" s="10"/>
      <c r="E120" s="11"/>
      <c r="F120" s="10"/>
      <c r="G120" s="10"/>
      <c r="H120" s="10"/>
      <c r="I120" s="11"/>
      <c r="J120" s="10"/>
      <c r="K120" s="10"/>
      <c r="L120" s="10"/>
    </row>
    <row r="121" spans="1:12">
      <c r="A121" s="10"/>
      <c r="B121" s="10"/>
      <c r="C121" s="10"/>
      <c r="D121" s="10"/>
      <c r="E121" s="11"/>
      <c r="F121" s="10"/>
      <c r="G121" s="10"/>
      <c r="H121" s="10"/>
      <c r="I121" s="11"/>
      <c r="J121" s="10"/>
      <c r="K121" s="10"/>
      <c r="L121" s="10"/>
    </row>
    <row r="122" spans="1:12">
      <c r="A122" s="10"/>
      <c r="B122" s="10"/>
      <c r="C122" s="10"/>
      <c r="D122" s="10"/>
      <c r="E122" s="11"/>
      <c r="F122" s="10"/>
      <c r="G122" s="10"/>
      <c r="H122" s="10"/>
      <c r="I122" s="11"/>
      <c r="J122" s="10"/>
      <c r="K122" s="10"/>
      <c r="L122" s="10"/>
    </row>
    <row r="123" spans="1:12">
      <c r="A123" s="10"/>
      <c r="B123" s="10"/>
      <c r="C123" s="10"/>
      <c r="D123" s="10"/>
      <c r="E123" s="11"/>
      <c r="F123" s="10"/>
      <c r="G123" s="10"/>
      <c r="H123" s="10"/>
      <c r="I123" s="11"/>
      <c r="J123" s="10"/>
      <c r="K123" s="10"/>
      <c r="L123" s="10"/>
    </row>
    <row r="124" spans="1:12">
      <c r="A124" s="10"/>
      <c r="B124" s="10"/>
      <c r="C124" s="10"/>
      <c r="D124" s="10"/>
      <c r="E124" s="11"/>
      <c r="F124" s="10"/>
      <c r="G124" s="10"/>
      <c r="H124" s="10"/>
      <c r="I124" s="11"/>
      <c r="J124" s="10"/>
      <c r="K124" s="10"/>
      <c r="L124" s="10"/>
    </row>
    <row r="125" spans="1:12">
      <c r="A125" s="10"/>
      <c r="B125" s="10"/>
      <c r="C125" s="10"/>
      <c r="D125" s="10"/>
      <c r="E125" s="11"/>
      <c r="F125" s="10"/>
      <c r="G125" s="10"/>
      <c r="H125" s="10"/>
      <c r="I125" s="11"/>
      <c r="J125" s="10"/>
      <c r="K125" s="10"/>
      <c r="L125" s="10"/>
    </row>
    <row r="126" spans="1:12">
      <c r="A126" s="10"/>
      <c r="B126" s="10"/>
      <c r="C126" s="10"/>
      <c r="D126" s="10"/>
      <c r="E126" s="11"/>
      <c r="F126" s="10"/>
      <c r="G126" s="10"/>
      <c r="H126" s="10"/>
      <c r="I126" s="11"/>
      <c r="J126" s="10"/>
      <c r="K126" s="10"/>
      <c r="L126" s="10"/>
    </row>
    <row r="127" spans="1:12">
      <c r="A127" s="10"/>
      <c r="B127" s="10"/>
      <c r="C127" s="10"/>
      <c r="D127" s="10"/>
      <c r="E127" s="11"/>
      <c r="F127" s="10"/>
      <c r="G127" s="10"/>
      <c r="H127" s="10"/>
      <c r="I127" s="11"/>
      <c r="J127" s="10"/>
      <c r="K127" s="10"/>
      <c r="L127" s="10"/>
    </row>
    <row r="128" spans="1:12">
      <c r="A128" s="10"/>
      <c r="B128" s="10"/>
      <c r="C128" s="10"/>
      <c r="D128" s="10"/>
      <c r="E128" s="11"/>
      <c r="F128" s="10"/>
      <c r="G128" s="10"/>
      <c r="H128" s="10"/>
      <c r="I128" s="11"/>
      <c r="J128" s="10"/>
      <c r="K128" s="10"/>
      <c r="L128" s="10"/>
    </row>
    <row r="129" spans="1:12">
      <c r="A129" s="10"/>
      <c r="B129" s="10"/>
      <c r="C129" s="10"/>
      <c r="D129" s="10"/>
      <c r="E129" s="11"/>
      <c r="F129" s="10"/>
      <c r="G129" s="10"/>
      <c r="H129" s="10"/>
      <c r="I129" s="11"/>
      <c r="J129" s="10"/>
      <c r="K129" s="10"/>
      <c r="L129" s="10"/>
    </row>
    <row r="130" spans="1:12">
      <c r="A130" s="10"/>
      <c r="B130" s="10"/>
      <c r="C130" s="10"/>
      <c r="D130" s="10"/>
      <c r="E130" s="11"/>
      <c r="F130" s="10"/>
      <c r="G130" s="10"/>
      <c r="H130" s="10"/>
      <c r="I130" s="11"/>
      <c r="J130" s="10"/>
      <c r="K130" s="10"/>
      <c r="L130" s="10"/>
    </row>
    <row r="131" spans="1:12">
      <c r="A131" s="10"/>
      <c r="B131" s="10"/>
      <c r="C131" s="10"/>
      <c r="D131" s="10"/>
      <c r="E131" s="11"/>
      <c r="F131" s="10"/>
      <c r="G131" s="10"/>
      <c r="H131" s="10"/>
      <c r="I131" s="11"/>
      <c r="J131" s="10"/>
      <c r="K131" s="10"/>
      <c r="L131" s="10"/>
    </row>
    <row r="132" spans="1:12">
      <c r="A132" s="10"/>
      <c r="B132" s="10"/>
      <c r="C132" s="10"/>
      <c r="D132" s="10"/>
      <c r="E132" s="11"/>
      <c r="F132" s="10"/>
      <c r="G132" s="10"/>
      <c r="H132" s="10"/>
      <c r="I132" s="11"/>
      <c r="J132" s="10"/>
      <c r="K132" s="10"/>
      <c r="L132" s="10"/>
    </row>
    <row r="133" spans="1:12">
      <c r="A133" s="10"/>
      <c r="B133" s="10"/>
      <c r="C133" s="10"/>
      <c r="D133" s="10"/>
      <c r="E133" s="11"/>
      <c r="F133" s="10"/>
      <c r="G133" s="10"/>
      <c r="H133" s="10"/>
      <c r="I133" s="11"/>
      <c r="J133" s="10"/>
      <c r="K133" s="10"/>
      <c r="L133" s="10"/>
    </row>
    <row r="134" spans="1:12">
      <c r="A134" s="10"/>
      <c r="B134" s="10"/>
      <c r="C134" s="10"/>
      <c r="D134" s="10"/>
      <c r="E134" s="11"/>
      <c r="F134" s="10"/>
      <c r="G134" s="10"/>
      <c r="H134" s="10"/>
      <c r="I134" s="11"/>
      <c r="J134" s="10"/>
      <c r="K134" s="10"/>
      <c r="L134" s="10"/>
    </row>
    <row r="135" spans="1:12">
      <c r="A135" s="10"/>
      <c r="B135" s="10"/>
      <c r="C135" s="10"/>
      <c r="D135" s="10"/>
      <c r="E135" s="11"/>
      <c r="F135" s="10"/>
      <c r="G135" s="10"/>
      <c r="H135" s="10"/>
      <c r="I135" s="11"/>
      <c r="J135" s="10"/>
      <c r="K135" s="10"/>
      <c r="L135" s="10"/>
    </row>
    <row r="136" spans="1:12">
      <c r="A136" s="10"/>
      <c r="B136" s="10"/>
      <c r="C136" s="10"/>
      <c r="D136" s="10"/>
      <c r="E136" s="11"/>
      <c r="F136" s="10"/>
      <c r="G136" s="10"/>
      <c r="H136" s="10"/>
      <c r="I136" s="11"/>
      <c r="J136" s="10"/>
      <c r="K136" s="10"/>
      <c r="L136" s="10"/>
    </row>
    <row r="137" spans="1:12">
      <c r="A137" s="10"/>
      <c r="B137" s="10"/>
      <c r="C137" s="10"/>
      <c r="D137" s="10"/>
      <c r="E137" s="11"/>
      <c r="F137" s="10"/>
      <c r="G137" s="10"/>
      <c r="H137" s="10"/>
      <c r="I137" s="11"/>
      <c r="J137" s="10"/>
      <c r="K137" s="10"/>
      <c r="L137" s="10"/>
    </row>
    <row r="138" spans="1:12">
      <c r="A138" s="10"/>
      <c r="B138" s="10"/>
      <c r="C138" s="10"/>
      <c r="D138" s="10"/>
      <c r="E138" s="11"/>
      <c r="F138" s="10"/>
      <c r="G138" s="10"/>
      <c r="H138" s="10"/>
      <c r="I138" s="11"/>
      <c r="J138" s="10"/>
      <c r="K138" s="10"/>
      <c r="L138" s="10"/>
    </row>
    <row r="139" spans="1:12">
      <c r="A139" s="10"/>
      <c r="B139" s="10"/>
      <c r="C139" s="10"/>
      <c r="D139" s="10"/>
      <c r="E139" s="11"/>
      <c r="F139" s="10"/>
      <c r="G139" s="10"/>
      <c r="H139" s="10"/>
      <c r="I139" s="11"/>
      <c r="J139" s="10"/>
      <c r="K139" s="10"/>
      <c r="L139" s="10"/>
    </row>
    <row r="140" spans="1:12">
      <c r="A140" s="10"/>
      <c r="B140" s="10"/>
      <c r="C140" s="10"/>
      <c r="D140" s="10"/>
      <c r="E140" s="11"/>
      <c r="F140" s="10"/>
      <c r="G140" s="10"/>
      <c r="H140" s="10"/>
      <c r="I140" s="11"/>
      <c r="J140" s="10"/>
      <c r="K140" s="10"/>
      <c r="L140" s="10"/>
    </row>
    <row r="141" spans="1:12">
      <c r="A141" s="10"/>
      <c r="B141" s="10"/>
      <c r="C141" s="10"/>
      <c r="D141" s="10"/>
      <c r="E141" s="11"/>
      <c r="F141" s="10"/>
      <c r="G141" s="10"/>
      <c r="H141" s="10"/>
      <c r="I141" s="11"/>
      <c r="J141" s="10"/>
      <c r="K141" s="10"/>
      <c r="L141" s="10"/>
    </row>
    <row r="142" spans="1:12">
      <c r="A142" s="10"/>
      <c r="B142" s="10"/>
      <c r="C142" s="10"/>
      <c r="D142" s="10"/>
      <c r="E142" s="11"/>
      <c r="F142" s="10"/>
      <c r="G142" s="10"/>
      <c r="H142" s="10"/>
      <c r="I142" s="11"/>
      <c r="J142" s="10"/>
      <c r="K142" s="10"/>
      <c r="L142" s="10"/>
    </row>
    <row r="143" spans="1:12">
      <c r="A143" s="10"/>
      <c r="B143" s="10"/>
      <c r="C143" s="10"/>
      <c r="D143" s="10"/>
      <c r="E143" s="11"/>
      <c r="F143" s="10"/>
      <c r="G143" s="10"/>
      <c r="H143" s="10"/>
      <c r="I143" s="11"/>
      <c r="J143" s="10"/>
      <c r="K143" s="10"/>
      <c r="L143" s="10"/>
    </row>
    <row r="144" spans="1:12">
      <c r="A144" s="10"/>
      <c r="B144" s="10"/>
      <c r="C144" s="10"/>
      <c r="D144" s="10"/>
      <c r="E144" s="11"/>
      <c r="F144" s="10"/>
      <c r="G144" s="10"/>
      <c r="H144" s="10"/>
      <c r="I144" s="11"/>
      <c r="J144" s="10"/>
      <c r="K144" s="10"/>
      <c r="L144" s="10"/>
    </row>
    <row r="145" spans="1:12">
      <c r="A145" s="10"/>
      <c r="B145" s="10"/>
      <c r="C145" s="10"/>
      <c r="D145" s="10"/>
      <c r="E145" s="11"/>
      <c r="F145" s="10"/>
      <c r="G145" s="10"/>
      <c r="H145" s="10"/>
      <c r="I145" s="11"/>
      <c r="J145" s="10"/>
      <c r="K145" s="10"/>
      <c r="L145" s="10"/>
    </row>
    <row r="146" spans="1:12">
      <c r="A146" s="10"/>
      <c r="B146" s="10"/>
      <c r="C146" s="10"/>
      <c r="D146" s="10"/>
      <c r="E146" s="11"/>
      <c r="F146" s="10"/>
      <c r="G146" s="10"/>
      <c r="H146" s="10"/>
      <c r="I146" s="11"/>
      <c r="J146" s="10"/>
      <c r="K146" s="10"/>
      <c r="L146" s="10"/>
    </row>
    <row r="147" spans="1:12">
      <c r="A147" s="10"/>
      <c r="B147" s="10"/>
      <c r="C147" s="10"/>
      <c r="D147" s="10"/>
      <c r="E147" s="11"/>
      <c r="F147" s="10"/>
      <c r="G147" s="10"/>
      <c r="H147" s="10"/>
      <c r="I147" s="11"/>
      <c r="J147" s="10"/>
      <c r="K147" s="10"/>
      <c r="L147" s="10"/>
    </row>
    <row r="148" spans="1:12">
      <c r="A148" s="10"/>
      <c r="B148" s="10"/>
      <c r="C148" s="10"/>
      <c r="D148" s="10"/>
      <c r="E148" s="11"/>
      <c r="F148" s="10"/>
      <c r="G148" s="10"/>
      <c r="H148" s="10"/>
      <c r="I148" s="11"/>
      <c r="J148" s="10"/>
      <c r="K148" s="10"/>
      <c r="L148" s="10"/>
    </row>
    <row r="149" spans="1:12">
      <c r="A149" s="10"/>
      <c r="B149" s="10"/>
      <c r="C149" s="10"/>
      <c r="D149" s="10"/>
      <c r="E149" s="11"/>
      <c r="F149" s="10"/>
      <c r="G149" s="10"/>
      <c r="H149" s="10"/>
      <c r="I149" s="11"/>
      <c r="J149" s="10"/>
      <c r="K149" s="10"/>
      <c r="L149" s="10"/>
    </row>
    <row r="150" spans="1:12">
      <c r="A150" s="10"/>
      <c r="B150" s="10"/>
      <c r="C150" s="10"/>
      <c r="D150" s="10"/>
      <c r="E150" s="11"/>
      <c r="F150" s="10"/>
      <c r="G150" s="10"/>
      <c r="H150" s="10"/>
      <c r="I150" s="11"/>
      <c r="J150" s="10"/>
      <c r="K150" s="10"/>
      <c r="L150" s="10"/>
    </row>
    <row r="151" spans="1:12">
      <c r="A151" s="10"/>
      <c r="B151" s="10"/>
      <c r="C151" s="10"/>
      <c r="D151" s="10"/>
      <c r="E151" s="11"/>
      <c r="F151" s="10"/>
      <c r="G151" s="10"/>
      <c r="H151" s="10"/>
      <c r="I151" s="11"/>
      <c r="J151" s="10"/>
      <c r="K151" s="10"/>
      <c r="L151" s="10"/>
    </row>
    <row r="152" spans="1:12">
      <c r="A152" s="10"/>
      <c r="B152" s="10"/>
      <c r="C152" s="10"/>
      <c r="D152" s="10"/>
      <c r="E152" s="11"/>
      <c r="F152" s="10"/>
      <c r="G152" s="10"/>
      <c r="H152" s="10"/>
      <c r="I152" s="11"/>
      <c r="J152" s="10"/>
      <c r="K152" s="10"/>
      <c r="L152" s="10"/>
    </row>
    <row r="153" spans="1:12">
      <c r="A153" s="10"/>
      <c r="B153" s="10"/>
      <c r="C153" s="10"/>
      <c r="D153" s="10"/>
      <c r="E153" s="11"/>
      <c r="F153" s="10"/>
      <c r="G153" s="10"/>
      <c r="H153" s="10"/>
      <c r="I153" s="11"/>
      <c r="J153" s="10"/>
      <c r="K153" s="10"/>
      <c r="L153" s="10"/>
    </row>
    <row r="154" spans="1:12">
      <c r="A154" s="10"/>
      <c r="B154" s="10"/>
      <c r="C154" s="10"/>
      <c r="D154" s="10"/>
      <c r="E154" s="11"/>
      <c r="F154" s="10"/>
      <c r="G154" s="10"/>
      <c r="H154" s="10"/>
      <c r="I154" s="11"/>
      <c r="J154" s="10"/>
      <c r="K154" s="10"/>
      <c r="L154" s="10"/>
    </row>
    <row r="155" spans="1:12">
      <c r="A155" s="10"/>
      <c r="B155" s="10"/>
      <c r="C155" s="10"/>
      <c r="D155" s="10"/>
      <c r="E155" s="11"/>
      <c r="F155" s="10"/>
      <c r="G155" s="10"/>
      <c r="H155" s="10"/>
      <c r="I155" s="11"/>
      <c r="J155" s="10"/>
      <c r="K155" s="10"/>
      <c r="L155" s="10"/>
    </row>
    <row r="156" spans="1:12">
      <c r="A156" s="10"/>
      <c r="B156" s="10"/>
      <c r="C156" s="10"/>
      <c r="D156" s="10"/>
      <c r="E156" s="11"/>
      <c r="F156" s="10"/>
      <c r="G156" s="10"/>
      <c r="H156" s="10"/>
      <c r="I156" s="11"/>
      <c r="J156" s="10"/>
      <c r="K156" s="10"/>
      <c r="L156" s="10"/>
    </row>
    <row r="157" spans="1:12">
      <c r="A157" s="10"/>
      <c r="B157" s="10"/>
      <c r="C157" s="10"/>
      <c r="D157" s="10"/>
      <c r="E157" s="11"/>
      <c r="F157" s="10"/>
      <c r="G157" s="10"/>
      <c r="H157" s="10"/>
      <c r="I157" s="11"/>
      <c r="J157" s="10"/>
      <c r="K157" s="10"/>
      <c r="L157" s="10"/>
    </row>
    <row r="158" spans="1:12">
      <c r="A158" s="10"/>
      <c r="B158" s="10"/>
      <c r="C158" s="10"/>
      <c r="D158" s="10"/>
      <c r="E158" s="11"/>
      <c r="F158" s="10"/>
      <c r="G158" s="10"/>
      <c r="H158" s="10"/>
      <c r="I158" s="11"/>
      <c r="J158" s="10"/>
      <c r="K158" s="10"/>
      <c r="L158" s="10"/>
    </row>
    <row r="159" spans="1:12">
      <c r="A159" s="10"/>
      <c r="B159" s="10"/>
      <c r="C159" s="10"/>
      <c r="D159" s="10"/>
      <c r="E159" s="11"/>
      <c r="F159" s="10"/>
      <c r="G159" s="10"/>
      <c r="H159" s="10"/>
      <c r="I159" s="11"/>
      <c r="J159" s="10"/>
      <c r="K159" s="10"/>
      <c r="L159" s="10"/>
    </row>
    <row r="160" spans="1:12">
      <c r="A160" s="10"/>
      <c r="B160" s="10"/>
      <c r="C160" s="10"/>
      <c r="D160" s="10"/>
      <c r="E160" s="11"/>
      <c r="F160" s="10"/>
      <c r="G160" s="10"/>
      <c r="H160" s="10"/>
      <c r="I160" s="11"/>
      <c r="J160" s="10"/>
      <c r="K160" s="10"/>
      <c r="L160" s="10"/>
    </row>
    <row r="161" spans="1:12">
      <c r="A161" s="10"/>
      <c r="B161" s="10"/>
      <c r="C161" s="10"/>
      <c r="D161" s="10"/>
      <c r="E161" s="11"/>
      <c r="F161" s="10"/>
      <c r="G161" s="10"/>
      <c r="H161" s="10"/>
      <c r="I161" s="11"/>
      <c r="J161" s="10"/>
      <c r="K161" s="10"/>
      <c r="L161" s="10"/>
    </row>
    <row r="162" spans="1:12">
      <c r="A162" s="10"/>
      <c r="B162" s="10"/>
      <c r="C162" s="10"/>
      <c r="D162" s="10"/>
      <c r="E162" s="11"/>
      <c r="F162" s="10"/>
      <c r="G162" s="10"/>
      <c r="H162" s="10"/>
      <c r="I162" s="11"/>
      <c r="J162" s="10"/>
      <c r="K162" s="10"/>
      <c r="L162" s="10"/>
    </row>
    <row r="163" spans="1:12">
      <c r="A163" s="10"/>
      <c r="B163" s="10"/>
      <c r="C163" s="10"/>
      <c r="D163" s="10"/>
      <c r="E163" s="11"/>
      <c r="F163" s="10"/>
      <c r="G163" s="10"/>
      <c r="H163" s="10"/>
      <c r="I163" s="11"/>
      <c r="J163" s="10"/>
      <c r="K163" s="10"/>
      <c r="L163" s="10"/>
    </row>
    <row r="164" spans="1:12">
      <c r="A164" s="10"/>
      <c r="B164" s="10"/>
      <c r="C164" s="10"/>
      <c r="D164" s="10"/>
      <c r="E164" s="11"/>
      <c r="F164" s="10"/>
      <c r="G164" s="10"/>
      <c r="H164" s="10"/>
      <c r="I164" s="11"/>
      <c r="J164" s="10"/>
      <c r="K164" s="10"/>
      <c r="L164" s="10"/>
    </row>
    <row r="165" spans="1:12">
      <c r="A165" s="10"/>
      <c r="B165" s="10"/>
      <c r="C165" s="10"/>
      <c r="D165" s="10"/>
      <c r="E165" s="11"/>
      <c r="F165" s="10"/>
      <c r="G165" s="10"/>
      <c r="H165" s="10"/>
      <c r="I165" s="11"/>
      <c r="J165" s="10"/>
      <c r="K165" s="10"/>
      <c r="L165" s="10"/>
    </row>
    <row r="166" spans="1:12">
      <c r="A166" s="10"/>
      <c r="B166" s="10"/>
      <c r="C166" s="10"/>
      <c r="D166" s="10"/>
      <c r="E166" s="11"/>
      <c r="F166" s="10"/>
      <c r="G166" s="10"/>
      <c r="H166" s="10"/>
      <c r="I166" s="11"/>
      <c r="J166" s="10"/>
      <c r="K166" s="10"/>
      <c r="L166" s="10"/>
    </row>
    <row r="167" spans="1:12">
      <c r="A167" s="10"/>
      <c r="B167" s="10"/>
      <c r="C167" s="10"/>
      <c r="D167" s="10"/>
      <c r="E167" s="11"/>
      <c r="F167" s="10"/>
      <c r="G167" s="10"/>
      <c r="H167" s="10"/>
      <c r="I167" s="11"/>
      <c r="J167" s="10"/>
      <c r="K167" s="10"/>
      <c r="L167" s="10"/>
    </row>
    <row r="168" spans="1:12">
      <c r="A168" s="10"/>
      <c r="B168" s="10"/>
      <c r="C168" s="10"/>
      <c r="D168" s="10"/>
      <c r="E168" s="11"/>
      <c r="F168" s="10"/>
      <c r="G168" s="10"/>
      <c r="H168" s="10"/>
      <c r="I168" s="11"/>
      <c r="J168" s="10"/>
      <c r="K168" s="10"/>
      <c r="L168" s="10"/>
    </row>
    <row r="169" spans="1:12">
      <c r="A169" s="10"/>
      <c r="B169" s="10"/>
      <c r="C169" s="10"/>
      <c r="D169" s="10"/>
      <c r="E169" s="11"/>
      <c r="F169" s="10"/>
      <c r="G169" s="10"/>
      <c r="H169" s="10"/>
      <c r="I169" s="11"/>
      <c r="J169" s="10"/>
      <c r="K169" s="10"/>
      <c r="L169" s="10"/>
    </row>
    <row r="170" spans="1:12">
      <c r="A170" s="10"/>
      <c r="B170" s="10"/>
      <c r="C170" s="10"/>
      <c r="D170" s="10"/>
      <c r="E170" s="11"/>
      <c r="F170" s="10"/>
      <c r="G170" s="10"/>
      <c r="H170" s="10"/>
      <c r="I170" s="11"/>
      <c r="J170" s="10"/>
      <c r="K170" s="10"/>
      <c r="L170" s="10"/>
    </row>
    <row r="171" spans="1:12">
      <c r="A171" s="10"/>
      <c r="B171" s="10"/>
      <c r="C171" s="10"/>
      <c r="D171" s="10"/>
      <c r="E171" s="11"/>
      <c r="F171" s="10"/>
      <c r="G171" s="10"/>
      <c r="H171" s="10"/>
      <c r="I171" s="11"/>
      <c r="J171" s="10"/>
      <c r="K171" s="10"/>
      <c r="L171" s="10"/>
    </row>
    <row r="172" spans="1:12">
      <c r="A172" s="10"/>
      <c r="B172" s="10"/>
      <c r="C172" s="10"/>
      <c r="D172" s="10"/>
      <c r="E172" s="11"/>
      <c r="F172" s="10"/>
      <c r="G172" s="10"/>
      <c r="H172" s="10"/>
      <c r="I172" s="11"/>
      <c r="J172" s="10"/>
      <c r="K172" s="10"/>
      <c r="L172" s="10"/>
    </row>
    <row r="173" spans="1:12">
      <c r="A173" s="10"/>
      <c r="B173" s="10"/>
      <c r="C173" s="10"/>
      <c r="D173" s="10"/>
      <c r="E173" s="11"/>
      <c r="F173" s="10"/>
      <c r="G173" s="10"/>
      <c r="H173" s="10"/>
      <c r="I173" s="11"/>
      <c r="J173" s="10"/>
      <c r="K173" s="10"/>
      <c r="L173" s="10"/>
    </row>
    <row r="174" spans="1:12">
      <c r="A174" s="10"/>
      <c r="B174" s="10"/>
      <c r="C174" s="10"/>
      <c r="D174" s="10"/>
      <c r="E174" s="11"/>
      <c r="F174" s="10"/>
      <c r="G174" s="10"/>
      <c r="H174" s="10"/>
      <c r="I174" s="11"/>
      <c r="J174" s="10"/>
      <c r="K174" s="10"/>
      <c r="L174" s="10"/>
    </row>
    <row r="175" spans="1:12">
      <c r="A175" s="10"/>
      <c r="B175" s="10"/>
      <c r="C175" s="10"/>
      <c r="D175" s="10"/>
      <c r="E175" s="11"/>
      <c r="F175" s="10"/>
      <c r="G175" s="10"/>
      <c r="H175" s="10"/>
      <c r="I175" s="11"/>
      <c r="J175" s="10"/>
      <c r="K175" s="10"/>
      <c r="L175" s="10"/>
    </row>
    <row r="176" spans="1:12">
      <c r="A176" s="10"/>
      <c r="B176" s="10"/>
      <c r="C176" s="10"/>
      <c r="D176" s="10"/>
      <c r="E176" s="11"/>
      <c r="F176" s="10"/>
      <c r="G176" s="10"/>
      <c r="H176" s="10"/>
      <c r="I176" s="11"/>
      <c r="J176" s="10"/>
      <c r="K176" s="10"/>
      <c r="L176" s="10"/>
    </row>
    <row r="177" spans="1:12">
      <c r="A177" s="10"/>
      <c r="B177" s="10"/>
      <c r="C177" s="10"/>
      <c r="D177" s="10"/>
      <c r="E177" s="11"/>
      <c r="F177" s="10"/>
      <c r="G177" s="10"/>
      <c r="H177" s="10"/>
      <c r="I177" s="11"/>
      <c r="J177" s="10"/>
      <c r="K177" s="10"/>
      <c r="L177" s="10"/>
    </row>
    <row r="178" spans="1:12">
      <c r="A178" s="10"/>
      <c r="B178" s="10"/>
      <c r="C178" s="10"/>
      <c r="D178" s="10"/>
      <c r="E178" s="11"/>
      <c r="F178" s="10"/>
      <c r="G178" s="10"/>
      <c r="H178" s="10"/>
      <c r="I178" s="11"/>
      <c r="J178" s="10"/>
      <c r="K178" s="10"/>
      <c r="L178" s="10"/>
    </row>
    <row r="179" spans="1:12">
      <c r="A179" s="10"/>
      <c r="B179" s="10"/>
      <c r="C179" s="10"/>
      <c r="D179" s="10"/>
      <c r="E179" s="11"/>
      <c r="F179" s="10"/>
      <c r="G179" s="10"/>
      <c r="H179" s="10"/>
      <c r="I179" s="11"/>
      <c r="J179" s="10"/>
      <c r="K179" s="10"/>
      <c r="L179" s="10"/>
    </row>
    <row r="180" spans="1:12">
      <c r="A180" s="10"/>
      <c r="B180" s="10"/>
      <c r="C180" s="10"/>
      <c r="D180" s="10"/>
      <c r="E180" s="11"/>
      <c r="F180" s="10"/>
      <c r="G180" s="10"/>
      <c r="H180" s="10"/>
      <c r="I180" s="11"/>
      <c r="J180" s="10"/>
      <c r="K180" s="10"/>
      <c r="L180" s="10"/>
    </row>
    <row r="181" spans="1:12">
      <c r="A181" s="10"/>
      <c r="B181" s="10"/>
      <c r="C181" s="10"/>
      <c r="D181" s="10"/>
      <c r="E181" s="11"/>
      <c r="F181" s="10"/>
      <c r="G181" s="10"/>
      <c r="H181" s="10"/>
      <c r="I181" s="11"/>
      <c r="J181" s="10"/>
      <c r="K181" s="10"/>
      <c r="L181" s="10"/>
    </row>
    <row r="182" spans="1:12">
      <c r="A182" s="10"/>
      <c r="B182" s="10"/>
      <c r="C182" s="10"/>
      <c r="D182" s="10"/>
      <c r="E182" s="11"/>
      <c r="F182" s="10"/>
      <c r="G182" s="10"/>
      <c r="H182" s="10"/>
      <c r="I182" s="11"/>
      <c r="J182" s="10"/>
      <c r="K182" s="10"/>
      <c r="L182" s="10"/>
    </row>
    <row r="183" spans="1:12">
      <c r="A183" s="10"/>
      <c r="B183" s="10"/>
      <c r="C183" s="10"/>
      <c r="D183" s="10"/>
      <c r="E183" s="11"/>
      <c r="F183" s="10"/>
      <c r="G183" s="10"/>
      <c r="H183" s="10"/>
      <c r="I183" s="11"/>
      <c r="J183" s="10"/>
      <c r="K183" s="10"/>
      <c r="L183" s="10"/>
    </row>
    <row r="184" spans="1:12">
      <c r="A184" s="10"/>
      <c r="B184" s="10"/>
      <c r="C184" s="10"/>
      <c r="D184" s="10"/>
      <c r="E184" s="11"/>
      <c r="F184" s="10"/>
      <c r="G184" s="10"/>
      <c r="H184" s="10"/>
      <c r="I184" s="11"/>
      <c r="J184" s="10"/>
      <c r="K184" s="10"/>
      <c r="L184" s="10"/>
    </row>
    <row r="185" spans="1:12">
      <c r="A185" s="10"/>
      <c r="B185" s="10"/>
      <c r="C185" s="10"/>
      <c r="D185" s="10"/>
      <c r="E185" s="11"/>
      <c r="F185" s="10"/>
      <c r="G185" s="10"/>
      <c r="H185" s="10"/>
      <c r="I185" s="11"/>
      <c r="J185" s="10"/>
      <c r="K185" s="10"/>
      <c r="L185" s="10"/>
    </row>
    <row r="186" spans="1:12">
      <c r="A186" s="10"/>
      <c r="B186" s="10"/>
      <c r="C186" s="10"/>
      <c r="D186" s="10"/>
      <c r="E186" s="11"/>
      <c r="F186" s="10"/>
      <c r="G186" s="10"/>
      <c r="H186" s="10"/>
      <c r="I186" s="11"/>
      <c r="J186" s="10"/>
      <c r="K186" s="10"/>
      <c r="L186" s="10"/>
    </row>
    <row r="187" spans="1:12">
      <c r="A187" s="10"/>
      <c r="B187" s="10"/>
      <c r="C187" s="10"/>
      <c r="D187" s="10"/>
      <c r="E187" s="11"/>
      <c r="F187" s="10"/>
      <c r="G187" s="10"/>
      <c r="H187" s="10"/>
      <c r="I187" s="11"/>
      <c r="J187" s="10"/>
      <c r="K187" s="10"/>
      <c r="L187" s="10"/>
    </row>
    <row r="188" spans="1:12">
      <c r="A188" s="10"/>
      <c r="B188" s="10"/>
      <c r="C188" s="10"/>
      <c r="D188" s="10"/>
      <c r="E188" s="11"/>
      <c r="F188" s="10"/>
      <c r="G188" s="10"/>
      <c r="H188" s="10"/>
      <c r="I188" s="11"/>
      <c r="J188" s="10"/>
      <c r="K188" s="10"/>
      <c r="L188" s="10"/>
    </row>
    <row r="189" spans="1:12">
      <c r="A189" s="10"/>
      <c r="B189" s="10"/>
      <c r="C189" s="10"/>
      <c r="D189" s="10"/>
      <c r="E189" s="11"/>
      <c r="F189" s="10"/>
      <c r="G189" s="10"/>
      <c r="H189" s="10"/>
      <c r="I189" s="11"/>
      <c r="J189" s="10"/>
      <c r="K189" s="10"/>
      <c r="L189" s="10"/>
    </row>
    <row r="190" spans="1:12">
      <c r="A190" s="10"/>
      <c r="B190" s="10"/>
      <c r="C190" s="10"/>
      <c r="D190" s="10"/>
      <c r="E190" s="11"/>
      <c r="F190" s="10"/>
      <c r="G190" s="10"/>
      <c r="H190" s="10"/>
      <c r="I190" s="11"/>
      <c r="J190" s="10"/>
      <c r="K190" s="10"/>
      <c r="L190" s="10"/>
    </row>
    <row r="191" spans="1:12">
      <c r="A191" s="10"/>
      <c r="B191" s="10"/>
      <c r="C191" s="10"/>
      <c r="D191" s="10"/>
      <c r="E191" s="11"/>
      <c r="F191" s="10"/>
      <c r="G191" s="10"/>
      <c r="H191" s="10"/>
      <c r="I191" s="11"/>
      <c r="J191" s="10"/>
      <c r="K191" s="10"/>
      <c r="L191" s="10"/>
    </row>
    <row r="192" spans="1:12">
      <c r="A192" s="10"/>
      <c r="B192" s="10"/>
      <c r="C192" s="10"/>
      <c r="D192" s="10"/>
      <c r="E192" s="11"/>
      <c r="F192" s="10"/>
      <c r="G192" s="10"/>
      <c r="H192" s="10"/>
      <c r="I192" s="11"/>
      <c r="J192" s="10"/>
      <c r="K192" s="10"/>
      <c r="L192" s="10"/>
    </row>
    <row r="193" spans="1:12">
      <c r="A193" s="10"/>
      <c r="B193" s="10"/>
      <c r="C193" s="10"/>
      <c r="D193" s="10"/>
      <c r="E193" s="11"/>
      <c r="F193" s="10"/>
      <c r="G193" s="10"/>
      <c r="H193" s="10"/>
      <c r="I193" s="11"/>
      <c r="J193" s="10"/>
      <c r="K193" s="10"/>
      <c r="L193" s="10"/>
    </row>
    <row r="194" spans="1:12">
      <c r="A194" s="10"/>
      <c r="B194" s="10"/>
      <c r="C194" s="10"/>
      <c r="D194" s="10"/>
      <c r="E194" s="11"/>
      <c r="F194" s="10"/>
      <c r="G194" s="10"/>
      <c r="H194" s="10"/>
      <c r="I194" s="11"/>
      <c r="J194" s="10"/>
      <c r="K194" s="10"/>
      <c r="L194" s="10"/>
    </row>
    <row r="195" spans="1:12">
      <c r="A195" s="10"/>
      <c r="B195" s="10"/>
      <c r="C195" s="10"/>
      <c r="D195" s="10"/>
      <c r="E195" s="11"/>
      <c r="F195" s="10"/>
      <c r="G195" s="10"/>
      <c r="H195" s="10"/>
      <c r="I195" s="11"/>
      <c r="J195" s="10"/>
      <c r="K195" s="10"/>
      <c r="L195" s="10"/>
    </row>
    <row r="196" spans="1:12">
      <c r="A196" s="10"/>
      <c r="B196" s="10"/>
      <c r="C196" s="10"/>
      <c r="D196" s="10"/>
      <c r="E196" s="11"/>
      <c r="F196" s="10"/>
      <c r="G196" s="10"/>
      <c r="H196" s="10"/>
      <c r="I196" s="11"/>
      <c r="J196" s="10"/>
      <c r="K196" s="10"/>
      <c r="L196" s="10"/>
    </row>
    <row r="197" spans="1:12">
      <c r="A197" s="10"/>
      <c r="B197" s="10"/>
      <c r="C197" s="10"/>
      <c r="D197" s="10"/>
      <c r="E197" s="11"/>
      <c r="F197" s="10"/>
      <c r="G197" s="10"/>
      <c r="H197" s="10"/>
      <c r="I197" s="11"/>
      <c r="J197" s="10"/>
      <c r="K197" s="10"/>
      <c r="L197" s="10"/>
    </row>
    <row r="198" spans="1:12">
      <c r="A198" s="10"/>
      <c r="B198" s="10"/>
      <c r="C198" s="10"/>
      <c r="D198" s="10"/>
      <c r="E198" s="11"/>
      <c r="F198" s="10"/>
      <c r="G198" s="10"/>
      <c r="H198" s="10"/>
      <c r="I198" s="11"/>
      <c r="J198" s="10"/>
      <c r="K198" s="10"/>
      <c r="L198" s="10"/>
    </row>
    <row r="199" spans="1:12">
      <c r="A199" s="10"/>
      <c r="B199" s="10"/>
      <c r="C199" s="10"/>
      <c r="D199" s="10"/>
      <c r="E199" s="11"/>
      <c r="F199" s="10"/>
      <c r="G199" s="10"/>
      <c r="H199" s="10"/>
      <c r="I199" s="11"/>
      <c r="J199" s="10"/>
      <c r="K199" s="10"/>
      <c r="L199" s="10"/>
    </row>
    <row r="200" spans="1:12">
      <c r="A200" s="10"/>
      <c r="B200" s="10"/>
      <c r="C200" s="10"/>
      <c r="D200" s="10"/>
      <c r="E200" s="11"/>
      <c r="F200" s="10"/>
      <c r="G200" s="10"/>
      <c r="H200" s="10"/>
      <c r="I200" s="11"/>
      <c r="J200" s="10"/>
      <c r="K200" s="10"/>
      <c r="L200" s="10"/>
    </row>
    <row r="201" spans="1:12">
      <c r="A201" s="10"/>
      <c r="B201" s="10"/>
      <c r="C201" s="10"/>
      <c r="D201" s="10"/>
      <c r="E201" s="11"/>
      <c r="F201" s="10"/>
      <c r="G201" s="10"/>
      <c r="H201" s="10"/>
      <c r="I201" s="11"/>
      <c r="J201" s="10"/>
      <c r="K201" s="10"/>
      <c r="L201" s="10"/>
    </row>
    <row r="202" spans="1:12">
      <c r="A202" s="10"/>
      <c r="B202" s="10"/>
      <c r="C202" s="10"/>
      <c r="D202" s="10"/>
      <c r="E202" s="11"/>
      <c r="F202" s="10"/>
      <c r="G202" s="10"/>
      <c r="H202" s="10"/>
      <c r="I202" s="11"/>
      <c r="J202" s="10"/>
      <c r="K202" s="10"/>
      <c r="L202" s="10"/>
    </row>
    <row r="203" spans="1:12">
      <c r="A203" s="10"/>
      <c r="B203" s="10"/>
      <c r="C203" s="10"/>
      <c r="D203" s="10"/>
      <c r="E203" s="11"/>
      <c r="F203" s="10"/>
      <c r="G203" s="10"/>
      <c r="H203" s="10"/>
      <c r="I203" s="11"/>
      <c r="J203" s="10"/>
      <c r="K203" s="10"/>
      <c r="L203" s="10"/>
    </row>
    <row r="204" spans="1:12">
      <c r="A204" s="10"/>
      <c r="B204" s="10"/>
      <c r="C204" s="10"/>
      <c r="D204" s="10"/>
      <c r="E204" s="11"/>
      <c r="F204" s="10"/>
      <c r="G204" s="10"/>
      <c r="H204" s="10"/>
      <c r="I204" s="11"/>
      <c r="J204" s="10"/>
      <c r="K204" s="10"/>
      <c r="L204" s="10"/>
    </row>
    <row r="205" spans="1:12">
      <c r="A205" s="10"/>
      <c r="B205" s="10"/>
      <c r="C205" s="10"/>
      <c r="D205" s="10"/>
      <c r="E205" s="11"/>
      <c r="F205" s="10"/>
      <c r="G205" s="10"/>
      <c r="H205" s="10"/>
      <c r="I205" s="11"/>
      <c r="J205" s="10"/>
      <c r="K205" s="10"/>
      <c r="L205" s="10"/>
    </row>
    <row r="206" spans="1:12">
      <c r="A206" s="10"/>
      <c r="B206" s="10"/>
      <c r="C206" s="10"/>
      <c r="D206" s="10"/>
      <c r="E206" s="11"/>
      <c r="F206" s="10"/>
      <c r="G206" s="10"/>
      <c r="H206" s="10"/>
      <c r="I206" s="11"/>
      <c r="J206" s="10"/>
      <c r="K206" s="10"/>
      <c r="L206" s="10"/>
    </row>
    <row r="207" spans="1:12">
      <c r="A207" s="10"/>
      <c r="B207" s="10"/>
      <c r="C207" s="10"/>
      <c r="D207" s="10"/>
      <c r="E207" s="11"/>
      <c r="F207" s="10"/>
      <c r="G207" s="10"/>
      <c r="H207" s="10"/>
      <c r="I207" s="11"/>
      <c r="J207" s="10"/>
      <c r="K207" s="10"/>
      <c r="L207" s="10"/>
    </row>
    <row r="208" spans="1:12">
      <c r="A208" s="10"/>
      <c r="B208" s="10"/>
      <c r="C208" s="10"/>
      <c r="D208" s="10"/>
      <c r="E208" s="11"/>
      <c r="F208" s="10"/>
      <c r="G208" s="10"/>
      <c r="H208" s="10"/>
      <c r="I208" s="11"/>
      <c r="J208" s="10"/>
      <c r="K208" s="10"/>
      <c r="L208" s="10"/>
    </row>
    <row r="209" spans="1:12">
      <c r="A209" s="10"/>
      <c r="B209" s="10"/>
      <c r="C209" s="10"/>
      <c r="D209" s="10"/>
      <c r="E209" s="11"/>
      <c r="F209" s="10"/>
      <c r="G209" s="10"/>
      <c r="H209" s="10"/>
      <c r="I209" s="11"/>
      <c r="J209" s="10"/>
      <c r="K209" s="10"/>
      <c r="L209" s="10"/>
    </row>
    <row r="210" spans="1:12">
      <c r="A210" s="10"/>
      <c r="B210" s="10"/>
      <c r="C210" s="10"/>
      <c r="D210" s="10"/>
      <c r="E210" s="11"/>
      <c r="F210" s="10"/>
      <c r="G210" s="10"/>
      <c r="H210" s="10"/>
      <c r="I210" s="11"/>
      <c r="J210" s="10"/>
      <c r="K210" s="10"/>
      <c r="L210" s="10"/>
    </row>
    <row r="211" spans="1:12">
      <c r="A211" s="10"/>
      <c r="B211" s="10"/>
      <c r="C211" s="10"/>
      <c r="D211" s="10"/>
      <c r="E211" s="11"/>
      <c r="F211" s="10"/>
      <c r="G211" s="10"/>
      <c r="H211" s="10"/>
      <c r="I211" s="11"/>
      <c r="J211" s="10"/>
      <c r="K211" s="10"/>
      <c r="L211" s="10"/>
    </row>
    <row r="212" spans="1:12">
      <c r="A212" s="10"/>
      <c r="B212" s="10"/>
      <c r="C212" s="10"/>
      <c r="D212" s="10"/>
      <c r="E212" s="11"/>
      <c r="F212" s="10"/>
      <c r="G212" s="10"/>
      <c r="H212" s="10"/>
      <c r="I212" s="11"/>
      <c r="J212" s="10"/>
      <c r="K212" s="10"/>
      <c r="L212" s="10"/>
    </row>
    <row r="213" spans="1:12">
      <c r="A213" s="10"/>
      <c r="B213" s="10"/>
      <c r="C213" s="10"/>
      <c r="D213" s="10"/>
      <c r="E213" s="11"/>
      <c r="F213" s="10"/>
      <c r="G213" s="10"/>
      <c r="H213" s="10"/>
      <c r="I213" s="11"/>
      <c r="J213" s="10"/>
      <c r="K213" s="10"/>
      <c r="L213" s="10"/>
    </row>
    <row r="214" spans="1:12">
      <c r="A214" s="10"/>
      <c r="B214" s="10"/>
      <c r="C214" s="10"/>
      <c r="D214" s="10"/>
      <c r="E214" s="11"/>
      <c r="F214" s="10"/>
      <c r="G214" s="10"/>
      <c r="H214" s="10"/>
      <c r="I214" s="11"/>
      <c r="J214" s="10"/>
      <c r="K214" s="10"/>
      <c r="L214" s="10"/>
    </row>
    <row r="215" spans="1:12">
      <c r="A215" s="10"/>
      <c r="B215" s="10"/>
      <c r="C215" s="10"/>
      <c r="D215" s="10"/>
      <c r="E215" s="11"/>
      <c r="F215" s="10"/>
      <c r="G215" s="10"/>
      <c r="H215" s="10"/>
      <c r="I215" s="11"/>
      <c r="J215" s="10"/>
      <c r="K215" s="10"/>
      <c r="L215" s="10"/>
    </row>
    <row r="216" spans="1:12">
      <c r="A216" s="10"/>
      <c r="B216" s="10"/>
      <c r="C216" s="10"/>
      <c r="D216" s="10"/>
      <c r="E216" s="11"/>
      <c r="F216" s="10"/>
      <c r="G216" s="10"/>
      <c r="H216" s="10"/>
      <c r="I216" s="11"/>
      <c r="J216" s="10"/>
      <c r="K216" s="10"/>
      <c r="L216" s="10"/>
    </row>
    <row r="217" spans="1:12">
      <c r="A217" s="10"/>
      <c r="B217" s="10"/>
      <c r="C217" s="10"/>
      <c r="D217" s="10"/>
      <c r="E217" s="11"/>
      <c r="F217" s="10"/>
      <c r="G217" s="10"/>
      <c r="H217" s="10"/>
      <c r="I217" s="11"/>
      <c r="J217" s="10"/>
      <c r="K217" s="10"/>
      <c r="L217" s="10"/>
    </row>
    <row r="218" spans="1:12">
      <c r="A218" s="10"/>
      <c r="B218" s="10"/>
      <c r="C218" s="10"/>
      <c r="D218" s="10"/>
      <c r="E218" s="11"/>
      <c r="F218" s="10"/>
      <c r="G218" s="10"/>
      <c r="H218" s="10"/>
      <c r="I218" s="11"/>
      <c r="J218" s="10"/>
      <c r="K218" s="10"/>
      <c r="L218" s="10"/>
    </row>
    <row r="219" spans="1:12">
      <c r="A219" s="10"/>
      <c r="B219" s="10"/>
      <c r="C219" s="10"/>
      <c r="D219" s="10"/>
      <c r="E219" s="11"/>
      <c r="F219" s="10"/>
      <c r="G219" s="10"/>
      <c r="H219" s="10"/>
      <c r="I219" s="11"/>
      <c r="J219" s="10"/>
      <c r="K219" s="10"/>
      <c r="L219" s="10"/>
    </row>
    <row r="220" spans="1:12">
      <c r="A220" s="10"/>
      <c r="B220" s="10"/>
      <c r="C220" s="10"/>
      <c r="D220" s="10"/>
      <c r="E220" s="11"/>
      <c r="F220" s="10"/>
      <c r="G220" s="10"/>
      <c r="H220" s="10"/>
      <c r="I220" s="11"/>
      <c r="J220" s="10"/>
      <c r="K220" s="10"/>
      <c r="L220" s="10"/>
    </row>
    <row r="221" spans="1:12">
      <c r="A221" s="10"/>
      <c r="B221" s="10"/>
      <c r="C221" s="10"/>
      <c r="D221" s="10"/>
      <c r="E221" s="11"/>
      <c r="F221" s="10"/>
      <c r="G221" s="10"/>
      <c r="H221" s="10"/>
      <c r="I221" s="11"/>
      <c r="J221" s="10"/>
      <c r="K221" s="10"/>
      <c r="L221" s="10"/>
    </row>
    <row r="222" spans="1:12">
      <c r="A222" s="10"/>
      <c r="B222" s="10"/>
      <c r="C222" s="10"/>
      <c r="D222" s="10"/>
      <c r="E222" s="11"/>
      <c r="F222" s="10"/>
      <c r="G222" s="10"/>
      <c r="H222" s="10"/>
      <c r="I222" s="11"/>
      <c r="J222" s="10"/>
      <c r="K222" s="10"/>
      <c r="L222" s="10"/>
    </row>
    <row r="223" spans="1:12">
      <c r="A223" s="10"/>
      <c r="B223" s="10"/>
      <c r="C223" s="10"/>
      <c r="D223" s="10"/>
      <c r="E223" s="11"/>
      <c r="F223" s="10"/>
      <c r="G223" s="10"/>
      <c r="H223" s="10"/>
      <c r="I223" s="11"/>
      <c r="J223" s="10"/>
      <c r="K223" s="10"/>
      <c r="L223" s="10"/>
    </row>
    <row r="224" spans="1:12">
      <c r="A224" s="10"/>
      <c r="B224" s="10"/>
      <c r="C224" s="10"/>
      <c r="D224" s="10"/>
      <c r="E224" s="11"/>
      <c r="F224" s="10"/>
      <c r="G224" s="10"/>
      <c r="H224" s="10"/>
      <c r="I224" s="11"/>
      <c r="J224" s="10"/>
      <c r="K224" s="10"/>
      <c r="L224" s="10"/>
    </row>
    <row r="225" spans="1:12">
      <c r="A225" s="10"/>
      <c r="B225" s="10"/>
      <c r="C225" s="10"/>
      <c r="D225" s="10"/>
      <c r="E225" s="11"/>
      <c r="F225" s="10"/>
      <c r="G225" s="10"/>
      <c r="H225" s="10"/>
      <c r="I225" s="11"/>
      <c r="J225" s="10"/>
      <c r="K225" s="10"/>
      <c r="L225" s="10"/>
    </row>
    <row r="226" spans="1:12">
      <c r="A226" s="10"/>
      <c r="B226" s="10"/>
      <c r="C226" s="10"/>
      <c r="D226" s="10"/>
      <c r="E226" s="11"/>
      <c r="F226" s="10"/>
      <c r="G226" s="10"/>
      <c r="H226" s="10"/>
      <c r="I226" s="11"/>
      <c r="J226" s="10"/>
      <c r="K226" s="10"/>
      <c r="L226" s="10"/>
    </row>
    <row r="227" spans="1:12">
      <c r="A227" s="10"/>
      <c r="B227" s="10"/>
      <c r="C227" s="10"/>
      <c r="D227" s="10"/>
      <c r="E227" s="11"/>
      <c r="F227" s="10"/>
      <c r="G227" s="10"/>
      <c r="H227" s="10"/>
      <c r="I227" s="11"/>
      <c r="J227" s="10"/>
      <c r="K227" s="10"/>
      <c r="L227" s="10"/>
    </row>
    <row r="228" spans="1:12">
      <c r="A228" s="10"/>
      <c r="B228" s="10"/>
      <c r="C228" s="10"/>
      <c r="D228" s="10"/>
      <c r="E228" s="11"/>
      <c r="F228" s="10"/>
      <c r="G228" s="10"/>
      <c r="H228" s="10"/>
      <c r="I228" s="11"/>
      <c r="J228" s="10"/>
      <c r="K228" s="10"/>
      <c r="L228" s="10"/>
    </row>
    <row r="229" spans="1:12">
      <c r="A229" s="10"/>
      <c r="B229" s="10"/>
      <c r="C229" s="10"/>
      <c r="D229" s="10"/>
      <c r="E229" s="11"/>
      <c r="F229" s="10"/>
      <c r="G229" s="10"/>
      <c r="H229" s="10"/>
      <c r="I229" s="11"/>
      <c r="J229" s="10"/>
      <c r="K229" s="10"/>
      <c r="L229" s="10"/>
    </row>
    <row r="230" spans="1:12">
      <c r="A230" s="10"/>
      <c r="B230" s="10"/>
      <c r="C230" s="10"/>
      <c r="D230" s="10"/>
      <c r="E230" s="11"/>
      <c r="F230" s="10"/>
      <c r="G230" s="10"/>
      <c r="H230" s="10"/>
      <c r="I230" s="11"/>
      <c r="J230" s="10"/>
      <c r="K230" s="10"/>
      <c r="L230" s="10"/>
    </row>
    <row r="231" spans="1:12">
      <c r="A231" s="10"/>
      <c r="B231" s="10"/>
      <c r="C231" s="10"/>
      <c r="D231" s="10"/>
      <c r="E231" s="11"/>
      <c r="F231" s="10"/>
      <c r="G231" s="10"/>
      <c r="H231" s="10"/>
      <c r="I231" s="11"/>
      <c r="J231" s="10"/>
      <c r="K231" s="10"/>
      <c r="L231" s="10"/>
    </row>
    <row r="232" spans="1:12">
      <c r="A232" s="10"/>
      <c r="B232" s="10"/>
      <c r="C232" s="10"/>
      <c r="D232" s="10"/>
      <c r="E232" s="11"/>
      <c r="F232" s="10"/>
      <c r="G232" s="10"/>
      <c r="H232" s="10"/>
      <c r="I232" s="11"/>
      <c r="J232" s="10"/>
      <c r="K232" s="10"/>
      <c r="L232" s="10"/>
    </row>
    <row r="233" spans="1:12">
      <c r="A233" s="10"/>
      <c r="B233" s="10"/>
      <c r="C233" s="10"/>
      <c r="D233" s="10"/>
      <c r="E233" s="11"/>
      <c r="F233" s="10"/>
      <c r="G233" s="10"/>
      <c r="H233" s="10"/>
      <c r="I233" s="11"/>
      <c r="J233" s="10"/>
      <c r="K233" s="10"/>
      <c r="L233" s="10"/>
    </row>
    <row r="234" spans="1:12">
      <c r="A234" s="10"/>
      <c r="B234" s="10"/>
      <c r="C234" s="10"/>
      <c r="D234" s="10"/>
      <c r="E234" s="11"/>
      <c r="F234" s="10"/>
      <c r="G234" s="10"/>
      <c r="H234" s="10"/>
      <c r="I234" s="11"/>
      <c r="J234" s="10"/>
      <c r="K234" s="10"/>
      <c r="L234" s="10"/>
    </row>
    <row r="235" spans="1:12">
      <c r="A235" s="10"/>
      <c r="B235" s="10"/>
      <c r="C235" s="10"/>
      <c r="D235" s="10"/>
      <c r="E235" s="11"/>
      <c r="F235" s="10"/>
      <c r="G235" s="10"/>
      <c r="H235" s="10"/>
      <c r="I235" s="11"/>
      <c r="J235" s="10"/>
      <c r="K235" s="10"/>
      <c r="L235" s="10"/>
    </row>
    <row r="236" spans="1:12">
      <c r="A236" s="10"/>
      <c r="B236" s="10"/>
      <c r="C236" s="10"/>
      <c r="D236" s="10"/>
      <c r="E236" s="11"/>
      <c r="F236" s="10"/>
      <c r="G236" s="10"/>
      <c r="H236" s="10"/>
      <c r="I236" s="11"/>
      <c r="J236" s="10"/>
      <c r="K236" s="10"/>
      <c r="L236" s="10"/>
    </row>
    <row r="237" spans="1:12">
      <c r="A237" s="10"/>
      <c r="B237" s="10"/>
      <c r="C237" s="10"/>
      <c r="D237" s="10"/>
      <c r="E237" s="11"/>
      <c r="F237" s="10"/>
      <c r="G237" s="10"/>
      <c r="H237" s="10"/>
      <c r="I237" s="11"/>
      <c r="J237" s="10"/>
      <c r="K237" s="10"/>
      <c r="L237" s="10"/>
    </row>
    <row r="238" spans="1:12">
      <c r="A238" s="10"/>
      <c r="B238" s="10"/>
      <c r="C238" s="10"/>
      <c r="D238" s="10"/>
      <c r="E238" s="11"/>
      <c r="F238" s="10"/>
      <c r="G238" s="10"/>
      <c r="H238" s="10"/>
      <c r="I238" s="11"/>
      <c r="J238" s="10"/>
      <c r="K238" s="10"/>
      <c r="L238" s="10"/>
    </row>
    <row r="239" spans="1:12">
      <c r="A239" s="10"/>
      <c r="B239" s="10"/>
      <c r="C239" s="10"/>
      <c r="D239" s="10"/>
      <c r="E239" s="11"/>
      <c r="F239" s="10"/>
      <c r="G239" s="10"/>
      <c r="H239" s="10"/>
      <c r="I239" s="11"/>
      <c r="J239" s="10"/>
      <c r="K239" s="10"/>
      <c r="L239" s="10"/>
    </row>
    <row r="240" spans="1:12">
      <c r="A240" s="10"/>
      <c r="B240" s="10"/>
      <c r="C240" s="10"/>
      <c r="D240" s="10"/>
      <c r="E240" s="11"/>
      <c r="F240" s="10"/>
      <c r="G240" s="10"/>
      <c r="H240" s="10"/>
      <c r="I240" s="11"/>
      <c r="J240" s="10"/>
      <c r="K240" s="10"/>
      <c r="L240" s="10"/>
    </row>
    <row r="241" spans="1:12">
      <c r="A241" s="10"/>
      <c r="B241" s="10"/>
      <c r="C241" s="10"/>
      <c r="D241" s="10"/>
      <c r="E241" s="11"/>
      <c r="F241" s="10"/>
      <c r="G241" s="10"/>
      <c r="H241" s="10"/>
      <c r="I241" s="11"/>
      <c r="J241" s="10"/>
      <c r="K241" s="10"/>
      <c r="L241" s="10"/>
    </row>
    <row r="242" spans="1:12">
      <c r="A242" s="10"/>
      <c r="B242" s="10"/>
      <c r="C242" s="10"/>
      <c r="D242" s="10"/>
      <c r="E242" s="11"/>
      <c r="F242" s="10"/>
      <c r="G242" s="10"/>
      <c r="H242" s="10"/>
      <c r="I242" s="11"/>
      <c r="J242" s="10"/>
      <c r="K242" s="10"/>
      <c r="L242" s="10"/>
    </row>
    <row r="243" spans="1:12">
      <c r="A243" s="10"/>
      <c r="B243" s="10"/>
      <c r="C243" s="10"/>
      <c r="D243" s="10"/>
      <c r="E243" s="11"/>
      <c r="F243" s="10"/>
      <c r="G243" s="10"/>
      <c r="H243" s="10"/>
      <c r="I243" s="11"/>
      <c r="J243" s="10"/>
      <c r="K243" s="10"/>
      <c r="L243" s="10"/>
    </row>
    <row r="244" spans="1:12">
      <c r="A244" s="10"/>
      <c r="B244" s="10"/>
      <c r="C244" s="10"/>
      <c r="D244" s="10"/>
      <c r="E244" s="11"/>
      <c r="F244" s="10"/>
      <c r="G244" s="10"/>
      <c r="H244" s="10"/>
      <c r="I244" s="11"/>
      <c r="J244" s="10"/>
      <c r="K244" s="10"/>
      <c r="L244" s="10"/>
    </row>
    <row r="245" spans="1:12">
      <c r="A245" s="10"/>
      <c r="B245" s="10"/>
      <c r="C245" s="10"/>
      <c r="D245" s="10"/>
      <c r="E245" s="11"/>
      <c r="F245" s="10"/>
      <c r="G245" s="10"/>
      <c r="H245" s="10"/>
      <c r="I245" s="11"/>
      <c r="J245" s="10"/>
      <c r="K245" s="10"/>
      <c r="L245" s="10"/>
    </row>
    <row r="246" spans="1:12">
      <c r="A246" s="10"/>
      <c r="B246" s="10"/>
      <c r="C246" s="10"/>
      <c r="D246" s="10"/>
      <c r="E246" s="11"/>
      <c r="F246" s="10"/>
      <c r="G246" s="10"/>
      <c r="H246" s="10"/>
      <c r="I246" s="11"/>
      <c r="J246" s="10"/>
      <c r="K246" s="10"/>
      <c r="L246" s="10"/>
    </row>
    <row r="247" spans="1:12">
      <c r="A247" s="10"/>
      <c r="B247" s="10"/>
      <c r="C247" s="10"/>
      <c r="D247" s="10"/>
      <c r="E247" s="11"/>
      <c r="F247" s="10"/>
      <c r="G247" s="10"/>
      <c r="H247" s="10"/>
      <c r="I247" s="11"/>
      <c r="J247" s="10"/>
      <c r="K247" s="10"/>
      <c r="L247" s="10"/>
    </row>
    <row r="248" spans="1:12">
      <c r="A248" s="10"/>
      <c r="B248" s="10"/>
      <c r="C248" s="10"/>
      <c r="D248" s="10"/>
      <c r="E248" s="11"/>
      <c r="F248" s="10"/>
      <c r="G248" s="10"/>
      <c r="H248" s="10"/>
      <c r="I248" s="11"/>
      <c r="J248" s="10"/>
      <c r="K248" s="10"/>
      <c r="L248" s="10"/>
    </row>
    <row r="249" spans="1:12">
      <c r="A249" s="10"/>
      <c r="B249" s="10"/>
      <c r="C249" s="10"/>
      <c r="D249" s="10"/>
      <c r="E249" s="11"/>
      <c r="F249" s="10"/>
      <c r="G249" s="10"/>
      <c r="H249" s="10"/>
      <c r="I249" s="11"/>
      <c r="J249" s="10"/>
      <c r="K249" s="10"/>
      <c r="L249" s="10"/>
    </row>
    <row r="250" spans="1:12">
      <c r="A250" s="10"/>
      <c r="B250" s="10"/>
      <c r="C250" s="10"/>
      <c r="D250" s="10"/>
      <c r="E250" s="11"/>
      <c r="F250" s="10"/>
      <c r="G250" s="10"/>
      <c r="H250" s="10"/>
      <c r="I250" s="11"/>
      <c r="J250" s="10"/>
      <c r="K250" s="10"/>
      <c r="L250" s="10"/>
    </row>
  </sheetData>
  <mergeCells count="2">
    <mergeCell ref="A2:M2"/>
    <mergeCell ref="A1:M1"/>
  </mergeCells>
  <dataValidations count="5">
    <dataValidation type="list" allowBlank="1" sqref="B4:B250" xr:uid="{00000000-0002-0000-0700-000000000000}">
      <formula1>MacroCategorie</formula1>
    </dataValidation>
    <dataValidation type="list" allowBlank="1" sqref="F4:F250" xr:uid="{00000000-0002-0000-0700-000001000000}">
      <formula1>StatoMonitoraggio</formula1>
    </dataValidation>
    <dataValidation type="list" allowBlank="1" sqref="G4:G250 H5:H250" xr:uid="{00000000-0002-0000-0700-000002000000}">
      <formula1>Geografie</formula1>
    </dataValidation>
    <dataValidation type="list" allowBlank="1" sqref="I4:I250" xr:uid="{00000000-0002-0000-0700-000003000000}">
      <formula1>IntensitaImpatto</formula1>
    </dataValidation>
    <dataValidation type="list" allowBlank="1" sqref="K4:K250" xr:uid="{00000000-0002-0000-0700-000004000000}">
      <formula1>SourceIDs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8"/>
  </sheetPr>
  <dimension ref="A1:K250"/>
  <sheetViews>
    <sheetView showGridLines="0" workbookViewId="0">
      <selection activeCell="H11" sqref="H11"/>
    </sheetView>
  </sheetViews>
  <sheetFormatPr defaultRowHeight="14.45"/>
  <cols>
    <col min="1" max="1" width="14" customWidth="1"/>
    <col min="2" max="2" width="10" customWidth="1"/>
    <col min="3" max="4" width="22" customWidth="1"/>
    <col min="5" max="5" width="28" customWidth="1"/>
    <col min="6" max="6" width="34" customWidth="1"/>
    <col min="7" max="7" width="24" customWidth="1"/>
    <col min="8" max="8" width="18" customWidth="1"/>
    <col min="9" max="9" width="14" customWidth="1"/>
    <col min="10" max="10" width="16" customWidth="1"/>
    <col min="11" max="11" width="30" customWidth="1"/>
  </cols>
  <sheetData>
    <row r="1" spans="1:11" ht="24" customHeight="1">
      <c r="A1" s="28" t="s">
        <v>1055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36" customHeight="1">
      <c r="A2" s="29" t="s">
        <v>1056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27.95" customHeight="1">
      <c r="A3" s="9" t="s">
        <v>199</v>
      </c>
      <c r="B3" s="9" t="s">
        <v>64</v>
      </c>
      <c r="C3" s="9" t="s">
        <v>23</v>
      </c>
      <c r="D3" s="9" t="s">
        <v>1057</v>
      </c>
      <c r="E3" s="9" t="s">
        <v>1058</v>
      </c>
      <c r="F3" s="9" t="s">
        <v>1025</v>
      </c>
      <c r="G3" s="9" t="s">
        <v>1059</v>
      </c>
      <c r="H3" s="9" t="s">
        <v>1060</v>
      </c>
      <c r="I3" s="9" t="s">
        <v>1061</v>
      </c>
      <c r="J3" s="9" t="s">
        <v>1029</v>
      </c>
      <c r="K3" s="9" t="s">
        <v>1062</v>
      </c>
    </row>
    <row r="4" spans="1:11" ht="43.5" customHeight="1">
      <c r="A4" s="10" t="s">
        <v>200</v>
      </c>
      <c r="B4" s="10" t="s">
        <v>117</v>
      </c>
      <c r="C4" s="10" t="s">
        <v>118</v>
      </c>
      <c r="D4" s="11" t="s">
        <v>1063</v>
      </c>
      <c r="E4" s="11" t="s">
        <v>201</v>
      </c>
      <c r="F4" s="11" t="s">
        <v>1064</v>
      </c>
      <c r="G4" s="11" t="s">
        <v>1065</v>
      </c>
      <c r="H4" s="10" t="s">
        <v>342</v>
      </c>
      <c r="I4" s="10" t="s">
        <v>445</v>
      </c>
      <c r="J4" s="10" t="s">
        <v>1039</v>
      </c>
      <c r="K4" s="11" t="s">
        <v>1066</v>
      </c>
    </row>
    <row r="5" spans="1:11" ht="43.5" customHeight="1">
      <c r="A5" s="10" t="s">
        <v>1067</v>
      </c>
      <c r="B5" s="10" t="s">
        <v>117</v>
      </c>
      <c r="C5" s="10" t="s">
        <v>118</v>
      </c>
      <c r="D5" s="11" t="s">
        <v>1068</v>
      </c>
      <c r="E5" s="11" t="s">
        <v>1069</v>
      </c>
      <c r="F5" s="11" t="s">
        <v>1070</v>
      </c>
      <c r="G5" s="11" t="s">
        <v>1071</v>
      </c>
      <c r="H5" s="10" t="s">
        <v>342</v>
      </c>
      <c r="I5" s="10" t="s">
        <v>511</v>
      </c>
      <c r="J5" s="10" t="s">
        <v>1039</v>
      </c>
      <c r="K5" s="11" t="s">
        <v>1072</v>
      </c>
    </row>
    <row r="6" spans="1:11" ht="43.5" customHeight="1">
      <c r="A6" s="10" t="s">
        <v>1073</v>
      </c>
      <c r="B6" s="10" t="s">
        <v>117</v>
      </c>
      <c r="C6" s="10" t="s">
        <v>118</v>
      </c>
      <c r="D6" s="11" t="s">
        <v>1074</v>
      </c>
      <c r="E6" s="11" t="s">
        <v>1075</v>
      </c>
      <c r="F6" s="11" t="s">
        <v>1076</v>
      </c>
      <c r="G6" s="11" t="s">
        <v>1077</v>
      </c>
      <c r="H6" s="10" t="s">
        <v>332</v>
      </c>
      <c r="I6" s="10" t="s">
        <v>435</v>
      </c>
      <c r="J6" s="10" t="s">
        <v>1039</v>
      </c>
      <c r="K6" s="11" t="s">
        <v>1078</v>
      </c>
    </row>
    <row r="7" spans="1:11" ht="29.1" customHeight="1">
      <c r="A7" s="10" t="s">
        <v>1079</v>
      </c>
      <c r="B7" s="10" t="s">
        <v>124</v>
      </c>
      <c r="C7" s="10" t="s">
        <v>125</v>
      </c>
      <c r="D7" s="11" t="s">
        <v>1080</v>
      </c>
      <c r="E7" s="11" t="s">
        <v>1081</v>
      </c>
      <c r="F7" s="11" t="s">
        <v>1082</v>
      </c>
      <c r="G7" s="11" t="s">
        <v>1083</v>
      </c>
      <c r="H7" s="10" t="s">
        <v>342</v>
      </c>
      <c r="I7" s="10" t="s">
        <v>130</v>
      </c>
      <c r="J7" s="10" t="s">
        <v>1084</v>
      </c>
      <c r="K7" s="11" t="s">
        <v>1085</v>
      </c>
    </row>
    <row r="8" spans="1:11" ht="29.1" customHeight="1">
      <c r="A8" s="10" t="s">
        <v>1086</v>
      </c>
      <c r="B8" s="10" t="s">
        <v>124</v>
      </c>
      <c r="C8" s="10" t="s">
        <v>125</v>
      </c>
      <c r="D8" s="11" t="s">
        <v>1087</v>
      </c>
      <c r="E8" s="11" t="s">
        <v>1088</v>
      </c>
      <c r="F8" s="11" t="s">
        <v>1089</v>
      </c>
      <c r="G8" s="11" t="s">
        <v>1090</v>
      </c>
      <c r="H8" s="10" t="s">
        <v>342</v>
      </c>
      <c r="I8" s="10" t="s">
        <v>130</v>
      </c>
      <c r="J8" s="10" t="s">
        <v>1084</v>
      </c>
      <c r="K8" s="11" t="s">
        <v>1085</v>
      </c>
    </row>
    <row r="9" spans="1:11" ht="43.5" customHeight="1">
      <c r="A9" s="10" t="s">
        <v>1091</v>
      </c>
      <c r="B9" s="10" t="s">
        <v>117</v>
      </c>
      <c r="C9" s="10" t="s">
        <v>118</v>
      </c>
      <c r="D9" s="11" t="s">
        <v>1092</v>
      </c>
      <c r="E9" s="11" t="s">
        <v>1093</v>
      </c>
      <c r="F9" s="11" t="s">
        <v>1094</v>
      </c>
      <c r="G9" s="11" t="s">
        <v>1095</v>
      </c>
      <c r="H9" s="10" t="s">
        <v>342</v>
      </c>
      <c r="I9" s="10" t="s">
        <v>435</v>
      </c>
      <c r="J9" s="10" t="s">
        <v>1039</v>
      </c>
      <c r="K9" s="11" t="s">
        <v>1096</v>
      </c>
    </row>
    <row r="10" spans="1:11" ht="43.5" customHeight="1">
      <c r="A10" s="10" t="s">
        <v>1097</v>
      </c>
      <c r="B10" s="10" t="s">
        <v>117</v>
      </c>
      <c r="C10" s="10" t="s">
        <v>118</v>
      </c>
      <c r="D10" s="11" t="s">
        <v>1098</v>
      </c>
      <c r="E10" s="11" t="s">
        <v>1099</v>
      </c>
      <c r="F10" s="11" t="s">
        <v>1100</v>
      </c>
      <c r="G10" s="11" t="s">
        <v>1101</v>
      </c>
      <c r="H10" s="10" t="s">
        <v>342</v>
      </c>
      <c r="I10" s="10" t="s">
        <v>435</v>
      </c>
      <c r="J10" s="10" t="s">
        <v>1039</v>
      </c>
      <c r="K10" s="11" t="s">
        <v>1102</v>
      </c>
    </row>
    <row r="11" spans="1:11" ht="43.5" customHeight="1">
      <c r="A11" s="10" t="s">
        <v>1103</v>
      </c>
      <c r="B11" s="10" t="s">
        <v>117</v>
      </c>
      <c r="C11" s="10" t="s">
        <v>118</v>
      </c>
      <c r="D11" s="11" t="s">
        <v>1104</v>
      </c>
      <c r="E11" s="11" t="s">
        <v>1105</v>
      </c>
      <c r="F11" s="11" t="s">
        <v>1106</v>
      </c>
      <c r="G11" s="11" t="s">
        <v>1107</v>
      </c>
      <c r="H11" s="10" t="s">
        <v>1108</v>
      </c>
      <c r="I11" s="10" t="s">
        <v>451</v>
      </c>
      <c r="J11" s="10" t="s">
        <v>1039</v>
      </c>
      <c r="K11" s="11" t="s">
        <v>1109</v>
      </c>
    </row>
    <row r="12" spans="1:11" ht="43.5" customHeight="1">
      <c r="A12" s="10" t="s">
        <v>1110</v>
      </c>
      <c r="B12" s="10" t="s">
        <v>117</v>
      </c>
      <c r="C12" s="10" t="s">
        <v>118</v>
      </c>
      <c r="D12" s="11" t="s">
        <v>1111</v>
      </c>
      <c r="E12" s="11" t="s">
        <v>1112</v>
      </c>
      <c r="F12" s="11" t="s">
        <v>1113</v>
      </c>
      <c r="G12" s="11" t="s">
        <v>1114</v>
      </c>
      <c r="H12" s="10" t="s">
        <v>304</v>
      </c>
      <c r="I12" s="10" t="s">
        <v>505</v>
      </c>
      <c r="J12" s="10" t="s">
        <v>1039</v>
      </c>
      <c r="K12" s="11" t="s">
        <v>1115</v>
      </c>
    </row>
    <row r="13" spans="1:11" ht="29.1" customHeight="1">
      <c r="A13" s="10" t="s">
        <v>1116</v>
      </c>
      <c r="B13" s="10" t="s">
        <v>150</v>
      </c>
      <c r="C13" s="10" t="s">
        <v>151</v>
      </c>
      <c r="D13" s="11" t="s">
        <v>1117</v>
      </c>
      <c r="E13" s="11" t="s">
        <v>1118</v>
      </c>
      <c r="F13" s="11" t="s">
        <v>1119</v>
      </c>
      <c r="G13" s="11" t="s">
        <v>1120</v>
      </c>
      <c r="H13" s="10" t="s">
        <v>332</v>
      </c>
      <c r="I13" s="10" t="s">
        <v>154</v>
      </c>
      <c r="J13" s="10" t="s">
        <v>1084</v>
      </c>
      <c r="K13" s="11" t="s">
        <v>1085</v>
      </c>
    </row>
    <row r="14" spans="1:11" ht="29.1" customHeight="1">
      <c r="A14" s="10" t="s">
        <v>1121</v>
      </c>
      <c r="B14" s="10" t="s">
        <v>155</v>
      </c>
      <c r="C14" s="10" t="s">
        <v>156</v>
      </c>
      <c r="D14" s="11" t="s">
        <v>1122</v>
      </c>
      <c r="E14" s="11" t="s">
        <v>1123</v>
      </c>
      <c r="F14" s="11" t="s">
        <v>1124</v>
      </c>
      <c r="G14" s="11" t="s">
        <v>1125</v>
      </c>
      <c r="H14" s="10" t="s">
        <v>342</v>
      </c>
      <c r="I14" s="10" t="s">
        <v>160</v>
      </c>
      <c r="J14" s="10" t="s">
        <v>1084</v>
      </c>
      <c r="K14" s="11" t="s">
        <v>1085</v>
      </c>
    </row>
    <row r="15" spans="1:11" ht="43.5" customHeight="1">
      <c r="A15" s="10" t="s">
        <v>1126</v>
      </c>
      <c r="B15" s="10" t="s">
        <v>161</v>
      </c>
      <c r="C15" s="10" t="s">
        <v>162</v>
      </c>
      <c r="D15" s="11" t="s">
        <v>1127</v>
      </c>
      <c r="E15" s="11" t="s">
        <v>1128</v>
      </c>
      <c r="F15" s="11" t="s">
        <v>1129</v>
      </c>
      <c r="G15" s="11" t="s">
        <v>1130</v>
      </c>
      <c r="H15" s="10" t="s">
        <v>342</v>
      </c>
      <c r="I15" s="10" t="s">
        <v>666</v>
      </c>
      <c r="J15" s="10" t="s">
        <v>1039</v>
      </c>
      <c r="K15" s="11" t="s">
        <v>1131</v>
      </c>
    </row>
    <row r="16" spans="1:11" ht="43.5" customHeight="1">
      <c r="A16" s="10" t="s">
        <v>1132</v>
      </c>
      <c r="B16" s="10" t="s">
        <v>161</v>
      </c>
      <c r="C16" s="10" t="s">
        <v>162</v>
      </c>
      <c r="D16" s="11" t="s">
        <v>1127</v>
      </c>
      <c r="E16" s="11" t="s">
        <v>1133</v>
      </c>
      <c r="F16" s="11" t="s">
        <v>1134</v>
      </c>
      <c r="G16" s="11" t="s">
        <v>1135</v>
      </c>
      <c r="H16" s="10" t="s">
        <v>332</v>
      </c>
      <c r="I16" s="10" t="s">
        <v>639</v>
      </c>
      <c r="J16" s="10" t="s">
        <v>1039</v>
      </c>
      <c r="K16" s="11" t="s">
        <v>1136</v>
      </c>
    </row>
    <row r="17" spans="1:11" ht="57.95" customHeight="1">
      <c r="A17" s="10" t="s">
        <v>1137</v>
      </c>
      <c r="B17" s="10" t="s">
        <v>161</v>
      </c>
      <c r="C17" s="10" t="s">
        <v>162</v>
      </c>
      <c r="D17" s="11" t="s">
        <v>1138</v>
      </c>
      <c r="E17" s="11" t="s">
        <v>1139</v>
      </c>
      <c r="F17" s="11" t="s">
        <v>1140</v>
      </c>
      <c r="G17" s="11" t="s">
        <v>1141</v>
      </c>
      <c r="H17" s="10" t="s">
        <v>1142</v>
      </c>
      <c r="I17" s="10" t="s">
        <v>666</v>
      </c>
      <c r="J17" s="10" t="s">
        <v>1039</v>
      </c>
      <c r="K17" s="11" t="s">
        <v>1143</v>
      </c>
    </row>
    <row r="18" spans="1:11" ht="43.5" customHeight="1">
      <c r="A18" s="10" t="s">
        <v>1144</v>
      </c>
      <c r="B18" s="10" t="s">
        <v>131</v>
      </c>
      <c r="C18" s="10" t="s">
        <v>132</v>
      </c>
      <c r="D18" s="11" t="s">
        <v>1145</v>
      </c>
      <c r="E18" s="11" t="s">
        <v>1146</v>
      </c>
      <c r="F18" s="11" t="s">
        <v>1147</v>
      </c>
      <c r="G18" s="11" t="s">
        <v>1148</v>
      </c>
      <c r="H18" s="10" t="s">
        <v>342</v>
      </c>
      <c r="I18" s="10" t="s">
        <v>623</v>
      </c>
      <c r="J18" s="10" t="s">
        <v>1039</v>
      </c>
      <c r="K18" s="11" t="s">
        <v>1149</v>
      </c>
    </row>
    <row r="19" spans="1:11" ht="57.95" customHeight="1">
      <c r="A19" s="10" t="s">
        <v>1150</v>
      </c>
      <c r="B19" s="10" t="s">
        <v>131</v>
      </c>
      <c r="C19" s="10" t="s">
        <v>132</v>
      </c>
      <c r="D19" s="11" t="s">
        <v>1151</v>
      </c>
      <c r="E19" s="11" t="s">
        <v>1152</v>
      </c>
      <c r="F19" s="11" t="s">
        <v>1153</v>
      </c>
      <c r="G19" s="11" t="s">
        <v>1154</v>
      </c>
      <c r="H19" s="10" t="s">
        <v>342</v>
      </c>
      <c r="I19" s="10" t="s">
        <v>617</v>
      </c>
      <c r="J19" s="10" t="s">
        <v>1039</v>
      </c>
      <c r="K19" s="11" t="s">
        <v>1155</v>
      </c>
    </row>
    <row r="20" spans="1:11" ht="57.95" customHeight="1">
      <c r="A20" s="10" t="s">
        <v>1156</v>
      </c>
      <c r="B20" s="10" t="s">
        <v>131</v>
      </c>
      <c r="C20" s="10" t="s">
        <v>132</v>
      </c>
      <c r="D20" s="11" t="s">
        <v>1157</v>
      </c>
      <c r="E20" s="11" t="s">
        <v>1158</v>
      </c>
      <c r="F20" s="11" t="s">
        <v>1159</v>
      </c>
      <c r="G20" s="11" t="s">
        <v>1160</v>
      </c>
      <c r="H20" s="10" t="s">
        <v>342</v>
      </c>
      <c r="I20" s="10" t="s">
        <v>623</v>
      </c>
      <c r="J20" s="10" t="s">
        <v>1039</v>
      </c>
      <c r="K20" s="11" t="s">
        <v>1161</v>
      </c>
    </row>
    <row r="21" spans="1:11" ht="43.5" customHeight="1">
      <c r="A21" s="10" t="s">
        <v>1162</v>
      </c>
      <c r="B21" s="10" t="s">
        <v>131</v>
      </c>
      <c r="C21" s="10" t="s">
        <v>132</v>
      </c>
      <c r="D21" s="11" t="s">
        <v>1163</v>
      </c>
      <c r="E21" s="11" t="s">
        <v>1164</v>
      </c>
      <c r="F21" s="11" t="s">
        <v>1165</v>
      </c>
      <c r="G21" s="11" t="s">
        <v>1166</v>
      </c>
      <c r="H21" s="10" t="s">
        <v>342</v>
      </c>
      <c r="I21" s="10" t="s">
        <v>566</v>
      </c>
      <c r="J21" s="10" t="s">
        <v>1039</v>
      </c>
      <c r="K21" s="11" t="s">
        <v>1167</v>
      </c>
    </row>
    <row r="22" spans="1:11" ht="43.5" customHeight="1">
      <c r="A22" s="10" t="s">
        <v>1168</v>
      </c>
      <c r="B22" s="10" t="s">
        <v>131</v>
      </c>
      <c r="C22" s="10" t="s">
        <v>132</v>
      </c>
      <c r="D22" s="11" t="s">
        <v>1169</v>
      </c>
      <c r="E22" s="11" t="s">
        <v>1170</v>
      </c>
      <c r="F22" s="11" t="s">
        <v>1171</v>
      </c>
      <c r="G22" s="11" t="s">
        <v>1172</v>
      </c>
      <c r="H22" s="10" t="s">
        <v>332</v>
      </c>
      <c r="I22" s="10" t="s">
        <v>605</v>
      </c>
      <c r="J22" s="10" t="s">
        <v>1039</v>
      </c>
      <c r="K22" s="11" t="s">
        <v>1173</v>
      </c>
    </row>
    <row r="23" spans="1:11" ht="57.95" customHeight="1">
      <c r="A23" s="10" t="s">
        <v>1174</v>
      </c>
      <c r="B23" s="10" t="s">
        <v>131</v>
      </c>
      <c r="C23" s="10" t="s">
        <v>132</v>
      </c>
      <c r="D23" s="11" t="s">
        <v>1175</v>
      </c>
      <c r="E23" s="11" t="s">
        <v>1176</v>
      </c>
      <c r="F23" s="11" t="s">
        <v>1177</v>
      </c>
      <c r="G23" s="11" t="s">
        <v>1178</v>
      </c>
      <c r="H23" s="10" t="s">
        <v>342</v>
      </c>
      <c r="I23" s="10" t="s">
        <v>560</v>
      </c>
      <c r="J23" s="10" t="s">
        <v>1039</v>
      </c>
      <c r="K23" s="11" t="s">
        <v>1179</v>
      </c>
    </row>
    <row r="24" spans="1:11" ht="43.5" customHeight="1">
      <c r="A24" s="10" t="s">
        <v>1180</v>
      </c>
      <c r="B24" s="10" t="s">
        <v>131</v>
      </c>
      <c r="C24" s="10" t="s">
        <v>132</v>
      </c>
      <c r="D24" s="11" t="s">
        <v>1181</v>
      </c>
      <c r="E24" s="11" t="s">
        <v>1182</v>
      </c>
      <c r="F24" s="11" t="s">
        <v>1183</v>
      </c>
      <c r="G24" s="11" t="s">
        <v>1184</v>
      </c>
      <c r="H24" s="10" t="s">
        <v>342</v>
      </c>
      <c r="I24" s="10" t="s">
        <v>572</v>
      </c>
      <c r="J24" s="10" t="s">
        <v>1039</v>
      </c>
      <c r="K24" s="11" t="s">
        <v>1185</v>
      </c>
    </row>
    <row r="25" spans="1:11" ht="43.5" customHeight="1">
      <c r="A25" s="10" t="s">
        <v>1186</v>
      </c>
      <c r="B25" s="10" t="s">
        <v>90</v>
      </c>
      <c r="C25" s="10" t="s">
        <v>91</v>
      </c>
      <c r="D25" s="11" t="s">
        <v>1187</v>
      </c>
      <c r="E25" s="11" t="s">
        <v>1188</v>
      </c>
      <c r="F25" s="11" t="s">
        <v>1189</v>
      </c>
      <c r="G25" s="11" t="s">
        <v>1190</v>
      </c>
      <c r="H25" s="10" t="s">
        <v>342</v>
      </c>
      <c r="I25" s="10" t="s">
        <v>100</v>
      </c>
      <c r="J25" s="10" t="s">
        <v>1084</v>
      </c>
      <c r="K25" s="11"/>
    </row>
    <row r="26" spans="1:11" ht="43.5" customHeight="1">
      <c r="A26" s="10" t="s">
        <v>1191</v>
      </c>
      <c r="B26" s="10" t="s">
        <v>90</v>
      </c>
      <c r="C26" s="10" t="s">
        <v>91</v>
      </c>
      <c r="D26" s="11" t="s">
        <v>1192</v>
      </c>
      <c r="E26" s="11" t="s">
        <v>1193</v>
      </c>
      <c r="F26" s="11" t="s">
        <v>1194</v>
      </c>
      <c r="G26" s="11" t="s">
        <v>1195</v>
      </c>
      <c r="H26" s="10" t="s">
        <v>342</v>
      </c>
      <c r="I26" s="10" t="s">
        <v>769</v>
      </c>
      <c r="J26" s="10" t="s">
        <v>1084</v>
      </c>
      <c r="K26" s="11"/>
    </row>
    <row r="27" spans="1:11" ht="29.1" customHeight="1">
      <c r="A27" s="10" t="s">
        <v>1196</v>
      </c>
      <c r="B27" s="10" t="s">
        <v>90</v>
      </c>
      <c r="C27" s="10" t="s">
        <v>91</v>
      </c>
      <c r="D27" s="11" t="s">
        <v>1197</v>
      </c>
      <c r="E27" s="11" t="s">
        <v>1198</v>
      </c>
      <c r="F27" s="11" t="s">
        <v>1199</v>
      </c>
      <c r="G27" s="11" t="s">
        <v>1200</v>
      </c>
      <c r="H27" s="10" t="s">
        <v>342</v>
      </c>
      <c r="I27" s="10" t="s">
        <v>769</v>
      </c>
      <c r="J27" s="10" t="s">
        <v>1084</v>
      </c>
      <c r="K27" s="11"/>
    </row>
    <row r="28" spans="1:11" ht="43.5" customHeight="1">
      <c r="A28" s="10" t="s">
        <v>1201</v>
      </c>
      <c r="B28" s="10" t="s">
        <v>161</v>
      </c>
      <c r="C28" s="10" t="s">
        <v>162</v>
      </c>
      <c r="D28" s="11" t="s">
        <v>1202</v>
      </c>
      <c r="E28" s="11" t="s">
        <v>1203</v>
      </c>
      <c r="F28" s="11" t="s">
        <v>1204</v>
      </c>
      <c r="G28" s="11" t="s">
        <v>1205</v>
      </c>
      <c r="H28" s="10" t="s">
        <v>342</v>
      </c>
      <c r="I28" s="10" t="s">
        <v>666</v>
      </c>
      <c r="J28" s="10" t="s">
        <v>1039</v>
      </c>
      <c r="K28" s="11" t="s">
        <v>1206</v>
      </c>
    </row>
    <row r="29" spans="1:11" ht="43.5" customHeight="1">
      <c r="A29" s="10" t="s">
        <v>1207</v>
      </c>
      <c r="B29" s="10" t="s">
        <v>161</v>
      </c>
      <c r="C29" s="10" t="s">
        <v>162</v>
      </c>
      <c r="D29" s="11" t="s">
        <v>1208</v>
      </c>
      <c r="E29" s="11" t="s">
        <v>1209</v>
      </c>
      <c r="F29" s="11" t="s">
        <v>1210</v>
      </c>
      <c r="G29" s="11" t="s">
        <v>1211</v>
      </c>
      <c r="H29" s="10" t="s">
        <v>332</v>
      </c>
      <c r="I29" s="10" t="s">
        <v>634</v>
      </c>
      <c r="J29" s="10" t="s">
        <v>1039</v>
      </c>
      <c r="K29" s="11" t="s">
        <v>1212</v>
      </c>
    </row>
    <row r="30" spans="1:11" ht="57.95" customHeight="1">
      <c r="A30" s="10" t="s">
        <v>1213</v>
      </c>
      <c r="B30" s="10" t="s">
        <v>161</v>
      </c>
      <c r="C30" s="10" t="s">
        <v>162</v>
      </c>
      <c r="D30" s="11" t="s">
        <v>1214</v>
      </c>
      <c r="E30" s="11" t="s">
        <v>1215</v>
      </c>
      <c r="F30" s="11" t="s">
        <v>1216</v>
      </c>
      <c r="G30" s="11" t="s">
        <v>1217</v>
      </c>
      <c r="H30" s="10" t="s">
        <v>332</v>
      </c>
      <c r="I30" s="10" t="s">
        <v>634</v>
      </c>
      <c r="J30" s="10" t="s">
        <v>1039</v>
      </c>
      <c r="K30" s="11" t="s">
        <v>1218</v>
      </c>
    </row>
    <row r="31" spans="1:11" ht="43.5" customHeight="1">
      <c r="A31" s="10" t="s">
        <v>1219</v>
      </c>
      <c r="B31" s="10" t="s">
        <v>161</v>
      </c>
      <c r="C31" s="10" t="s">
        <v>162</v>
      </c>
      <c r="D31" s="11" t="s">
        <v>1220</v>
      </c>
      <c r="E31" s="11" t="s">
        <v>1221</v>
      </c>
      <c r="F31" s="11" t="s">
        <v>1222</v>
      </c>
      <c r="G31" s="11" t="s">
        <v>1223</v>
      </c>
      <c r="H31" s="10" t="s">
        <v>332</v>
      </c>
      <c r="I31" s="10" t="s">
        <v>634</v>
      </c>
      <c r="J31" s="10" t="s">
        <v>1039</v>
      </c>
      <c r="K31" s="11" t="s">
        <v>1224</v>
      </c>
    </row>
    <row r="32" spans="1:11" ht="29.1" customHeight="1">
      <c r="A32" s="10" t="s">
        <v>1225</v>
      </c>
      <c r="B32" s="10" t="s">
        <v>90</v>
      </c>
      <c r="C32" s="10" t="s">
        <v>91</v>
      </c>
      <c r="D32" s="11" t="s">
        <v>1226</v>
      </c>
      <c r="E32" s="11" t="s">
        <v>1227</v>
      </c>
      <c r="F32" s="11" t="s">
        <v>1228</v>
      </c>
      <c r="G32" s="11" t="s">
        <v>1229</v>
      </c>
      <c r="H32" s="10" t="s">
        <v>342</v>
      </c>
      <c r="I32" s="10" t="s">
        <v>769</v>
      </c>
      <c r="J32" s="10" t="s">
        <v>1084</v>
      </c>
      <c r="K32" s="11"/>
    </row>
    <row r="33" spans="1:11" ht="43.5" customHeight="1">
      <c r="A33" s="10" t="s">
        <v>1230</v>
      </c>
      <c r="B33" s="10" t="s">
        <v>90</v>
      </c>
      <c r="C33" s="10" t="s">
        <v>91</v>
      </c>
      <c r="D33" s="11" t="s">
        <v>1231</v>
      </c>
      <c r="E33" s="11" t="s">
        <v>1232</v>
      </c>
      <c r="F33" s="11" t="s">
        <v>1233</v>
      </c>
      <c r="G33" s="11" t="s">
        <v>1234</v>
      </c>
      <c r="H33" s="10" t="s">
        <v>1108</v>
      </c>
      <c r="I33" s="10" t="s">
        <v>1000</v>
      </c>
      <c r="J33" s="10" t="s">
        <v>1084</v>
      </c>
      <c r="K33" s="11"/>
    </row>
    <row r="34" spans="1:11" ht="43.5" customHeight="1">
      <c r="A34" s="10" t="s">
        <v>1235</v>
      </c>
      <c r="B34" s="10" t="s">
        <v>90</v>
      </c>
      <c r="C34" s="10" t="s">
        <v>91</v>
      </c>
      <c r="D34" s="11" t="s">
        <v>1236</v>
      </c>
      <c r="E34" s="11" t="s">
        <v>1237</v>
      </c>
      <c r="F34" s="11" t="s">
        <v>1238</v>
      </c>
      <c r="G34" s="11" t="s">
        <v>1239</v>
      </c>
      <c r="H34" s="10" t="s">
        <v>304</v>
      </c>
      <c r="I34" s="10" t="s">
        <v>769</v>
      </c>
      <c r="J34" s="10" t="s">
        <v>1084</v>
      </c>
      <c r="K34" s="11"/>
    </row>
    <row r="35" spans="1:11" ht="29.1" customHeight="1">
      <c r="A35" s="10" t="s">
        <v>1240</v>
      </c>
      <c r="B35" s="10" t="s">
        <v>102</v>
      </c>
      <c r="C35" s="10" t="s">
        <v>103</v>
      </c>
      <c r="D35" s="11" t="s">
        <v>1241</v>
      </c>
      <c r="E35" s="11" t="s">
        <v>1242</v>
      </c>
      <c r="F35" s="11" t="s">
        <v>1243</v>
      </c>
      <c r="G35" s="11" t="s">
        <v>1244</v>
      </c>
      <c r="H35" s="10" t="s">
        <v>342</v>
      </c>
      <c r="I35" s="10" t="s">
        <v>107</v>
      </c>
      <c r="J35" s="10" t="s">
        <v>1084</v>
      </c>
      <c r="K35" s="11"/>
    </row>
    <row r="36" spans="1:11" ht="43.5" customHeight="1">
      <c r="A36" s="10" t="s">
        <v>1245</v>
      </c>
      <c r="B36" s="10" t="s">
        <v>102</v>
      </c>
      <c r="C36" s="10" t="s">
        <v>103</v>
      </c>
      <c r="D36" s="11" t="s">
        <v>1208</v>
      </c>
      <c r="E36" s="11" t="s">
        <v>1246</v>
      </c>
      <c r="F36" s="11" t="s">
        <v>1247</v>
      </c>
      <c r="G36" s="11" t="s">
        <v>1248</v>
      </c>
      <c r="H36" s="10" t="s">
        <v>342</v>
      </c>
      <c r="I36" s="10" t="s">
        <v>107</v>
      </c>
      <c r="J36" s="10" t="s">
        <v>1084</v>
      </c>
      <c r="K36" s="11"/>
    </row>
    <row r="37" spans="1:11" ht="29.1" customHeight="1">
      <c r="A37" s="10" t="s">
        <v>1249</v>
      </c>
      <c r="B37" s="10" t="s">
        <v>102</v>
      </c>
      <c r="C37" s="10" t="s">
        <v>103</v>
      </c>
      <c r="D37" s="11" t="s">
        <v>1250</v>
      </c>
      <c r="E37" s="11" t="s">
        <v>1251</v>
      </c>
      <c r="F37" s="11" t="s">
        <v>1252</v>
      </c>
      <c r="G37" s="11" t="s">
        <v>1253</v>
      </c>
      <c r="H37" s="10" t="s">
        <v>342</v>
      </c>
      <c r="I37" s="10" t="s">
        <v>976</v>
      </c>
      <c r="J37" s="10" t="s">
        <v>1084</v>
      </c>
      <c r="K37" s="11"/>
    </row>
    <row r="38" spans="1:11" ht="43.5" customHeight="1">
      <c r="A38" s="10" t="s">
        <v>1254</v>
      </c>
      <c r="B38" s="10" t="s">
        <v>102</v>
      </c>
      <c r="C38" s="10" t="s">
        <v>103</v>
      </c>
      <c r="D38" s="11" t="s">
        <v>1255</v>
      </c>
      <c r="E38" s="11" t="s">
        <v>1256</v>
      </c>
      <c r="F38" s="11" t="s">
        <v>1257</v>
      </c>
      <c r="G38" s="11" t="s">
        <v>1258</v>
      </c>
      <c r="H38" s="10" t="s">
        <v>342</v>
      </c>
      <c r="I38" s="10" t="s">
        <v>107</v>
      </c>
      <c r="J38" s="10" t="s">
        <v>1084</v>
      </c>
      <c r="K38" s="11"/>
    </row>
    <row r="39" spans="1:11" ht="43.5" customHeight="1">
      <c r="A39" s="10" t="s">
        <v>1259</v>
      </c>
      <c r="B39" s="10" t="s">
        <v>102</v>
      </c>
      <c r="C39" s="10" t="s">
        <v>103</v>
      </c>
      <c r="D39" s="11" t="s">
        <v>1260</v>
      </c>
      <c r="E39" s="11" t="s">
        <v>1261</v>
      </c>
      <c r="F39" s="11" t="s">
        <v>1262</v>
      </c>
      <c r="G39" s="11" t="s">
        <v>1263</v>
      </c>
      <c r="H39" s="10" t="s">
        <v>342</v>
      </c>
      <c r="I39" s="10" t="s">
        <v>982</v>
      </c>
      <c r="J39" s="10" t="s">
        <v>1084</v>
      </c>
      <c r="K39" s="11"/>
    </row>
    <row r="40" spans="1:11" ht="29.1" customHeight="1">
      <c r="A40" s="10" t="s">
        <v>1264</v>
      </c>
      <c r="B40" s="10" t="s">
        <v>102</v>
      </c>
      <c r="C40" s="10" t="s">
        <v>103</v>
      </c>
      <c r="D40" s="11" t="s">
        <v>1265</v>
      </c>
      <c r="E40" s="11" t="s">
        <v>1266</v>
      </c>
      <c r="F40" s="11" t="s">
        <v>1267</v>
      </c>
      <c r="G40" s="11" t="s">
        <v>1268</v>
      </c>
      <c r="H40" s="10" t="s">
        <v>332</v>
      </c>
      <c r="I40" s="10" t="s">
        <v>988</v>
      </c>
      <c r="J40" s="10" t="s">
        <v>1084</v>
      </c>
      <c r="K40" s="11"/>
    </row>
    <row r="41" spans="1:11" ht="29.1" customHeight="1">
      <c r="A41" s="10" t="s">
        <v>1269</v>
      </c>
      <c r="B41" s="10" t="s">
        <v>108</v>
      </c>
      <c r="C41" s="10" t="s">
        <v>109</v>
      </c>
      <c r="D41" s="11" t="s">
        <v>1270</v>
      </c>
      <c r="E41" s="11" t="s">
        <v>1271</v>
      </c>
      <c r="F41" s="11" t="s">
        <v>1272</v>
      </c>
      <c r="G41" s="11" t="s">
        <v>1273</v>
      </c>
      <c r="H41" s="10" t="s">
        <v>342</v>
      </c>
      <c r="I41" s="10" t="s">
        <v>825</v>
      </c>
      <c r="J41" s="10" t="s">
        <v>1084</v>
      </c>
      <c r="K41" s="11"/>
    </row>
    <row r="42" spans="1:11" ht="29.1" customHeight="1">
      <c r="A42" s="10" t="s">
        <v>1274</v>
      </c>
      <c r="B42" s="10" t="s">
        <v>108</v>
      </c>
      <c r="C42" s="10" t="s">
        <v>109</v>
      </c>
      <c r="D42" s="11" t="s">
        <v>1063</v>
      </c>
      <c r="E42" s="11" t="s">
        <v>1275</v>
      </c>
      <c r="F42" s="11" t="s">
        <v>1276</v>
      </c>
      <c r="G42" s="11" t="s">
        <v>1277</v>
      </c>
      <c r="H42" s="10" t="s">
        <v>342</v>
      </c>
      <c r="I42" s="10" t="s">
        <v>769</v>
      </c>
      <c r="J42" s="10" t="s">
        <v>1084</v>
      </c>
      <c r="K42" s="11"/>
    </row>
    <row r="43" spans="1:11" ht="29.1" customHeight="1">
      <c r="A43" s="10" t="s">
        <v>1278</v>
      </c>
      <c r="B43" s="10" t="s">
        <v>108</v>
      </c>
      <c r="C43" s="10" t="s">
        <v>109</v>
      </c>
      <c r="D43" s="11" t="s">
        <v>1063</v>
      </c>
      <c r="E43" s="11" t="s">
        <v>1279</v>
      </c>
      <c r="F43" s="11" t="s">
        <v>1280</v>
      </c>
      <c r="G43" s="11" t="s">
        <v>1281</v>
      </c>
      <c r="H43" s="10" t="s">
        <v>342</v>
      </c>
      <c r="I43" s="10" t="s">
        <v>769</v>
      </c>
      <c r="J43" s="10" t="s">
        <v>1084</v>
      </c>
      <c r="K43" s="11"/>
    </row>
    <row r="44" spans="1:11" ht="29.1" customHeight="1">
      <c r="A44" s="10" t="s">
        <v>1282</v>
      </c>
      <c r="B44" s="10" t="s">
        <v>108</v>
      </c>
      <c r="C44" s="10" t="s">
        <v>109</v>
      </c>
      <c r="D44" s="11" t="s">
        <v>1283</v>
      </c>
      <c r="E44" s="11" t="s">
        <v>1284</v>
      </c>
      <c r="F44" s="11" t="s">
        <v>1285</v>
      </c>
      <c r="G44" s="11" t="s">
        <v>1286</v>
      </c>
      <c r="H44" s="10" t="s">
        <v>342</v>
      </c>
      <c r="I44" s="10" t="s">
        <v>825</v>
      </c>
      <c r="J44" s="10" t="s">
        <v>1084</v>
      </c>
      <c r="K44" s="11"/>
    </row>
    <row r="45" spans="1:11" ht="29.1" customHeight="1">
      <c r="A45" s="10" t="s">
        <v>1287</v>
      </c>
      <c r="B45" s="10" t="s">
        <v>108</v>
      </c>
      <c r="C45" s="10" t="s">
        <v>109</v>
      </c>
      <c r="D45" s="11" t="s">
        <v>1231</v>
      </c>
      <c r="E45" s="11" t="s">
        <v>1288</v>
      </c>
      <c r="F45" s="11" t="s">
        <v>1289</v>
      </c>
      <c r="G45" s="11" t="s">
        <v>1290</v>
      </c>
      <c r="H45" s="10" t="s">
        <v>1108</v>
      </c>
      <c r="I45" s="10" t="s">
        <v>965</v>
      </c>
      <c r="J45" s="10" t="s">
        <v>1084</v>
      </c>
      <c r="K45" s="11"/>
    </row>
    <row r="46" spans="1:11" ht="29.1" customHeight="1">
      <c r="A46" s="10" t="s">
        <v>1291</v>
      </c>
      <c r="B46" s="10" t="s">
        <v>108</v>
      </c>
      <c r="C46" s="10" t="s">
        <v>109</v>
      </c>
      <c r="D46" s="11" t="s">
        <v>1292</v>
      </c>
      <c r="E46" s="11" t="s">
        <v>1293</v>
      </c>
      <c r="F46" s="11" t="s">
        <v>1294</v>
      </c>
      <c r="G46" s="11" t="s">
        <v>1295</v>
      </c>
      <c r="H46" s="10" t="s">
        <v>332</v>
      </c>
      <c r="I46" s="10" t="s">
        <v>959</v>
      </c>
      <c r="J46" s="10" t="s">
        <v>1084</v>
      </c>
      <c r="K46" s="11"/>
    </row>
    <row r="47" spans="1:11" ht="43.5" customHeight="1">
      <c r="A47" s="10" t="s">
        <v>1296</v>
      </c>
      <c r="B47" s="10" t="s">
        <v>124</v>
      </c>
      <c r="C47" s="10" t="s">
        <v>125</v>
      </c>
      <c r="D47" s="11" t="s">
        <v>1297</v>
      </c>
      <c r="E47" s="11" t="s">
        <v>1298</v>
      </c>
      <c r="F47" s="11" t="s">
        <v>1299</v>
      </c>
      <c r="G47" s="11" t="s">
        <v>1300</v>
      </c>
      <c r="H47" s="10" t="s">
        <v>342</v>
      </c>
      <c r="I47" s="10" t="s">
        <v>130</v>
      </c>
      <c r="J47" s="10" t="s">
        <v>1084</v>
      </c>
      <c r="K47" s="11"/>
    </row>
    <row r="48" spans="1:11" ht="29.1" customHeight="1">
      <c r="A48" s="10" t="s">
        <v>1301</v>
      </c>
      <c r="B48" s="10" t="s">
        <v>124</v>
      </c>
      <c r="C48" s="10" t="s">
        <v>125</v>
      </c>
      <c r="D48" s="11" t="s">
        <v>1302</v>
      </c>
      <c r="E48" s="11" t="s">
        <v>1303</v>
      </c>
      <c r="F48" s="11" t="s">
        <v>1304</v>
      </c>
      <c r="G48" s="11" t="s">
        <v>1305</v>
      </c>
      <c r="H48" s="10" t="s">
        <v>332</v>
      </c>
      <c r="I48" s="10" t="s">
        <v>130</v>
      </c>
      <c r="J48" s="10" t="s">
        <v>1084</v>
      </c>
      <c r="K48" s="11"/>
    </row>
    <row r="49" spans="1:11" ht="29.1" customHeight="1">
      <c r="A49" s="10" t="s">
        <v>1306</v>
      </c>
      <c r="B49" s="10" t="s">
        <v>124</v>
      </c>
      <c r="C49" s="10" t="s">
        <v>125</v>
      </c>
      <c r="D49" s="11" t="s">
        <v>1307</v>
      </c>
      <c r="E49" s="11" t="s">
        <v>1308</v>
      </c>
      <c r="F49" s="11" t="s">
        <v>1309</v>
      </c>
      <c r="G49" s="11" t="s">
        <v>1310</v>
      </c>
      <c r="H49" s="10" t="s">
        <v>332</v>
      </c>
      <c r="I49" s="10" t="s">
        <v>704</v>
      </c>
      <c r="J49" s="10" t="s">
        <v>1084</v>
      </c>
      <c r="K49" s="11"/>
    </row>
    <row r="50" spans="1:11" ht="29.1" customHeight="1">
      <c r="A50" s="10" t="s">
        <v>1311</v>
      </c>
      <c r="B50" s="10" t="s">
        <v>124</v>
      </c>
      <c r="C50" s="10" t="s">
        <v>125</v>
      </c>
      <c r="D50" s="11" t="s">
        <v>1307</v>
      </c>
      <c r="E50" s="11" t="s">
        <v>1312</v>
      </c>
      <c r="F50" s="11" t="s">
        <v>1313</v>
      </c>
      <c r="G50" s="11" t="s">
        <v>1314</v>
      </c>
      <c r="H50" s="10" t="s">
        <v>342</v>
      </c>
      <c r="I50" s="10" t="s">
        <v>855</v>
      </c>
      <c r="J50" s="10" t="s">
        <v>1084</v>
      </c>
      <c r="K50" s="11"/>
    </row>
    <row r="51" spans="1:11" ht="29.1" customHeight="1">
      <c r="A51" s="10" t="s">
        <v>1315</v>
      </c>
      <c r="B51" s="10" t="s">
        <v>136</v>
      </c>
      <c r="C51" s="10" t="s">
        <v>137</v>
      </c>
      <c r="D51" s="11" t="s">
        <v>1316</v>
      </c>
      <c r="E51" s="11" t="s">
        <v>1317</v>
      </c>
      <c r="F51" s="11" t="s">
        <v>1318</v>
      </c>
      <c r="G51" s="11" t="s">
        <v>1319</v>
      </c>
      <c r="H51" s="10" t="s">
        <v>342</v>
      </c>
      <c r="I51" s="10" t="s">
        <v>142</v>
      </c>
      <c r="J51" s="10" t="s">
        <v>1084</v>
      </c>
      <c r="K51" s="11"/>
    </row>
    <row r="52" spans="1:11" ht="29.1" customHeight="1">
      <c r="A52" s="10" t="s">
        <v>1320</v>
      </c>
      <c r="B52" s="10" t="s">
        <v>136</v>
      </c>
      <c r="C52" s="10" t="s">
        <v>137</v>
      </c>
      <c r="D52" s="11" t="s">
        <v>1321</v>
      </c>
      <c r="E52" s="11" t="s">
        <v>1322</v>
      </c>
      <c r="F52" s="11" t="s">
        <v>1323</v>
      </c>
      <c r="G52" s="11" t="s">
        <v>1324</v>
      </c>
      <c r="H52" s="10" t="s">
        <v>342</v>
      </c>
      <c r="I52" s="10" t="s">
        <v>738</v>
      </c>
      <c r="J52" s="10" t="s">
        <v>1084</v>
      </c>
      <c r="K52" s="11"/>
    </row>
    <row r="53" spans="1:11" ht="29.1" customHeight="1">
      <c r="A53" s="10" t="s">
        <v>1325</v>
      </c>
      <c r="B53" s="10" t="s">
        <v>136</v>
      </c>
      <c r="C53" s="10" t="s">
        <v>137</v>
      </c>
      <c r="D53" s="11" t="s">
        <v>1326</v>
      </c>
      <c r="E53" s="11" t="s">
        <v>1327</v>
      </c>
      <c r="F53" s="11" t="s">
        <v>1328</v>
      </c>
      <c r="G53" s="11" t="s">
        <v>1329</v>
      </c>
      <c r="H53" s="10" t="s">
        <v>342</v>
      </c>
      <c r="I53" s="10" t="s">
        <v>738</v>
      </c>
      <c r="J53" s="10" t="s">
        <v>1084</v>
      </c>
      <c r="K53" s="11"/>
    </row>
    <row r="54" spans="1:11" ht="29.1" customHeight="1">
      <c r="A54" s="10" t="s">
        <v>1330</v>
      </c>
      <c r="B54" s="10" t="s">
        <v>136</v>
      </c>
      <c r="C54" s="10" t="s">
        <v>137</v>
      </c>
      <c r="D54" s="11" t="s">
        <v>1331</v>
      </c>
      <c r="E54" s="11" t="s">
        <v>1332</v>
      </c>
      <c r="F54" s="11" t="s">
        <v>1333</v>
      </c>
      <c r="G54" s="11" t="s">
        <v>1334</v>
      </c>
      <c r="H54" s="10" t="s">
        <v>342</v>
      </c>
      <c r="I54" s="10" t="s">
        <v>913</v>
      </c>
      <c r="J54" s="10" t="s">
        <v>1084</v>
      </c>
      <c r="K54" s="11"/>
    </row>
    <row r="55" spans="1:11" ht="29.1" customHeight="1">
      <c r="A55" s="10" t="s">
        <v>1335</v>
      </c>
      <c r="B55" s="10" t="s">
        <v>136</v>
      </c>
      <c r="C55" s="10" t="s">
        <v>137</v>
      </c>
      <c r="D55" s="11" t="s">
        <v>1336</v>
      </c>
      <c r="E55" s="11" t="s">
        <v>1337</v>
      </c>
      <c r="F55" s="11" t="s">
        <v>1338</v>
      </c>
      <c r="G55" s="11" t="s">
        <v>1339</v>
      </c>
      <c r="H55" s="10" t="s">
        <v>342</v>
      </c>
      <c r="I55" s="10" t="s">
        <v>738</v>
      </c>
      <c r="J55" s="10" t="s">
        <v>1084</v>
      </c>
      <c r="K55" s="11"/>
    </row>
    <row r="56" spans="1:11" ht="29.1" customHeight="1">
      <c r="A56" s="10" t="s">
        <v>1340</v>
      </c>
      <c r="B56" s="10" t="s">
        <v>136</v>
      </c>
      <c r="C56" s="10" t="s">
        <v>137</v>
      </c>
      <c r="D56" s="11" t="s">
        <v>1341</v>
      </c>
      <c r="E56" s="11" t="s">
        <v>1342</v>
      </c>
      <c r="F56" s="11" t="s">
        <v>1343</v>
      </c>
      <c r="G56" s="11" t="s">
        <v>1344</v>
      </c>
      <c r="H56" s="10" t="s">
        <v>332</v>
      </c>
      <c r="I56" s="10" t="s">
        <v>142</v>
      </c>
      <c r="J56" s="10" t="s">
        <v>1084</v>
      </c>
      <c r="K56" s="11"/>
    </row>
    <row r="57" spans="1:11" ht="29.1" customHeight="1">
      <c r="A57" s="10" t="s">
        <v>1345</v>
      </c>
      <c r="B57" s="10" t="s">
        <v>143</v>
      </c>
      <c r="C57" s="10" t="s">
        <v>144</v>
      </c>
      <c r="D57" s="11" t="s">
        <v>1346</v>
      </c>
      <c r="E57" s="11" t="s">
        <v>1347</v>
      </c>
      <c r="F57" s="11" t="s">
        <v>1348</v>
      </c>
      <c r="G57" s="11" t="s">
        <v>1349</v>
      </c>
      <c r="H57" s="10" t="s">
        <v>342</v>
      </c>
      <c r="I57" s="10" t="s">
        <v>149</v>
      </c>
      <c r="J57" s="10" t="s">
        <v>1084</v>
      </c>
      <c r="K57" s="11"/>
    </row>
    <row r="58" spans="1:11" ht="29.1" customHeight="1">
      <c r="A58" s="10" t="s">
        <v>1350</v>
      </c>
      <c r="B58" s="10" t="s">
        <v>143</v>
      </c>
      <c r="C58" s="10" t="s">
        <v>144</v>
      </c>
      <c r="D58" s="11" t="s">
        <v>1351</v>
      </c>
      <c r="E58" s="11" t="s">
        <v>1352</v>
      </c>
      <c r="F58" s="11" t="s">
        <v>1353</v>
      </c>
      <c r="G58" s="11" t="s">
        <v>1354</v>
      </c>
      <c r="H58" s="10" t="s">
        <v>342</v>
      </c>
      <c r="I58" s="10" t="s">
        <v>724</v>
      </c>
      <c r="J58" s="10" t="s">
        <v>1084</v>
      </c>
      <c r="K58" s="11"/>
    </row>
    <row r="59" spans="1:11" ht="29.1" customHeight="1">
      <c r="A59" s="10" t="s">
        <v>1355</v>
      </c>
      <c r="B59" s="10" t="s">
        <v>143</v>
      </c>
      <c r="C59" s="10" t="s">
        <v>144</v>
      </c>
      <c r="D59" s="11" t="s">
        <v>1356</v>
      </c>
      <c r="E59" s="11" t="s">
        <v>1357</v>
      </c>
      <c r="F59" s="11" t="s">
        <v>1358</v>
      </c>
      <c r="G59" s="11" t="s">
        <v>1359</v>
      </c>
      <c r="H59" s="10" t="s">
        <v>332</v>
      </c>
      <c r="I59" s="10" t="s">
        <v>724</v>
      </c>
      <c r="J59" s="10" t="s">
        <v>1084</v>
      </c>
      <c r="K59" s="11"/>
    </row>
    <row r="60" spans="1:11" ht="29.1" customHeight="1">
      <c r="A60" s="10" t="s">
        <v>1360</v>
      </c>
      <c r="B60" s="10" t="s">
        <v>143</v>
      </c>
      <c r="C60" s="10" t="s">
        <v>144</v>
      </c>
      <c r="D60" s="11" t="s">
        <v>1361</v>
      </c>
      <c r="E60" s="11" t="s">
        <v>1362</v>
      </c>
      <c r="F60" s="11" t="s">
        <v>1363</v>
      </c>
      <c r="G60" s="11" t="s">
        <v>1364</v>
      </c>
      <c r="H60" s="10" t="s">
        <v>342</v>
      </c>
      <c r="I60" s="10" t="s">
        <v>800</v>
      </c>
      <c r="J60" s="10" t="s">
        <v>1084</v>
      </c>
      <c r="K60" s="11"/>
    </row>
    <row r="61" spans="1:11" ht="29.1" customHeight="1">
      <c r="A61" s="10" t="s">
        <v>1365</v>
      </c>
      <c r="B61" s="10" t="s">
        <v>143</v>
      </c>
      <c r="C61" s="10" t="s">
        <v>144</v>
      </c>
      <c r="D61" s="11" t="s">
        <v>1366</v>
      </c>
      <c r="E61" s="11" t="s">
        <v>1367</v>
      </c>
      <c r="F61" s="11" t="s">
        <v>1368</v>
      </c>
      <c r="G61" s="11" t="s">
        <v>1369</v>
      </c>
      <c r="H61" s="10" t="s">
        <v>342</v>
      </c>
      <c r="I61" s="10" t="s">
        <v>800</v>
      </c>
      <c r="J61" s="10" t="s">
        <v>1084</v>
      </c>
      <c r="K61" s="11"/>
    </row>
    <row r="62" spans="1:11" ht="29.1" customHeight="1">
      <c r="A62" s="10" t="s">
        <v>1370</v>
      </c>
      <c r="B62" s="10" t="s">
        <v>143</v>
      </c>
      <c r="C62" s="10" t="s">
        <v>144</v>
      </c>
      <c r="D62" s="11" t="s">
        <v>1265</v>
      </c>
      <c r="E62" s="11" t="s">
        <v>1371</v>
      </c>
      <c r="F62" s="11" t="s">
        <v>1372</v>
      </c>
      <c r="G62" s="11" t="s">
        <v>1373</v>
      </c>
      <c r="H62" s="10" t="s">
        <v>342</v>
      </c>
      <c r="I62" s="10" t="s">
        <v>149</v>
      </c>
      <c r="J62" s="10" t="s">
        <v>1084</v>
      </c>
      <c r="K62" s="11"/>
    </row>
    <row r="63" spans="1:11" ht="29.1" customHeight="1">
      <c r="A63" s="10" t="s">
        <v>1374</v>
      </c>
      <c r="B63" s="10" t="s">
        <v>150</v>
      </c>
      <c r="C63" s="10" t="s">
        <v>151</v>
      </c>
      <c r="D63" s="11" t="s">
        <v>1375</v>
      </c>
      <c r="E63" s="11" t="s">
        <v>1376</v>
      </c>
      <c r="F63" s="11" t="s">
        <v>1377</v>
      </c>
      <c r="G63" s="11" t="s">
        <v>1378</v>
      </c>
      <c r="H63" s="10" t="s">
        <v>342</v>
      </c>
      <c r="I63" s="10" t="s">
        <v>791</v>
      </c>
      <c r="J63" s="10" t="s">
        <v>1084</v>
      </c>
      <c r="K63" s="11"/>
    </row>
    <row r="64" spans="1:11" ht="29.1" customHeight="1">
      <c r="A64" s="10" t="s">
        <v>1379</v>
      </c>
      <c r="B64" s="10" t="s">
        <v>150</v>
      </c>
      <c r="C64" s="10" t="s">
        <v>151</v>
      </c>
      <c r="D64" s="11" t="s">
        <v>1302</v>
      </c>
      <c r="E64" s="11" t="s">
        <v>1380</v>
      </c>
      <c r="F64" s="11" t="s">
        <v>1381</v>
      </c>
      <c r="G64" s="11" t="s">
        <v>1382</v>
      </c>
      <c r="H64" s="10" t="s">
        <v>342</v>
      </c>
      <c r="I64" s="10" t="s">
        <v>791</v>
      </c>
      <c r="J64" s="10" t="s">
        <v>1084</v>
      </c>
      <c r="K64" s="11"/>
    </row>
    <row r="65" spans="1:11" ht="29.1" customHeight="1">
      <c r="A65" s="10" t="s">
        <v>1383</v>
      </c>
      <c r="B65" s="10" t="s">
        <v>150</v>
      </c>
      <c r="C65" s="10" t="s">
        <v>151</v>
      </c>
      <c r="D65" s="11" t="s">
        <v>1384</v>
      </c>
      <c r="E65" s="11" t="s">
        <v>1385</v>
      </c>
      <c r="F65" s="11" t="s">
        <v>1386</v>
      </c>
      <c r="G65" s="11" t="s">
        <v>1310</v>
      </c>
      <c r="H65" s="10" t="s">
        <v>342</v>
      </c>
      <c r="I65" s="10" t="s">
        <v>154</v>
      </c>
      <c r="J65" s="10" t="s">
        <v>1084</v>
      </c>
      <c r="K65" s="11"/>
    </row>
    <row r="66" spans="1:11" ht="43.5" customHeight="1">
      <c r="A66" s="10" t="s">
        <v>1387</v>
      </c>
      <c r="B66" s="10" t="s">
        <v>150</v>
      </c>
      <c r="C66" s="10" t="s">
        <v>151</v>
      </c>
      <c r="D66" s="11" t="s">
        <v>1388</v>
      </c>
      <c r="E66" s="11" t="s">
        <v>1389</v>
      </c>
      <c r="F66" s="11" t="s">
        <v>1390</v>
      </c>
      <c r="G66" s="11" t="s">
        <v>1391</v>
      </c>
      <c r="H66" s="10" t="s">
        <v>304</v>
      </c>
      <c r="I66" s="10" t="s">
        <v>896</v>
      </c>
      <c r="J66" s="10" t="s">
        <v>1084</v>
      </c>
      <c r="K66" s="11"/>
    </row>
    <row r="67" spans="1:11" ht="43.5" customHeight="1">
      <c r="A67" s="10" t="s">
        <v>1392</v>
      </c>
      <c r="B67" s="10" t="s">
        <v>150</v>
      </c>
      <c r="C67" s="10" t="s">
        <v>151</v>
      </c>
      <c r="D67" s="11" t="s">
        <v>1388</v>
      </c>
      <c r="E67" s="11" t="s">
        <v>1393</v>
      </c>
      <c r="F67" s="11" t="s">
        <v>1394</v>
      </c>
      <c r="G67" s="11" t="s">
        <v>1395</v>
      </c>
      <c r="H67" s="10" t="s">
        <v>304</v>
      </c>
      <c r="I67" s="10" t="s">
        <v>902</v>
      </c>
      <c r="J67" s="10" t="s">
        <v>1084</v>
      </c>
      <c r="K67" s="11"/>
    </row>
    <row r="68" spans="1:11" ht="29.1" customHeight="1">
      <c r="A68" s="10" t="s">
        <v>1396</v>
      </c>
      <c r="B68" s="10" t="s">
        <v>155</v>
      </c>
      <c r="C68" s="10" t="s">
        <v>156</v>
      </c>
      <c r="D68" s="11" t="s">
        <v>1397</v>
      </c>
      <c r="E68" s="11" t="s">
        <v>1398</v>
      </c>
      <c r="F68" s="11" t="s">
        <v>1399</v>
      </c>
      <c r="G68" s="11" t="s">
        <v>1400</v>
      </c>
      <c r="H68" s="10" t="s">
        <v>342</v>
      </c>
      <c r="I68" s="10" t="s">
        <v>759</v>
      </c>
      <c r="J68" s="10" t="s">
        <v>1084</v>
      </c>
      <c r="K68" s="11"/>
    </row>
    <row r="69" spans="1:11" ht="29.1" customHeight="1">
      <c r="A69" s="10" t="s">
        <v>1401</v>
      </c>
      <c r="B69" s="10" t="s">
        <v>155</v>
      </c>
      <c r="C69" s="10" t="s">
        <v>156</v>
      </c>
      <c r="D69" s="11" t="s">
        <v>1402</v>
      </c>
      <c r="E69" s="11" t="s">
        <v>1403</v>
      </c>
      <c r="F69" s="11" t="s">
        <v>1199</v>
      </c>
      <c r="G69" s="11" t="s">
        <v>1382</v>
      </c>
      <c r="H69" s="10" t="s">
        <v>342</v>
      </c>
      <c r="I69" s="10" t="s">
        <v>747</v>
      </c>
      <c r="J69" s="10" t="s">
        <v>1084</v>
      </c>
      <c r="K69" s="11"/>
    </row>
    <row r="70" spans="1:11" ht="29.1" customHeight="1">
      <c r="A70" s="10" t="s">
        <v>1404</v>
      </c>
      <c r="B70" s="10" t="s">
        <v>155</v>
      </c>
      <c r="C70" s="10" t="s">
        <v>156</v>
      </c>
      <c r="D70" s="11" t="s">
        <v>1405</v>
      </c>
      <c r="E70" s="11" t="s">
        <v>1406</v>
      </c>
      <c r="F70" s="11" t="s">
        <v>1407</v>
      </c>
      <c r="G70" s="11" t="s">
        <v>1408</v>
      </c>
      <c r="H70" s="10" t="s">
        <v>342</v>
      </c>
      <c r="I70" s="10" t="s">
        <v>759</v>
      </c>
      <c r="J70" s="10" t="s">
        <v>1084</v>
      </c>
      <c r="K70" s="11"/>
    </row>
    <row r="71" spans="1:11" ht="29.1" customHeight="1">
      <c r="A71" s="10" t="s">
        <v>1409</v>
      </c>
      <c r="B71" s="10" t="s">
        <v>155</v>
      </c>
      <c r="C71" s="10" t="s">
        <v>156</v>
      </c>
      <c r="D71" s="11" t="s">
        <v>1410</v>
      </c>
      <c r="E71" s="11" t="s">
        <v>1411</v>
      </c>
      <c r="F71" s="11" t="s">
        <v>1412</v>
      </c>
      <c r="G71" s="11" t="s">
        <v>1413</v>
      </c>
      <c r="H71" s="10" t="s">
        <v>342</v>
      </c>
      <c r="I71" s="10" t="s">
        <v>759</v>
      </c>
      <c r="J71" s="10" t="s">
        <v>1084</v>
      </c>
      <c r="K71" s="11"/>
    </row>
    <row r="72" spans="1:11" ht="29.1" customHeight="1">
      <c r="A72" s="10" t="s">
        <v>1414</v>
      </c>
      <c r="B72" s="10" t="s">
        <v>155</v>
      </c>
      <c r="C72" s="10" t="s">
        <v>156</v>
      </c>
      <c r="D72" s="11" t="s">
        <v>1415</v>
      </c>
      <c r="E72" s="11" t="s">
        <v>1416</v>
      </c>
      <c r="F72" s="11" t="s">
        <v>1417</v>
      </c>
      <c r="G72" s="11" t="s">
        <v>1418</v>
      </c>
      <c r="H72" s="10" t="s">
        <v>1108</v>
      </c>
      <c r="I72" s="10" t="s">
        <v>813</v>
      </c>
      <c r="J72" s="10" t="s">
        <v>1084</v>
      </c>
      <c r="K72" s="11"/>
    </row>
    <row r="73" spans="1:11">
      <c r="A73" s="10"/>
      <c r="B73" s="10"/>
      <c r="C73" s="10"/>
      <c r="D73" s="11"/>
      <c r="E73" s="11"/>
      <c r="F73" s="11"/>
      <c r="G73" s="11"/>
      <c r="H73" s="10"/>
      <c r="I73" s="10"/>
      <c r="J73" s="10"/>
      <c r="K73" s="11"/>
    </row>
    <row r="74" spans="1:11">
      <c r="A74" s="10"/>
      <c r="B74" s="10"/>
      <c r="C74" s="10"/>
      <c r="D74" s="11"/>
      <c r="E74" s="11"/>
      <c r="F74" s="11"/>
      <c r="G74" s="11"/>
      <c r="H74" s="10"/>
      <c r="I74" s="10"/>
      <c r="J74" s="10"/>
      <c r="K74" s="11"/>
    </row>
    <row r="75" spans="1:11">
      <c r="A75" s="10"/>
      <c r="B75" s="10"/>
      <c r="C75" s="10"/>
      <c r="D75" s="11"/>
      <c r="E75" s="11"/>
      <c r="F75" s="11"/>
      <c r="G75" s="11"/>
      <c r="H75" s="10"/>
      <c r="I75" s="10"/>
      <c r="J75" s="10"/>
      <c r="K75" s="11"/>
    </row>
    <row r="76" spans="1:11">
      <c r="A76" s="10"/>
      <c r="B76" s="10"/>
      <c r="C76" s="10"/>
      <c r="D76" s="11"/>
      <c r="E76" s="11"/>
      <c r="F76" s="11"/>
      <c r="G76" s="11"/>
      <c r="H76" s="10"/>
      <c r="I76" s="10"/>
      <c r="J76" s="10"/>
      <c r="K76" s="11"/>
    </row>
    <row r="77" spans="1:11">
      <c r="A77" s="10"/>
      <c r="B77" s="10"/>
      <c r="C77" s="10"/>
      <c r="D77" s="11"/>
      <c r="E77" s="11"/>
      <c r="F77" s="11"/>
      <c r="G77" s="11"/>
      <c r="H77" s="10"/>
      <c r="I77" s="10"/>
      <c r="J77" s="10"/>
      <c r="K77" s="11"/>
    </row>
    <row r="78" spans="1:11">
      <c r="A78" s="10"/>
      <c r="B78" s="10"/>
      <c r="C78" s="10"/>
      <c r="D78" s="11"/>
      <c r="E78" s="11"/>
      <c r="F78" s="11"/>
      <c r="G78" s="11"/>
      <c r="H78" s="10"/>
      <c r="I78" s="10"/>
      <c r="J78" s="10"/>
      <c r="K78" s="11"/>
    </row>
    <row r="79" spans="1:11">
      <c r="A79" s="10"/>
      <c r="B79" s="10"/>
      <c r="C79" s="10"/>
      <c r="D79" s="11"/>
      <c r="E79" s="11"/>
      <c r="F79" s="11"/>
      <c r="G79" s="11"/>
      <c r="H79" s="10"/>
      <c r="I79" s="10"/>
      <c r="J79" s="10"/>
      <c r="K79" s="11"/>
    </row>
    <row r="80" spans="1:11">
      <c r="A80" s="10"/>
      <c r="B80" s="10"/>
      <c r="C80" s="10"/>
      <c r="D80" s="11"/>
      <c r="E80" s="11"/>
      <c r="F80" s="11"/>
      <c r="G80" s="11"/>
      <c r="H80" s="10"/>
      <c r="I80" s="10"/>
      <c r="J80" s="10"/>
      <c r="K80" s="11"/>
    </row>
    <row r="81" spans="1:11">
      <c r="A81" s="10"/>
      <c r="B81" s="10"/>
      <c r="C81" s="10"/>
      <c r="D81" s="11"/>
      <c r="E81" s="11"/>
      <c r="F81" s="11"/>
      <c r="G81" s="11"/>
      <c r="H81" s="10"/>
      <c r="I81" s="10"/>
      <c r="J81" s="10"/>
      <c r="K81" s="11"/>
    </row>
    <row r="82" spans="1:11">
      <c r="A82" s="10"/>
      <c r="B82" s="10"/>
      <c r="C82" s="10"/>
      <c r="D82" s="11"/>
      <c r="E82" s="11"/>
      <c r="F82" s="11"/>
      <c r="G82" s="11"/>
      <c r="H82" s="10"/>
      <c r="I82" s="10"/>
      <c r="J82" s="10"/>
      <c r="K82" s="11"/>
    </row>
    <row r="83" spans="1:11">
      <c r="A83" s="10"/>
      <c r="B83" s="10"/>
      <c r="C83" s="10"/>
      <c r="D83" s="11"/>
      <c r="E83" s="11"/>
      <c r="F83" s="11"/>
      <c r="G83" s="11"/>
      <c r="H83" s="10"/>
      <c r="I83" s="10"/>
      <c r="J83" s="10"/>
      <c r="K83" s="11"/>
    </row>
    <row r="84" spans="1:11">
      <c r="A84" s="10"/>
      <c r="B84" s="10"/>
      <c r="C84" s="10"/>
      <c r="D84" s="11"/>
      <c r="E84" s="11"/>
      <c r="F84" s="11"/>
      <c r="G84" s="11"/>
      <c r="H84" s="10"/>
      <c r="I84" s="10"/>
      <c r="J84" s="10"/>
      <c r="K84" s="11"/>
    </row>
    <row r="85" spans="1:11">
      <c r="A85" s="10"/>
      <c r="B85" s="10"/>
      <c r="C85" s="10"/>
      <c r="D85" s="11"/>
      <c r="E85" s="11"/>
      <c r="F85" s="11"/>
      <c r="G85" s="11"/>
      <c r="H85" s="10"/>
      <c r="I85" s="10"/>
      <c r="J85" s="10"/>
      <c r="K85" s="11"/>
    </row>
    <row r="86" spans="1:11">
      <c r="A86" s="10"/>
      <c r="B86" s="10"/>
      <c r="C86" s="10"/>
      <c r="D86" s="11"/>
      <c r="E86" s="11"/>
      <c r="F86" s="11"/>
      <c r="G86" s="11"/>
      <c r="H86" s="10"/>
      <c r="I86" s="10"/>
      <c r="J86" s="10"/>
      <c r="K86" s="11"/>
    </row>
    <row r="87" spans="1:11">
      <c r="A87" s="10"/>
      <c r="B87" s="10"/>
      <c r="C87" s="10"/>
      <c r="D87" s="11"/>
      <c r="E87" s="11"/>
      <c r="F87" s="11"/>
      <c r="G87" s="11"/>
      <c r="H87" s="10"/>
      <c r="I87" s="10"/>
      <c r="J87" s="10"/>
      <c r="K87" s="11"/>
    </row>
    <row r="88" spans="1:11">
      <c r="A88" s="10"/>
      <c r="B88" s="10"/>
      <c r="C88" s="10"/>
      <c r="D88" s="11"/>
      <c r="E88" s="11"/>
      <c r="F88" s="11"/>
      <c r="G88" s="11"/>
      <c r="H88" s="10"/>
      <c r="I88" s="10"/>
      <c r="J88" s="10"/>
      <c r="K88" s="11"/>
    </row>
    <row r="89" spans="1:11">
      <c r="A89" s="10"/>
      <c r="B89" s="10"/>
      <c r="C89" s="10"/>
      <c r="D89" s="11"/>
      <c r="E89" s="11"/>
      <c r="F89" s="11"/>
      <c r="G89" s="11"/>
      <c r="H89" s="10"/>
      <c r="I89" s="10"/>
      <c r="J89" s="10"/>
      <c r="K89" s="11"/>
    </row>
    <row r="90" spans="1:11">
      <c r="A90" s="10"/>
      <c r="B90" s="10"/>
      <c r="C90" s="10"/>
      <c r="D90" s="11"/>
      <c r="E90" s="11"/>
      <c r="F90" s="11"/>
      <c r="G90" s="11"/>
      <c r="H90" s="10"/>
      <c r="I90" s="10"/>
      <c r="J90" s="10"/>
      <c r="K90" s="11"/>
    </row>
    <row r="91" spans="1:11">
      <c r="A91" s="10"/>
      <c r="B91" s="10"/>
      <c r="C91" s="10"/>
      <c r="D91" s="11"/>
      <c r="E91" s="11"/>
      <c r="F91" s="11"/>
      <c r="G91" s="11"/>
      <c r="H91" s="10"/>
      <c r="I91" s="10"/>
      <c r="J91" s="10"/>
      <c r="K91" s="11"/>
    </row>
    <row r="92" spans="1:11">
      <c r="A92" s="10"/>
      <c r="B92" s="10"/>
      <c r="C92" s="10"/>
      <c r="D92" s="11"/>
      <c r="E92" s="11"/>
      <c r="F92" s="11"/>
      <c r="G92" s="11"/>
      <c r="H92" s="10"/>
      <c r="I92" s="10"/>
      <c r="J92" s="10"/>
      <c r="K92" s="11"/>
    </row>
    <row r="93" spans="1:11">
      <c r="A93" s="10"/>
      <c r="B93" s="10"/>
      <c r="C93" s="10"/>
      <c r="D93" s="11"/>
      <c r="E93" s="11"/>
      <c r="F93" s="11"/>
      <c r="G93" s="11"/>
      <c r="H93" s="10"/>
      <c r="I93" s="10"/>
      <c r="J93" s="10"/>
      <c r="K93" s="11"/>
    </row>
    <row r="94" spans="1:11">
      <c r="A94" s="10"/>
      <c r="B94" s="10"/>
      <c r="C94" s="10"/>
      <c r="D94" s="11"/>
      <c r="E94" s="11"/>
      <c r="F94" s="11"/>
      <c r="G94" s="11"/>
      <c r="H94" s="10"/>
      <c r="I94" s="10"/>
      <c r="J94" s="10"/>
      <c r="K94" s="11"/>
    </row>
    <row r="95" spans="1:11">
      <c r="A95" s="10"/>
      <c r="B95" s="10"/>
      <c r="C95" s="10"/>
      <c r="D95" s="11"/>
      <c r="E95" s="11"/>
      <c r="F95" s="11"/>
      <c r="G95" s="11"/>
      <c r="H95" s="10"/>
      <c r="I95" s="10"/>
      <c r="J95" s="10"/>
      <c r="K95" s="11"/>
    </row>
    <row r="96" spans="1:11">
      <c r="A96" s="10"/>
      <c r="B96" s="10"/>
      <c r="C96" s="10"/>
      <c r="D96" s="11"/>
      <c r="E96" s="11"/>
      <c r="F96" s="11"/>
      <c r="G96" s="11"/>
      <c r="H96" s="10"/>
      <c r="I96" s="10"/>
      <c r="J96" s="10"/>
      <c r="K96" s="11"/>
    </row>
    <row r="97" spans="1:11">
      <c r="A97" s="10"/>
      <c r="B97" s="10"/>
      <c r="C97" s="10"/>
      <c r="D97" s="11"/>
      <c r="E97" s="11"/>
      <c r="F97" s="11"/>
      <c r="G97" s="11"/>
      <c r="H97" s="10"/>
      <c r="I97" s="10"/>
      <c r="J97" s="10"/>
      <c r="K97" s="11"/>
    </row>
    <row r="98" spans="1:11">
      <c r="A98" s="10"/>
      <c r="B98" s="10"/>
      <c r="C98" s="10"/>
      <c r="D98" s="11"/>
      <c r="E98" s="11"/>
      <c r="F98" s="11"/>
      <c r="G98" s="11"/>
      <c r="H98" s="10"/>
      <c r="I98" s="10"/>
      <c r="J98" s="10"/>
      <c r="K98" s="11"/>
    </row>
    <row r="99" spans="1:11">
      <c r="A99" s="10"/>
      <c r="B99" s="10"/>
      <c r="C99" s="10"/>
      <c r="D99" s="11"/>
      <c r="E99" s="11"/>
      <c r="F99" s="11"/>
      <c r="G99" s="11"/>
      <c r="H99" s="10"/>
      <c r="I99" s="10"/>
      <c r="J99" s="10"/>
      <c r="K99" s="11"/>
    </row>
    <row r="100" spans="1:11">
      <c r="A100" s="10"/>
      <c r="B100" s="10"/>
      <c r="C100" s="10"/>
      <c r="D100" s="11"/>
      <c r="E100" s="11"/>
      <c r="F100" s="11"/>
      <c r="G100" s="11"/>
      <c r="H100" s="10"/>
      <c r="I100" s="10"/>
      <c r="J100" s="10"/>
      <c r="K100" s="11"/>
    </row>
    <row r="101" spans="1:11">
      <c r="A101" s="10"/>
      <c r="B101" s="10"/>
      <c r="C101" s="10"/>
      <c r="D101" s="11"/>
      <c r="E101" s="11"/>
      <c r="F101" s="11"/>
      <c r="G101" s="11"/>
      <c r="H101" s="10"/>
      <c r="I101" s="10"/>
      <c r="J101" s="10"/>
      <c r="K101" s="11"/>
    </row>
    <row r="102" spans="1:11">
      <c r="A102" s="10"/>
      <c r="B102" s="10"/>
      <c r="C102" s="10"/>
      <c r="D102" s="11"/>
      <c r="E102" s="11"/>
      <c r="F102" s="11"/>
      <c r="G102" s="11"/>
      <c r="H102" s="10"/>
      <c r="I102" s="10"/>
      <c r="J102" s="10"/>
      <c r="K102" s="11"/>
    </row>
    <row r="103" spans="1:11">
      <c r="A103" s="10"/>
      <c r="B103" s="10"/>
      <c r="C103" s="10"/>
      <c r="D103" s="11"/>
      <c r="E103" s="11"/>
      <c r="F103" s="11"/>
      <c r="G103" s="11"/>
      <c r="H103" s="10"/>
      <c r="I103" s="10"/>
      <c r="J103" s="10"/>
      <c r="K103" s="11"/>
    </row>
    <row r="104" spans="1:11">
      <c r="A104" s="10"/>
      <c r="B104" s="10"/>
      <c r="C104" s="10"/>
      <c r="D104" s="11"/>
      <c r="E104" s="11"/>
      <c r="F104" s="11"/>
      <c r="G104" s="11"/>
      <c r="H104" s="10"/>
      <c r="I104" s="10"/>
      <c r="J104" s="10"/>
      <c r="K104" s="11"/>
    </row>
    <row r="105" spans="1:11">
      <c r="A105" s="10"/>
      <c r="B105" s="10"/>
      <c r="C105" s="10"/>
      <c r="D105" s="11"/>
      <c r="E105" s="11"/>
      <c r="F105" s="11"/>
      <c r="G105" s="11"/>
      <c r="H105" s="10"/>
      <c r="I105" s="10"/>
      <c r="J105" s="10"/>
      <c r="K105" s="11"/>
    </row>
    <row r="106" spans="1:11">
      <c r="A106" s="10"/>
      <c r="B106" s="10"/>
      <c r="C106" s="10"/>
      <c r="D106" s="11"/>
      <c r="E106" s="11"/>
      <c r="F106" s="11"/>
      <c r="G106" s="11"/>
      <c r="H106" s="10"/>
      <c r="I106" s="10"/>
      <c r="J106" s="10"/>
      <c r="K106" s="11"/>
    </row>
    <row r="107" spans="1:11">
      <c r="A107" s="10"/>
      <c r="B107" s="10"/>
      <c r="C107" s="10"/>
      <c r="D107" s="11"/>
      <c r="E107" s="11"/>
      <c r="F107" s="11"/>
      <c r="G107" s="11"/>
      <c r="H107" s="10"/>
      <c r="I107" s="10"/>
      <c r="J107" s="10"/>
      <c r="K107" s="11"/>
    </row>
    <row r="108" spans="1:11">
      <c r="A108" s="10"/>
      <c r="B108" s="10"/>
      <c r="C108" s="10"/>
      <c r="D108" s="11"/>
      <c r="E108" s="11"/>
      <c r="F108" s="11"/>
      <c r="G108" s="11"/>
      <c r="H108" s="10"/>
      <c r="I108" s="10"/>
      <c r="J108" s="10"/>
      <c r="K108" s="11"/>
    </row>
    <row r="109" spans="1:11">
      <c r="A109" s="10"/>
      <c r="B109" s="10"/>
      <c r="C109" s="10"/>
      <c r="D109" s="11"/>
      <c r="E109" s="11"/>
      <c r="F109" s="11"/>
      <c r="G109" s="11"/>
      <c r="H109" s="10"/>
      <c r="I109" s="10"/>
      <c r="J109" s="10"/>
      <c r="K109" s="11"/>
    </row>
    <row r="110" spans="1:11">
      <c r="A110" s="10"/>
      <c r="B110" s="10"/>
      <c r="C110" s="10"/>
      <c r="D110" s="11"/>
      <c r="E110" s="11"/>
      <c r="F110" s="11"/>
      <c r="G110" s="11"/>
      <c r="H110" s="10"/>
      <c r="I110" s="10"/>
      <c r="J110" s="10"/>
      <c r="K110" s="11"/>
    </row>
    <row r="111" spans="1:11">
      <c r="A111" s="10"/>
      <c r="B111" s="10"/>
      <c r="C111" s="10"/>
      <c r="D111" s="11"/>
      <c r="E111" s="11"/>
      <c r="F111" s="11"/>
      <c r="G111" s="11"/>
      <c r="H111" s="10"/>
      <c r="I111" s="10"/>
      <c r="J111" s="10"/>
      <c r="K111" s="11"/>
    </row>
    <row r="112" spans="1:11">
      <c r="A112" s="10"/>
      <c r="B112" s="10"/>
      <c r="C112" s="10"/>
      <c r="D112" s="11"/>
      <c r="E112" s="11"/>
      <c r="F112" s="11"/>
      <c r="G112" s="11"/>
      <c r="H112" s="10"/>
      <c r="I112" s="10"/>
      <c r="J112" s="10"/>
      <c r="K112" s="11"/>
    </row>
    <row r="113" spans="1:11">
      <c r="A113" s="10"/>
      <c r="B113" s="10"/>
      <c r="C113" s="10"/>
      <c r="D113" s="11"/>
      <c r="E113" s="11"/>
      <c r="F113" s="11"/>
      <c r="G113" s="11"/>
      <c r="H113" s="10"/>
      <c r="I113" s="10"/>
      <c r="J113" s="10"/>
      <c r="K113" s="11"/>
    </row>
    <row r="114" spans="1:11">
      <c r="A114" s="10"/>
      <c r="B114" s="10"/>
      <c r="C114" s="10"/>
      <c r="D114" s="11"/>
      <c r="E114" s="11"/>
      <c r="F114" s="11"/>
      <c r="G114" s="11"/>
      <c r="H114" s="10"/>
      <c r="I114" s="10"/>
      <c r="J114" s="10"/>
      <c r="K114" s="11"/>
    </row>
    <row r="115" spans="1:11">
      <c r="A115" s="10"/>
      <c r="B115" s="10"/>
      <c r="C115" s="10"/>
      <c r="D115" s="11"/>
      <c r="E115" s="11"/>
      <c r="F115" s="11"/>
      <c r="G115" s="11"/>
      <c r="H115" s="10"/>
      <c r="I115" s="10"/>
      <c r="J115" s="10"/>
      <c r="K115" s="11"/>
    </row>
    <row r="116" spans="1:11">
      <c r="A116" s="10"/>
      <c r="B116" s="10"/>
      <c r="C116" s="10"/>
      <c r="D116" s="11"/>
      <c r="E116" s="11"/>
      <c r="F116" s="11"/>
      <c r="G116" s="11"/>
      <c r="H116" s="10"/>
      <c r="I116" s="10"/>
      <c r="J116" s="10"/>
      <c r="K116" s="11"/>
    </row>
    <row r="117" spans="1:11">
      <c r="A117" s="10"/>
      <c r="B117" s="10"/>
      <c r="C117" s="10"/>
      <c r="D117" s="11"/>
      <c r="E117" s="11"/>
      <c r="F117" s="11"/>
      <c r="G117" s="11"/>
      <c r="H117" s="10"/>
      <c r="I117" s="10"/>
      <c r="J117" s="10"/>
      <c r="K117" s="11"/>
    </row>
    <row r="118" spans="1:11">
      <c r="A118" s="10"/>
      <c r="B118" s="10"/>
      <c r="C118" s="10"/>
      <c r="D118" s="11"/>
      <c r="E118" s="11"/>
      <c r="F118" s="11"/>
      <c r="G118" s="11"/>
      <c r="H118" s="10"/>
      <c r="I118" s="10"/>
      <c r="J118" s="10"/>
      <c r="K118" s="11"/>
    </row>
    <row r="119" spans="1:11">
      <c r="A119" s="10"/>
      <c r="B119" s="10"/>
      <c r="C119" s="10"/>
      <c r="D119" s="11"/>
      <c r="E119" s="11"/>
      <c r="F119" s="11"/>
      <c r="G119" s="11"/>
      <c r="H119" s="10"/>
      <c r="I119" s="10"/>
      <c r="J119" s="10"/>
      <c r="K119" s="11"/>
    </row>
    <row r="120" spans="1:11">
      <c r="A120" s="10"/>
      <c r="B120" s="10"/>
      <c r="C120" s="10"/>
      <c r="D120" s="11"/>
      <c r="E120" s="11"/>
      <c r="F120" s="11"/>
      <c r="G120" s="11"/>
      <c r="H120" s="10"/>
      <c r="I120" s="10"/>
      <c r="J120" s="10"/>
      <c r="K120" s="11"/>
    </row>
    <row r="121" spans="1:11">
      <c r="A121" s="10"/>
      <c r="B121" s="10"/>
      <c r="C121" s="10"/>
      <c r="D121" s="11"/>
      <c r="E121" s="11"/>
      <c r="F121" s="11"/>
      <c r="G121" s="11"/>
      <c r="H121" s="10"/>
      <c r="I121" s="10"/>
      <c r="J121" s="10"/>
      <c r="K121" s="11"/>
    </row>
    <row r="122" spans="1:11">
      <c r="A122" s="10"/>
      <c r="B122" s="10"/>
      <c r="C122" s="10"/>
      <c r="D122" s="11"/>
      <c r="E122" s="11"/>
      <c r="F122" s="11"/>
      <c r="G122" s="11"/>
      <c r="H122" s="10"/>
      <c r="I122" s="10"/>
      <c r="J122" s="10"/>
      <c r="K122" s="11"/>
    </row>
    <row r="123" spans="1:11">
      <c r="A123" s="10"/>
      <c r="B123" s="10"/>
      <c r="C123" s="10"/>
      <c r="D123" s="11"/>
      <c r="E123" s="11"/>
      <c r="F123" s="11"/>
      <c r="G123" s="11"/>
      <c r="H123" s="10"/>
      <c r="I123" s="10"/>
      <c r="J123" s="10"/>
      <c r="K123" s="11"/>
    </row>
    <row r="124" spans="1:11">
      <c r="A124" s="10"/>
      <c r="B124" s="10"/>
      <c r="C124" s="10"/>
      <c r="D124" s="11"/>
      <c r="E124" s="11"/>
      <c r="F124" s="11"/>
      <c r="G124" s="11"/>
      <c r="H124" s="10"/>
      <c r="I124" s="10"/>
      <c r="J124" s="10"/>
      <c r="K124" s="11"/>
    </row>
    <row r="125" spans="1:11">
      <c r="A125" s="10"/>
      <c r="B125" s="10"/>
      <c r="C125" s="10"/>
      <c r="D125" s="11"/>
      <c r="E125" s="11"/>
      <c r="F125" s="11"/>
      <c r="G125" s="11"/>
      <c r="H125" s="10"/>
      <c r="I125" s="10"/>
      <c r="J125" s="10"/>
      <c r="K125" s="11"/>
    </row>
    <row r="126" spans="1:11">
      <c r="A126" s="10"/>
      <c r="B126" s="10"/>
      <c r="C126" s="10"/>
      <c r="D126" s="11"/>
      <c r="E126" s="11"/>
      <c r="F126" s="11"/>
      <c r="G126" s="11"/>
      <c r="H126" s="10"/>
      <c r="I126" s="10"/>
      <c r="J126" s="10"/>
      <c r="K126" s="11"/>
    </row>
    <row r="127" spans="1:11">
      <c r="A127" s="10"/>
      <c r="B127" s="10"/>
      <c r="C127" s="10"/>
      <c r="D127" s="11"/>
      <c r="E127" s="11"/>
      <c r="F127" s="11"/>
      <c r="G127" s="11"/>
      <c r="H127" s="10"/>
      <c r="I127" s="10"/>
      <c r="J127" s="10"/>
      <c r="K127" s="11"/>
    </row>
    <row r="128" spans="1:11">
      <c r="A128" s="10"/>
      <c r="B128" s="10"/>
      <c r="C128" s="10"/>
      <c r="D128" s="11"/>
      <c r="E128" s="11"/>
      <c r="F128" s="11"/>
      <c r="G128" s="11"/>
      <c r="H128" s="10"/>
      <c r="I128" s="10"/>
      <c r="J128" s="10"/>
      <c r="K128" s="11"/>
    </row>
    <row r="129" spans="1:11">
      <c r="A129" s="10"/>
      <c r="B129" s="10"/>
      <c r="C129" s="10"/>
      <c r="D129" s="11"/>
      <c r="E129" s="11"/>
      <c r="F129" s="11"/>
      <c r="G129" s="11"/>
      <c r="H129" s="10"/>
      <c r="I129" s="10"/>
      <c r="J129" s="10"/>
      <c r="K129" s="11"/>
    </row>
    <row r="130" spans="1:11">
      <c r="A130" s="10"/>
      <c r="B130" s="10"/>
      <c r="C130" s="10"/>
      <c r="D130" s="11"/>
      <c r="E130" s="11"/>
      <c r="F130" s="11"/>
      <c r="G130" s="11"/>
      <c r="H130" s="10"/>
      <c r="I130" s="10"/>
      <c r="J130" s="10"/>
      <c r="K130" s="11"/>
    </row>
    <row r="131" spans="1:11">
      <c r="A131" s="10"/>
      <c r="B131" s="10"/>
      <c r="C131" s="10"/>
      <c r="D131" s="11"/>
      <c r="E131" s="11"/>
      <c r="F131" s="11"/>
      <c r="G131" s="11"/>
      <c r="H131" s="10"/>
      <c r="I131" s="10"/>
      <c r="J131" s="10"/>
      <c r="K131" s="11"/>
    </row>
    <row r="132" spans="1:11">
      <c r="A132" s="10"/>
      <c r="B132" s="10"/>
      <c r="C132" s="10"/>
      <c r="D132" s="11"/>
      <c r="E132" s="11"/>
      <c r="F132" s="11"/>
      <c r="G132" s="11"/>
      <c r="H132" s="10"/>
      <c r="I132" s="10"/>
      <c r="J132" s="10"/>
      <c r="K132" s="11"/>
    </row>
    <row r="133" spans="1:11">
      <c r="A133" s="10"/>
      <c r="B133" s="10"/>
      <c r="C133" s="10"/>
      <c r="D133" s="11"/>
      <c r="E133" s="11"/>
      <c r="F133" s="11"/>
      <c r="G133" s="11"/>
      <c r="H133" s="10"/>
      <c r="I133" s="10"/>
      <c r="J133" s="10"/>
      <c r="K133" s="11"/>
    </row>
    <row r="134" spans="1:11">
      <c r="A134" s="10"/>
      <c r="B134" s="10"/>
      <c r="C134" s="10"/>
      <c r="D134" s="11"/>
      <c r="E134" s="11"/>
      <c r="F134" s="11"/>
      <c r="G134" s="11"/>
      <c r="H134" s="10"/>
      <c r="I134" s="10"/>
      <c r="J134" s="10"/>
      <c r="K134" s="11"/>
    </row>
    <row r="135" spans="1:11">
      <c r="A135" s="10"/>
      <c r="B135" s="10"/>
      <c r="C135" s="10"/>
      <c r="D135" s="11"/>
      <c r="E135" s="11"/>
      <c r="F135" s="11"/>
      <c r="G135" s="11"/>
      <c r="H135" s="10"/>
      <c r="I135" s="10"/>
      <c r="J135" s="10"/>
      <c r="K135" s="11"/>
    </row>
    <row r="136" spans="1:11">
      <c r="A136" s="10"/>
      <c r="B136" s="10"/>
      <c r="C136" s="10"/>
      <c r="D136" s="11"/>
      <c r="E136" s="11"/>
      <c r="F136" s="11"/>
      <c r="G136" s="11"/>
      <c r="H136" s="10"/>
      <c r="I136" s="10"/>
      <c r="J136" s="10"/>
      <c r="K136" s="11"/>
    </row>
    <row r="137" spans="1:11">
      <c r="A137" s="10"/>
      <c r="B137" s="10"/>
      <c r="C137" s="10"/>
      <c r="D137" s="11"/>
      <c r="E137" s="11"/>
      <c r="F137" s="11"/>
      <c r="G137" s="11"/>
      <c r="H137" s="10"/>
      <c r="I137" s="10"/>
      <c r="J137" s="10"/>
      <c r="K137" s="11"/>
    </row>
    <row r="138" spans="1:11">
      <c r="A138" s="10"/>
      <c r="B138" s="10"/>
      <c r="C138" s="10"/>
      <c r="D138" s="11"/>
      <c r="E138" s="11"/>
      <c r="F138" s="11"/>
      <c r="G138" s="11"/>
      <c r="H138" s="10"/>
      <c r="I138" s="10"/>
      <c r="J138" s="10"/>
      <c r="K138" s="11"/>
    </row>
    <row r="139" spans="1:11">
      <c r="A139" s="10"/>
      <c r="B139" s="10"/>
      <c r="C139" s="10"/>
      <c r="D139" s="11"/>
      <c r="E139" s="11"/>
      <c r="F139" s="11"/>
      <c r="G139" s="11"/>
      <c r="H139" s="10"/>
      <c r="I139" s="10"/>
      <c r="J139" s="10"/>
      <c r="K139" s="11"/>
    </row>
    <row r="140" spans="1:11">
      <c r="A140" s="10"/>
      <c r="B140" s="10"/>
      <c r="C140" s="10"/>
      <c r="D140" s="11"/>
      <c r="E140" s="11"/>
      <c r="F140" s="11"/>
      <c r="G140" s="11"/>
      <c r="H140" s="10"/>
      <c r="I140" s="10"/>
      <c r="J140" s="10"/>
      <c r="K140" s="11"/>
    </row>
    <row r="141" spans="1:11">
      <c r="A141" s="10"/>
      <c r="B141" s="10"/>
      <c r="C141" s="10"/>
      <c r="D141" s="11"/>
      <c r="E141" s="11"/>
      <c r="F141" s="11"/>
      <c r="G141" s="11"/>
      <c r="H141" s="10"/>
      <c r="I141" s="10"/>
      <c r="J141" s="10"/>
      <c r="K141" s="11"/>
    </row>
    <row r="142" spans="1:11">
      <c r="A142" s="10"/>
      <c r="B142" s="10"/>
      <c r="C142" s="10"/>
      <c r="D142" s="11"/>
      <c r="E142" s="11"/>
      <c r="F142" s="11"/>
      <c r="G142" s="11"/>
      <c r="H142" s="10"/>
      <c r="I142" s="10"/>
      <c r="J142" s="10"/>
      <c r="K142" s="11"/>
    </row>
    <row r="143" spans="1:11">
      <c r="A143" s="10"/>
      <c r="B143" s="10"/>
      <c r="C143" s="10"/>
      <c r="D143" s="11"/>
      <c r="E143" s="11"/>
      <c r="F143" s="11"/>
      <c r="G143" s="11"/>
      <c r="H143" s="10"/>
      <c r="I143" s="10"/>
      <c r="J143" s="10"/>
      <c r="K143" s="11"/>
    </row>
    <row r="144" spans="1:11">
      <c r="A144" s="10"/>
      <c r="B144" s="10"/>
      <c r="C144" s="10"/>
      <c r="D144" s="11"/>
      <c r="E144" s="11"/>
      <c r="F144" s="11"/>
      <c r="G144" s="11"/>
      <c r="H144" s="10"/>
      <c r="I144" s="10"/>
      <c r="J144" s="10"/>
      <c r="K144" s="11"/>
    </row>
    <row r="145" spans="1:11">
      <c r="A145" s="10"/>
      <c r="B145" s="10"/>
      <c r="C145" s="10"/>
      <c r="D145" s="11"/>
      <c r="E145" s="11"/>
      <c r="F145" s="11"/>
      <c r="G145" s="11"/>
      <c r="H145" s="10"/>
      <c r="I145" s="10"/>
      <c r="J145" s="10"/>
      <c r="K145" s="11"/>
    </row>
    <row r="146" spans="1:11">
      <c r="A146" s="10"/>
      <c r="B146" s="10"/>
      <c r="C146" s="10"/>
      <c r="D146" s="11"/>
      <c r="E146" s="11"/>
      <c r="F146" s="11"/>
      <c r="G146" s="11"/>
      <c r="H146" s="10"/>
      <c r="I146" s="10"/>
      <c r="J146" s="10"/>
      <c r="K146" s="11"/>
    </row>
    <row r="147" spans="1:11">
      <c r="A147" s="10"/>
      <c r="B147" s="10"/>
      <c r="C147" s="10"/>
      <c r="D147" s="11"/>
      <c r="E147" s="11"/>
      <c r="F147" s="11"/>
      <c r="G147" s="11"/>
      <c r="H147" s="10"/>
      <c r="I147" s="10"/>
      <c r="J147" s="10"/>
      <c r="K147" s="11"/>
    </row>
    <row r="148" spans="1:11">
      <c r="A148" s="10"/>
      <c r="B148" s="10"/>
      <c r="C148" s="10"/>
      <c r="D148" s="11"/>
      <c r="E148" s="11"/>
      <c r="F148" s="11"/>
      <c r="G148" s="11"/>
      <c r="H148" s="10"/>
      <c r="I148" s="10"/>
      <c r="J148" s="10"/>
      <c r="K148" s="11"/>
    </row>
    <row r="149" spans="1:11">
      <c r="A149" s="10"/>
      <c r="B149" s="10"/>
      <c r="C149" s="10"/>
      <c r="D149" s="11"/>
      <c r="E149" s="11"/>
      <c r="F149" s="11"/>
      <c r="G149" s="11"/>
      <c r="H149" s="10"/>
      <c r="I149" s="10"/>
      <c r="J149" s="10"/>
      <c r="K149" s="11"/>
    </row>
    <row r="150" spans="1:11">
      <c r="A150" s="10"/>
      <c r="B150" s="10"/>
      <c r="C150" s="10"/>
      <c r="D150" s="11"/>
      <c r="E150" s="11"/>
      <c r="F150" s="11"/>
      <c r="G150" s="11"/>
      <c r="H150" s="10"/>
      <c r="I150" s="10"/>
      <c r="J150" s="10"/>
      <c r="K150" s="11"/>
    </row>
    <row r="151" spans="1:11">
      <c r="A151" s="10"/>
      <c r="B151" s="10"/>
      <c r="C151" s="10"/>
      <c r="D151" s="11"/>
      <c r="E151" s="11"/>
      <c r="F151" s="11"/>
      <c r="G151" s="11"/>
      <c r="H151" s="10"/>
      <c r="I151" s="10"/>
      <c r="J151" s="10"/>
      <c r="K151" s="11"/>
    </row>
    <row r="152" spans="1:11">
      <c r="A152" s="10"/>
      <c r="B152" s="10"/>
      <c r="C152" s="10"/>
      <c r="D152" s="11"/>
      <c r="E152" s="11"/>
      <c r="F152" s="11"/>
      <c r="G152" s="11"/>
      <c r="H152" s="10"/>
      <c r="I152" s="10"/>
      <c r="J152" s="10"/>
      <c r="K152" s="11"/>
    </row>
    <row r="153" spans="1:11">
      <c r="A153" s="10"/>
      <c r="B153" s="10"/>
      <c r="C153" s="10"/>
      <c r="D153" s="11"/>
      <c r="E153" s="11"/>
      <c r="F153" s="11"/>
      <c r="G153" s="11"/>
      <c r="H153" s="10"/>
      <c r="I153" s="10"/>
      <c r="J153" s="10"/>
      <c r="K153" s="11"/>
    </row>
    <row r="154" spans="1:11">
      <c r="A154" s="10"/>
      <c r="B154" s="10"/>
      <c r="C154" s="10"/>
      <c r="D154" s="11"/>
      <c r="E154" s="11"/>
      <c r="F154" s="11"/>
      <c r="G154" s="11"/>
      <c r="H154" s="10"/>
      <c r="I154" s="10"/>
      <c r="J154" s="10"/>
      <c r="K154" s="11"/>
    </row>
    <row r="155" spans="1:11">
      <c r="A155" s="10"/>
      <c r="B155" s="10"/>
      <c r="C155" s="10"/>
      <c r="D155" s="11"/>
      <c r="E155" s="11"/>
      <c r="F155" s="11"/>
      <c r="G155" s="11"/>
      <c r="H155" s="10"/>
      <c r="I155" s="10"/>
      <c r="J155" s="10"/>
      <c r="K155" s="11"/>
    </row>
    <row r="156" spans="1:11">
      <c r="A156" s="10"/>
      <c r="B156" s="10"/>
      <c r="C156" s="10"/>
      <c r="D156" s="11"/>
      <c r="E156" s="11"/>
      <c r="F156" s="11"/>
      <c r="G156" s="11"/>
      <c r="H156" s="10"/>
      <c r="I156" s="10"/>
      <c r="J156" s="10"/>
      <c r="K156" s="11"/>
    </row>
    <row r="157" spans="1:11">
      <c r="A157" s="10"/>
      <c r="B157" s="10"/>
      <c r="C157" s="10"/>
      <c r="D157" s="11"/>
      <c r="E157" s="11"/>
      <c r="F157" s="11"/>
      <c r="G157" s="11"/>
      <c r="H157" s="10"/>
      <c r="I157" s="10"/>
      <c r="J157" s="10"/>
      <c r="K157" s="11"/>
    </row>
    <row r="158" spans="1:11">
      <c r="A158" s="10"/>
      <c r="B158" s="10"/>
      <c r="C158" s="10"/>
      <c r="D158" s="11"/>
      <c r="E158" s="11"/>
      <c r="F158" s="11"/>
      <c r="G158" s="11"/>
      <c r="H158" s="10"/>
      <c r="I158" s="10"/>
      <c r="J158" s="10"/>
      <c r="K158" s="11"/>
    </row>
    <row r="159" spans="1:11">
      <c r="A159" s="10"/>
      <c r="B159" s="10"/>
      <c r="C159" s="10"/>
      <c r="D159" s="11"/>
      <c r="E159" s="11"/>
      <c r="F159" s="11"/>
      <c r="G159" s="11"/>
      <c r="H159" s="10"/>
      <c r="I159" s="10"/>
      <c r="J159" s="10"/>
      <c r="K159" s="11"/>
    </row>
    <row r="160" spans="1:11">
      <c r="A160" s="10"/>
      <c r="B160" s="10"/>
      <c r="C160" s="10"/>
      <c r="D160" s="11"/>
      <c r="E160" s="11"/>
      <c r="F160" s="11"/>
      <c r="G160" s="11"/>
      <c r="H160" s="10"/>
      <c r="I160" s="10"/>
      <c r="J160" s="10"/>
      <c r="K160" s="11"/>
    </row>
    <row r="161" spans="1:11">
      <c r="A161" s="10"/>
      <c r="B161" s="10"/>
      <c r="C161" s="10"/>
      <c r="D161" s="11"/>
      <c r="E161" s="11"/>
      <c r="F161" s="11"/>
      <c r="G161" s="11"/>
      <c r="H161" s="10"/>
      <c r="I161" s="10"/>
      <c r="J161" s="10"/>
      <c r="K161" s="11"/>
    </row>
    <row r="162" spans="1:11">
      <c r="A162" s="10"/>
      <c r="B162" s="10"/>
      <c r="C162" s="10"/>
      <c r="D162" s="11"/>
      <c r="E162" s="11"/>
      <c r="F162" s="11"/>
      <c r="G162" s="11"/>
      <c r="H162" s="10"/>
      <c r="I162" s="10"/>
      <c r="J162" s="10"/>
      <c r="K162" s="11"/>
    </row>
    <row r="163" spans="1:11">
      <c r="A163" s="10"/>
      <c r="B163" s="10"/>
      <c r="C163" s="10"/>
      <c r="D163" s="11"/>
      <c r="E163" s="11"/>
      <c r="F163" s="11"/>
      <c r="G163" s="11"/>
      <c r="H163" s="10"/>
      <c r="I163" s="10"/>
      <c r="J163" s="10"/>
      <c r="K163" s="11"/>
    </row>
    <row r="164" spans="1:11">
      <c r="A164" s="10"/>
      <c r="B164" s="10"/>
      <c r="C164" s="10"/>
      <c r="D164" s="11"/>
      <c r="E164" s="11"/>
      <c r="F164" s="11"/>
      <c r="G164" s="11"/>
      <c r="H164" s="10"/>
      <c r="I164" s="10"/>
      <c r="J164" s="10"/>
      <c r="K164" s="11"/>
    </row>
    <row r="165" spans="1:11">
      <c r="A165" s="10"/>
      <c r="B165" s="10"/>
      <c r="C165" s="10"/>
      <c r="D165" s="11"/>
      <c r="E165" s="11"/>
      <c r="F165" s="11"/>
      <c r="G165" s="11"/>
      <c r="H165" s="10"/>
      <c r="I165" s="10"/>
      <c r="J165" s="10"/>
      <c r="K165" s="11"/>
    </row>
    <row r="166" spans="1:11">
      <c r="A166" s="10"/>
      <c r="B166" s="10"/>
      <c r="C166" s="10"/>
      <c r="D166" s="11"/>
      <c r="E166" s="11"/>
      <c r="F166" s="11"/>
      <c r="G166" s="11"/>
      <c r="H166" s="10"/>
      <c r="I166" s="10"/>
      <c r="J166" s="10"/>
      <c r="K166" s="11"/>
    </row>
    <row r="167" spans="1:11">
      <c r="A167" s="10"/>
      <c r="B167" s="10"/>
      <c r="C167" s="10"/>
      <c r="D167" s="11"/>
      <c r="E167" s="11"/>
      <c r="F167" s="11"/>
      <c r="G167" s="11"/>
      <c r="H167" s="10"/>
      <c r="I167" s="10"/>
      <c r="J167" s="10"/>
      <c r="K167" s="11"/>
    </row>
    <row r="168" spans="1:11">
      <c r="A168" s="10"/>
      <c r="B168" s="10"/>
      <c r="C168" s="10"/>
      <c r="D168" s="11"/>
      <c r="E168" s="11"/>
      <c r="F168" s="11"/>
      <c r="G168" s="11"/>
      <c r="H168" s="10"/>
      <c r="I168" s="10"/>
      <c r="J168" s="10"/>
      <c r="K168" s="11"/>
    </row>
    <row r="169" spans="1:11">
      <c r="A169" s="10"/>
      <c r="B169" s="10"/>
      <c r="C169" s="10"/>
      <c r="D169" s="11"/>
      <c r="E169" s="11"/>
      <c r="F169" s="11"/>
      <c r="G169" s="11"/>
      <c r="H169" s="10"/>
      <c r="I169" s="10"/>
      <c r="J169" s="10"/>
      <c r="K169" s="11"/>
    </row>
    <row r="170" spans="1:11">
      <c r="A170" s="10"/>
      <c r="B170" s="10"/>
      <c r="C170" s="10"/>
      <c r="D170" s="11"/>
      <c r="E170" s="11"/>
      <c r="F170" s="11"/>
      <c r="G170" s="11"/>
      <c r="H170" s="10"/>
      <c r="I170" s="10"/>
      <c r="J170" s="10"/>
      <c r="K170" s="11"/>
    </row>
    <row r="171" spans="1:11">
      <c r="A171" s="10"/>
      <c r="B171" s="10"/>
      <c r="C171" s="10"/>
      <c r="D171" s="11"/>
      <c r="E171" s="11"/>
      <c r="F171" s="11"/>
      <c r="G171" s="11"/>
      <c r="H171" s="10"/>
      <c r="I171" s="10"/>
      <c r="J171" s="10"/>
      <c r="K171" s="11"/>
    </row>
    <row r="172" spans="1:11">
      <c r="A172" s="10"/>
      <c r="B172" s="10"/>
      <c r="C172" s="10"/>
      <c r="D172" s="11"/>
      <c r="E172" s="11"/>
      <c r="F172" s="11"/>
      <c r="G172" s="11"/>
      <c r="H172" s="10"/>
      <c r="I172" s="10"/>
      <c r="J172" s="10"/>
      <c r="K172" s="11"/>
    </row>
    <row r="173" spans="1:11">
      <c r="A173" s="10"/>
      <c r="B173" s="10"/>
      <c r="C173" s="10"/>
      <c r="D173" s="11"/>
      <c r="E173" s="11"/>
      <c r="F173" s="11"/>
      <c r="G173" s="11"/>
      <c r="H173" s="10"/>
      <c r="I173" s="10"/>
      <c r="J173" s="10"/>
      <c r="K173" s="11"/>
    </row>
    <row r="174" spans="1:11">
      <c r="A174" s="10"/>
      <c r="B174" s="10"/>
      <c r="C174" s="10"/>
      <c r="D174" s="11"/>
      <c r="E174" s="11"/>
      <c r="F174" s="11"/>
      <c r="G174" s="11"/>
      <c r="H174" s="10"/>
      <c r="I174" s="10"/>
      <c r="J174" s="10"/>
      <c r="K174" s="11"/>
    </row>
    <row r="175" spans="1:11">
      <c r="A175" s="10"/>
      <c r="B175" s="10"/>
      <c r="C175" s="10"/>
      <c r="D175" s="11"/>
      <c r="E175" s="11"/>
      <c r="F175" s="11"/>
      <c r="G175" s="11"/>
      <c r="H175" s="10"/>
      <c r="I175" s="10"/>
      <c r="J175" s="10"/>
      <c r="K175" s="11"/>
    </row>
    <row r="176" spans="1:11">
      <c r="A176" s="10"/>
      <c r="B176" s="10"/>
      <c r="C176" s="10"/>
      <c r="D176" s="11"/>
      <c r="E176" s="11"/>
      <c r="F176" s="11"/>
      <c r="G176" s="11"/>
      <c r="H176" s="10"/>
      <c r="I176" s="10"/>
      <c r="J176" s="10"/>
      <c r="K176" s="11"/>
    </row>
    <row r="177" spans="1:11">
      <c r="A177" s="10"/>
      <c r="B177" s="10"/>
      <c r="C177" s="10"/>
      <c r="D177" s="11"/>
      <c r="E177" s="11"/>
      <c r="F177" s="11"/>
      <c r="G177" s="11"/>
      <c r="H177" s="10"/>
      <c r="I177" s="10"/>
      <c r="J177" s="10"/>
      <c r="K177" s="11"/>
    </row>
    <row r="178" spans="1:11">
      <c r="A178" s="10"/>
      <c r="B178" s="10"/>
      <c r="C178" s="10"/>
      <c r="D178" s="11"/>
      <c r="E178" s="11"/>
      <c r="F178" s="11"/>
      <c r="G178" s="11"/>
      <c r="H178" s="10"/>
      <c r="I178" s="10"/>
      <c r="J178" s="10"/>
      <c r="K178" s="11"/>
    </row>
    <row r="179" spans="1:11">
      <c r="A179" s="10"/>
      <c r="B179" s="10"/>
      <c r="C179" s="10"/>
      <c r="D179" s="11"/>
      <c r="E179" s="11"/>
      <c r="F179" s="11"/>
      <c r="G179" s="11"/>
      <c r="H179" s="10"/>
      <c r="I179" s="10"/>
      <c r="J179" s="10"/>
      <c r="K179" s="11"/>
    </row>
    <row r="180" spans="1:11">
      <c r="A180" s="10"/>
      <c r="B180" s="10"/>
      <c r="C180" s="10"/>
      <c r="D180" s="11"/>
      <c r="E180" s="11"/>
      <c r="F180" s="11"/>
      <c r="G180" s="11"/>
      <c r="H180" s="10"/>
      <c r="I180" s="10"/>
      <c r="J180" s="10"/>
      <c r="K180" s="11"/>
    </row>
    <row r="181" spans="1:11">
      <c r="A181" s="10"/>
      <c r="B181" s="10"/>
      <c r="C181" s="10"/>
      <c r="D181" s="11"/>
      <c r="E181" s="11"/>
      <c r="F181" s="11"/>
      <c r="G181" s="11"/>
      <c r="H181" s="10"/>
      <c r="I181" s="10"/>
      <c r="J181" s="10"/>
      <c r="K181" s="11"/>
    </row>
    <row r="182" spans="1:11">
      <c r="A182" s="10"/>
      <c r="B182" s="10"/>
      <c r="C182" s="10"/>
      <c r="D182" s="11"/>
      <c r="E182" s="11"/>
      <c r="F182" s="11"/>
      <c r="G182" s="11"/>
      <c r="H182" s="10"/>
      <c r="I182" s="10"/>
      <c r="J182" s="10"/>
      <c r="K182" s="11"/>
    </row>
    <row r="183" spans="1:11">
      <c r="A183" s="10"/>
      <c r="B183" s="10"/>
      <c r="C183" s="10"/>
      <c r="D183" s="11"/>
      <c r="E183" s="11"/>
      <c r="F183" s="11"/>
      <c r="G183" s="11"/>
      <c r="H183" s="10"/>
      <c r="I183" s="10"/>
      <c r="J183" s="10"/>
      <c r="K183" s="11"/>
    </row>
    <row r="184" spans="1:11">
      <c r="A184" s="10"/>
      <c r="B184" s="10"/>
      <c r="C184" s="10"/>
      <c r="D184" s="11"/>
      <c r="E184" s="11"/>
      <c r="F184" s="11"/>
      <c r="G184" s="11"/>
      <c r="H184" s="10"/>
      <c r="I184" s="10"/>
      <c r="J184" s="10"/>
      <c r="K184" s="11"/>
    </row>
    <row r="185" spans="1:11">
      <c r="A185" s="10"/>
      <c r="B185" s="10"/>
      <c r="C185" s="10"/>
      <c r="D185" s="11"/>
      <c r="E185" s="11"/>
      <c r="F185" s="11"/>
      <c r="G185" s="11"/>
      <c r="H185" s="10"/>
      <c r="I185" s="10"/>
      <c r="J185" s="10"/>
      <c r="K185" s="11"/>
    </row>
    <row r="186" spans="1:11">
      <c r="A186" s="10"/>
      <c r="B186" s="10"/>
      <c r="C186" s="10"/>
      <c r="D186" s="11"/>
      <c r="E186" s="11"/>
      <c r="F186" s="11"/>
      <c r="G186" s="11"/>
      <c r="H186" s="10"/>
      <c r="I186" s="10"/>
      <c r="J186" s="10"/>
      <c r="K186" s="11"/>
    </row>
    <row r="187" spans="1:11">
      <c r="A187" s="10"/>
      <c r="B187" s="10"/>
      <c r="C187" s="10"/>
      <c r="D187" s="11"/>
      <c r="E187" s="11"/>
      <c r="F187" s="11"/>
      <c r="G187" s="11"/>
      <c r="H187" s="10"/>
      <c r="I187" s="10"/>
      <c r="J187" s="10"/>
      <c r="K187" s="11"/>
    </row>
    <row r="188" spans="1:11">
      <c r="A188" s="10"/>
      <c r="B188" s="10"/>
      <c r="C188" s="10"/>
      <c r="D188" s="11"/>
      <c r="E188" s="11"/>
      <c r="F188" s="11"/>
      <c r="G188" s="11"/>
      <c r="H188" s="10"/>
      <c r="I188" s="10"/>
      <c r="J188" s="10"/>
      <c r="K188" s="11"/>
    </row>
    <row r="189" spans="1:11">
      <c r="A189" s="10"/>
      <c r="B189" s="10"/>
      <c r="C189" s="10"/>
      <c r="D189" s="11"/>
      <c r="E189" s="11"/>
      <c r="F189" s="11"/>
      <c r="G189" s="11"/>
      <c r="H189" s="10"/>
      <c r="I189" s="10"/>
      <c r="J189" s="10"/>
      <c r="K189" s="11"/>
    </row>
    <row r="190" spans="1:11">
      <c r="A190" s="10"/>
      <c r="B190" s="10"/>
      <c r="C190" s="10"/>
      <c r="D190" s="11"/>
      <c r="E190" s="11"/>
      <c r="F190" s="11"/>
      <c r="G190" s="11"/>
      <c r="H190" s="10"/>
      <c r="I190" s="10"/>
      <c r="J190" s="10"/>
      <c r="K190" s="11"/>
    </row>
    <row r="191" spans="1:11">
      <c r="A191" s="10"/>
      <c r="B191" s="10"/>
      <c r="C191" s="10"/>
      <c r="D191" s="11"/>
      <c r="E191" s="11"/>
      <c r="F191" s="11"/>
      <c r="G191" s="11"/>
      <c r="H191" s="10"/>
      <c r="I191" s="10"/>
      <c r="J191" s="10"/>
      <c r="K191" s="11"/>
    </row>
    <row r="192" spans="1:11">
      <c r="A192" s="10"/>
      <c r="B192" s="10"/>
      <c r="C192" s="10"/>
      <c r="D192" s="11"/>
      <c r="E192" s="11"/>
      <c r="F192" s="11"/>
      <c r="G192" s="11"/>
      <c r="H192" s="10"/>
      <c r="I192" s="10"/>
      <c r="J192" s="10"/>
      <c r="K192" s="11"/>
    </row>
    <row r="193" spans="1:11">
      <c r="A193" s="10"/>
      <c r="B193" s="10"/>
      <c r="C193" s="10"/>
      <c r="D193" s="11"/>
      <c r="E193" s="11"/>
      <c r="F193" s="11"/>
      <c r="G193" s="11"/>
      <c r="H193" s="10"/>
      <c r="I193" s="10"/>
      <c r="J193" s="10"/>
      <c r="K193" s="11"/>
    </row>
    <row r="194" spans="1:11">
      <c r="A194" s="10"/>
      <c r="B194" s="10"/>
      <c r="C194" s="10"/>
      <c r="D194" s="11"/>
      <c r="E194" s="11"/>
      <c r="F194" s="11"/>
      <c r="G194" s="11"/>
      <c r="H194" s="10"/>
      <c r="I194" s="10"/>
      <c r="J194" s="10"/>
      <c r="K194" s="11"/>
    </row>
    <row r="195" spans="1:11">
      <c r="A195" s="10"/>
      <c r="B195" s="10"/>
      <c r="C195" s="10"/>
      <c r="D195" s="11"/>
      <c r="E195" s="11"/>
      <c r="F195" s="11"/>
      <c r="G195" s="11"/>
      <c r="H195" s="10"/>
      <c r="I195" s="10"/>
      <c r="J195" s="10"/>
      <c r="K195" s="11"/>
    </row>
    <row r="196" spans="1:11">
      <c r="A196" s="10"/>
      <c r="B196" s="10"/>
      <c r="C196" s="10"/>
      <c r="D196" s="11"/>
      <c r="E196" s="11"/>
      <c r="F196" s="11"/>
      <c r="G196" s="11"/>
      <c r="H196" s="10"/>
      <c r="I196" s="10"/>
      <c r="J196" s="10"/>
      <c r="K196" s="11"/>
    </row>
    <row r="197" spans="1:11">
      <c r="A197" s="10"/>
      <c r="B197" s="10"/>
      <c r="C197" s="10"/>
      <c r="D197" s="11"/>
      <c r="E197" s="11"/>
      <c r="F197" s="11"/>
      <c r="G197" s="11"/>
      <c r="H197" s="10"/>
      <c r="I197" s="10"/>
      <c r="J197" s="10"/>
      <c r="K197" s="11"/>
    </row>
    <row r="198" spans="1:11">
      <c r="A198" s="10"/>
      <c r="B198" s="10"/>
      <c r="C198" s="10"/>
      <c r="D198" s="11"/>
      <c r="E198" s="11"/>
      <c r="F198" s="11"/>
      <c r="G198" s="11"/>
      <c r="H198" s="10"/>
      <c r="I198" s="10"/>
      <c r="J198" s="10"/>
      <c r="K198" s="11"/>
    </row>
    <row r="199" spans="1:11">
      <c r="A199" s="10"/>
      <c r="B199" s="10"/>
      <c r="C199" s="10"/>
      <c r="D199" s="11"/>
      <c r="E199" s="11"/>
      <c r="F199" s="11"/>
      <c r="G199" s="11"/>
      <c r="H199" s="10"/>
      <c r="I199" s="10"/>
      <c r="J199" s="10"/>
      <c r="K199" s="11"/>
    </row>
    <row r="200" spans="1:11">
      <c r="A200" s="10"/>
      <c r="B200" s="10"/>
      <c r="C200" s="10"/>
      <c r="D200" s="11"/>
      <c r="E200" s="11"/>
      <c r="F200" s="11"/>
      <c r="G200" s="11"/>
      <c r="H200" s="10"/>
      <c r="I200" s="10"/>
      <c r="J200" s="10"/>
      <c r="K200" s="11"/>
    </row>
    <row r="201" spans="1:11">
      <c r="A201" s="10"/>
      <c r="B201" s="10"/>
      <c r="C201" s="10"/>
      <c r="D201" s="11"/>
      <c r="E201" s="11"/>
      <c r="F201" s="11"/>
      <c r="G201" s="11"/>
      <c r="H201" s="10"/>
      <c r="I201" s="10"/>
      <c r="J201" s="10"/>
      <c r="K201" s="11"/>
    </row>
    <row r="202" spans="1:11">
      <c r="A202" s="10"/>
      <c r="B202" s="10"/>
      <c r="C202" s="10"/>
      <c r="D202" s="11"/>
      <c r="E202" s="11"/>
      <c r="F202" s="11"/>
      <c r="G202" s="11"/>
      <c r="H202" s="10"/>
      <c r="I202" s="10"/>
      <c r="J202" s="10"/>
      <c r="K202" s="11"/>
    </row>
    <row r="203" spans="1:11">
      <c r="A203" s="10"/>
      <c r="B203" s="10"/>
      <c r="C203" s="10"/>
      <c r="D203" s="11"/>
      <c r="E203" s="11"/>
      <c r="F203" s="11"/>
      <c r="G203" s="11"/>
      <c r="H203" s="10"/>
      <c r="I203" s="10"/>
      <c r="J203" s="10"/>
      <c r="K203" s="11"/>
    </row>
    <row r="204" spans="1:11">
      <c r="A204" s="10"/>
      <c r="B204" s="10"/>
      <c r="C204" s="10"/>
      <c r="D204" s="11"/>
      <c r="E204" s="11"/>
      <c r="F204" s="11"/>
      <c r="G204" s="11"/>
      <c r="H204" s="10"/>
      <c r="I204" s="10"/>
      <c r="J204" s="10"/>
      <c r="K204" s="11"/>
    </row>
    <row r="205" spans="1:11">
      <c r="A205" s="10"/>
      <c r="B205" s="10"/>
      <c r="C205" s="10"/>
      <c r="D205" s="11"/>
      <c r="E205" s="11"/>
      <c r="F205" s="11"/>
      <c r="G205" s="11"/>
      <c r="H205" s="10"/>
      <c r="I205" s="10"/>
      <c r="J205" s="10"/>
      <c r="K205" s="11"/>
    </row>
    <row r="206" spans="1:11">
      <c r="A206" s="10"/>
      <c r="B206" s="10"/>
      <c r="C206" s="10"/>
      <c r="D206" s="11"/>
      <c r="E206" s="11"/>
      <c r="F206" s="11"/>
      <c r="G206" s="11"/>
      <c r="H206" s="10"/>
      <c r="I206" s="10"/>
      <c r="J206" s="10"/>
      <c r="K206" s="11"/>
    </row>
    <row r="207" spans="1:11">
      <c r="A207" s="10"/>
      <c r="B207" s="10"/>
      <c r="C207" s="10"/>
      <c r="D207" s="11"/>
      <c r="E207" s="11"/>
      <c r="F207" s="11"/>
      <c r="G207" s="11"/>
      <c r="H207" s="10"/>
      <c r="I207" s="10"/>
      <c r="J207" s="10"/>
      <c r="K207" s="11"/>
    </row>
    <row r="208" spans="1:11">
      <c r="A208" s="10"/>
      <c r="B208" s="10"/>
      <c r="C208" s="10"/>
      <c r="D208" s="11"/>
      <c r="E208" s="11"/>
      <c r="F208" s="11"/>
      <c r="G208" s="11"/>
      <c r="H208" s="10"/>
      <c r="I208" s="10"/>
      <c r="J208" s="10"/>
      <c r="K208" s="11"/>
    </row>
    <row r="209" spans="1:11">
      <c r="A209" s="10"/>
      <c r="B209" s="10"/>
      <c r="C209" s="10"/>
      <c r="D209" s="11"/>
      <c r="E209" s="11"/>
      <c r="F209" s="11"/>
      <c r="G209" s="11"/>
      <c r="H209" s="10"/>
      <c r="I209" s="10"/>
      <c r="J209" s="10"/>
      <c r="K209" s="11"/>
    </row>
    <row r="210" spans="1:11">
      <c r="A210" s="10"/>
      <c r="B210" s="10"/>
      <c r="C210" s="10"/>
      <c r="D210" s="11"/>
      <c r="E210" s="11"/>
      <c r="F210" s="11"/>
      <c r="G210" s="11"/>
      <c r="H210" s="10"/>
      <c r="I210" s="10"/>
      <c r="J210" s="10"/>
      <c r="K210" s="11"/>
    </row>
    <row r="211" spans="1:11">
      <c r="A211" s="10"/>
      <c r="B211" s="10"/>
      <c r="C211" s="10"/>
      <c r="D211" s="11"/>
      <c r="E211" s="11"/>
      <c r="F211" s="11"/>
      <c r="G211" s="11"/>
      <c r="H211" s="10"/>
      <c r="I211" s="10"/>
      <c r="J211" s="10"/>
      <c r="K211" s="11"/>
    </row>
    <row r="212" spans="1:11">
      <c r="A212" s="10"/>
      <c r="B212" s="10"/>
      <c r="C212" s="10"/>
      <c r="D212" s="11"/>
      <c r="E212" s="11"/>
      <c r="F212" s="11"/>
      <c r="G212" s="11"/>
      <c r="H212" s="10"/>
      <c r="I212" s="10"/>
      <c r="J212" s="10"/>
      <c r="K212" s="11"/>
    </row>
    <row r="213" spans="1:11">
      <c r="A213" s="10"/>
      <c r="B213" s="10"/>
      <c r="C213" s="10"/>
      <c r="D213" s="11"/>
      <c r="E213" s="11"/>
      <c r="F213" s="11"/>
      <c r="G213" s="11"/>
      <c r="H213" s="10"/>
      <c r="I213" s="10"/>
      <c r="J213" s="10"/>
      <c r="K213" s="11"/>
    </row>
    <row r="214" spans="1:11">
      <c r="A214" s="10"/>
      <c r="B214" s="10"/>
      <c r="C214" s="10"/>
      <c r="D214" s="11"/>
      <c r="E214" s="11"/>
      <c r="F214" s="11"/>
      <c r="G214" s="11"/>
      <c r="H214" s="10"/>
      <c r="I214" s="10"/>
      <c r="J214" s="10"/>
      <c r="K214" s="11"/>
    </row>
    <row r="215" spans="1:11">
      <c r="A215" s="10"/>
      <c r="B215" s="10"/>
      <c r="C215" s="10"/>
      <c r="D215" s="11"/>
      <c r="E215" s="11"/>
      <c r="F215" s="11"/>
      <c r="G215" s="11"/>
      <c r="H215" s="10"/>
      <c r="I215" s="10"/>
      <c r="J215" s="10"/>
      <c r="K215" s="11"/>
    </row>
    <row r="216" spans="1:11">
      <c r="A216" s="10"/>
      <c r="B216" s="10"/>
      <c r="C216" s="10"/>
      <c r="D216" s="11"/>
      <c r="E216" s="11"/>
      <c r="F216" s="11"/>
      <c r="G216" s="11"/>
      <c r="H216" s="10"/>
      <c r="I216" s="10"/>
      <c r="J216" s="10"/>
      <c r="K216" s="11"/>
    </row>
    <row r="217" spans="1:11">
      <c r="A217" s="10"/>
      <c r="B217" s="10"/>
      <c r="C217" s="10"/>
      <c r="D217" s="11"/>
      <c r="E217" s="11"/>
      <c r="F217" s="11"/>
      <c r="G217" s="11"/>
      <c r="H217" s="10"/>
      <c r="I217" s="10"/>
      <c r="J217" s="10"/>
      <c r="K217" s="11"/>
    </row>
    <row r="218" spans="1:11">
      <c r="A218" s="10"/>
      <c r="B218" s="10"/>
      <c r="C218" s="10"/>
      <c r="D218" s="11"/>
      <c r="E218" s="11"/>
      <c r="F218" s="11"/>
      <c r="G218" s="11"/>
      <c r="H218" s="10"/>
      <c r="I218" s="10"/>
      <c r="J218" s="10"/>
      <c r="K218" s="11"/>
    </row>
    <row r="219" spans="1:11">
      <c r="A219" s="10"/>
      <c r="B219" s="10"/>
      <c r="C219" s="10"/>
      <c r="D219" s="11"/>
      <c r="E219" s="11"/>
      <c r="F219" s="11"/>
      <c r="G219" s="11"/>
      <c r="H219" s="10"/>
      <c r="I219" s="10"/>
      <c r="J219" s="10"/>
      <c r="K219" s="11"/>
    </row>
    <row r="220" spans="1:11">
      <c r="A220" s="10"/>
      <c r="B220" s="10"/>
      <c r="C220" s="10"/>
      <c r="D220" s="11"/>
      <c r="E220" s="11"/>
      <c r="F220" s="11"/>
      <c r="G220" s="11"/>
      <c r="H220" s="10"/>
      <c r="I220" s="10"/>
      <c r="J220" s="10"/>
      <c r="K220" s="11"/>
    </row>
    <row r="221" spans="1:11">
      <c r="A221" s="10"/>
      <c r="B221" s="10"/>
      <c r="C221" s="10"/>
      <c r="D221" s="11"/>
      <c r="E221" s="11"/>
      <c r="F221" s="11"/>
      <c r="G221" s="11"/>
      <c r="H221" s="10"/>
      <c r="I221" s="10"/>
      <c r="J221" s="10"/>
      <c r="K221" s="11"/>
    </row>
    <row r="222" spans="1:11">
      <c r="A222" s="10"/>
      <c r="B222" s="10"/>
      <c r="C222" s="10"/>
      <c r="D222" s="11"/>
      <c r="E222" s="11"/>
      <c r="F222" s="11"/>
      <c r="G222" s="11"/>
      <c r="H222" s="10"/>
      <c r="I222" s="10"/>
      <c r="J222" s="10"/>
      <c r="K222" s="11"/>
    </row>
    <row r="223" spans="1:11">
      <c r="A223" s="10"/>
      <c r="B223" s="10"/>
      <c r="C223" s="10"/>
      <c r="D223" s="11"/>
      <c r="E223" s="11"/>
      <c r="F223" s="11"/>
      <c r="G223" s="11"/>
      <c r="H223" s="10"/>
      <c r="I223" s="10"/>
      <c r="J223" s="10"/>
      <c r="K223" s="11"/>
    </row>
    <row r="224" spans="1:11">
      <c r="A224" s="10"/>
      <c r="B224" s="10"/>
      <c r="C224" s="10"/>
      <c r="D224" s="11"/>
      <c r="E224" s="11"/>
      <c r="F224" s="11"/>
      <c r="G224" s="11"/>
      <c r="H224" s="10"/>
      <c r="I224" s="10"/>
      <c r="J224" s="10"/>
      <c r="K224" s="11"/>
    </row>
    <row r="225" spans="1:11">
      <c r="A225" s="10"/>
      <c r="B225" s="10"/>
      <c r="C225" s="10"/>
      <c r="D225" s="11"/>
      <c r="E225" s="11"/>
      <c r="F225" s="11"/>
      <c r="G225" s="11"/>
      <c r="H225" s="10"/>
      <c r="I225" s="10"/>
      <c r="J225" s="10"/>
      <c r="K225" s="11"/>
    </row>
    <row r="226" spans="1:11">
      <c r="A226" s="10"/>
      <c r="B226" s="10"/>
      <c r="C226" s="10"/>
      <c r="D226" s="11"/>
      <c r="E226" s="11"/>
      <c r="F226" s="11"/>
      <c r="G226" s="11"/>
      <c r="H226" s="10"/>
      <c r="I226" s="10"/>
      <c r="J226" s="10"/>
      <c r="K226" s="11"/>
    </row>
    <row r="227" spans="1:11">
      <c r="A227" s="10"/>
      <c r="B227" s="10"/>
      <c r="C227" s="10"/>
      <c r="D227" s="11"/>
      <c r="E227" s="11"/>
      <c r="F227" s="11"/>
      <c r="G227" s="11"/>
      <c r="H227" s="10"/>
      <c r="I227" s="10"/>
      <c r="J227" s="10"/>
      <c r="K227" s="11"/>
    </row>
    <row r="228" spans="1:11">
      <c r="A228" s="10"/>
      <c r="B228" s="10"/>
      <c r="C228" s="10"/>
      <c r="D228" s="11"/>
      <c r="E228" s="11"/>
      <c r="F228" s="11"/>
      <c r="G228" s="11"/>
      <c r="H228" s="10"/>
      <c r="I228" s="10"/>
      <c r="J228" s="10"/>
      <c r="K228" s="11"/>
    </row>
    <row r="229" spans="1:11">
      <c r="A229" s="10"/>
      <c r="B229" s="10"/>
      <c r="C229" s="10"/>
      <c r="D229" s="11"/>
      <c r="E229" s="11"/>
      <c r="F229" s="11"/>
      <c r="G229" s="11"/>
      <c r="H229" s="10"/>
      <c r="I229" s="10"/>
      <c r="J229" s="10"/>
      <c r="K229" s="11"/>
    </row>
    <row r="230" spans="1:11">
      <c r="A230" s="10"/>
      <c r="B230" s="10"/>
      <c r="C230" s="10"/>
      <c r="D230" s="11"/>
      <c r="E230" s="11"/>
      <c r="F230" s="11"/>
      <c r="G230" s="11"/>
      <c r="H230" s="10"/>
      <c r="I230" s="10"/>
      <c r="J230" s="10"/>
      <c r="K230" s="11"/>
    </row>
    <row r="231" spans="1:11">
      <c r="A231" s="10"/>
      <c r="B231" s="10"/>
      <c r="C231" s="10"/>
      <c r="D231" s="11"/>
      <c r="E231" s="11"/>
      <c r="F231" s="11"/>
      <c r="G231" s="11"/>
      <c r="H231" s="10"/>
      <c r="I231" s="10"/>
      <c r="J231" s="10"/>
      <c r="K231" s="11"/>
    </row>
    <row r="232" spans="1:11">
      <c r="A232" s="10"/>
      <c r="B232" s="10"/>
      <c r="C232" s="10"/>
      <c r="D232" s="11"/>
      <c r="E232" s="11"/>
      <c r="F232" s="11"/>
      <c r="G232" s="11"/>
      <c r="H232" s="10"/>
      <c r="I232" s="10"/>
      <c r="J232" s="10"/>
      <c r="K232" s="11"/>
    </row>
    <row r="233" spans="1:11">
      <c r="A233" s="10"/>
      <c r="B233" s="10"/>
      <c r="C233" s="10"/>
      <c r="D233" s="11"/>
      <c r="E233" s="11"/>
      <c r="F233" s="11"/>
      <c r="G233" s="11"/>
      <c r="H233" s="10"/>
      <c r="I233" s="10"/>
      <c r="J233" s="10"/>
      <c r="K233" s="11"/>
    </row>
    <row r="234" spans="1:11">
      <c r="A234" s="10"/>
      <c r="B234" s="10"/>
      <c r="C234" s="10"/>
      <c r="D234" s="11"/>
      <c r="E234" s="11"/>
      <c r="F234" s="11"/>
      <c r="G234" s="11"/>
      <c r="H234" s="10"/>
      <c r="I234" s="10"/>
      <c r="J234" s="10"/>
      <c r="K234" s="11"/>
    </row>
    <row r="235" spans="1:11">
      <c r="A235" s="10"/>
      <c r="B235" s="10"/>
      <c r="C235" s="10"/>
      <c r="D235" s="11"/>
      <c r="E235" s="11"/>
      <c r="F235" s="11"/>
      <c r="G235" s="11"/>
      <c r="H235" s="10"/>
      <c r="I235" s="10"/>
      <c r="J235" s="10"/>
      <c r="K235" s="11"/>
    </row>
    <row r="236" spans="1:11">
      <c r="A236" s="10"/>
      <c r="B236" s="10"/>
      <c r="C236" s="10"/>
      <c r="D236" s="11"/>
      <c r="E236" s="11"/>
      <c r="F236" s="11"/>
      <c r="G236" s="11"/>
      <c r="H236" s="10"/>
      <c r="I236" s="10"/>
      <c r="J236" s="10"/>
      <c r="K236" s="11"/>
    </row>
    <row r="237" spans="1:11">
      <c r="A237" s="10"/>
      <c r="B237" s="10"/>
      <c r="C237" s="10"/>
      <c r="D237" s="11"/>
      <c r="E237" s="11"/>
      <c r="F237" s="11"/>
      <c r="G237" s="11"/>
      <c r="H237" s="10"/>
      <c r="I237" s="10"/>
      <c r="J237" s="10"/>
      <c r="K237" s="11"/>
    </row>
    <row r="238" spans="1:11">
      <c r="A238" s="10"/>
      <c r="B238" s="10"/>
      <c r="C238" s="10"/>
      <c r="D238" s="11"/>
      <c r="E238" s="11"/>
      <c r="F238" s="11"/>
      <c r="G238" s="11"/>
      <c r="H238" s="10"/>
      <c r="I238" s="10"/>
      <c r="J238" s="10"/>
      <c r="K238" s="11"/>
    </row>
    <row r="239" spans="1:11">
      <c r="A239" s="10"/>
      <c r="B239" s="10"/>
      <c r="C239" s="10"/>
      <c r="D239" s="11"/>
      <c r="E239" s="11"/>
      <c r="F239" s="11"/>
      <c r="G239" s="11"/>
      <c r="H239" s="10"/>
      <c r="I239" s="10"/>
      <c r="J239" s="10"/>
      <c r="K239" s="11"/>
    </row>
    <row r="240" spans="1:11">
      <c r="A240" s="10"/>
      <c r="B240" s="10"/>
      <c r="C240" s="10"/>
      <c r="D240" s="11"/>
      <c r="E240" s="11"/>
      <c r="F240" s="11"/>
      <c r="G240" s="11"/>
      <c r="H240" s="10"/>
      <c r="I240" s="10"/>
      <c r="J240" s="10"/>
      <c r="K240" s="11"/>
    </row>
    <row r="241" spans="1:11">
      <c r="A241" s="10"/>
      <c r="B241" s="10"/>
      <c r="C241" s="10"/>
      <c r="D241" s="11"/>
      <c r="E241" s="11"/>
      <c r="F241" s="11"/>
      <c r="G241" s="11"/>
      <c r="H241" s="10"/>
      <c r="I241" s="10"/>
      <c r="J241" s="10"/>
      <c r="K241" s="11"/>
    </row>
    <row r="242" spans="1:11">
      <c r="A242" s="10"/>
      <c r="B242" s="10"/>
      <c r="C242" s="10"/>
      <c r="D242" s="11"/>
      <c r="E242" s="11"/>
      <c r="F242" s="11"/>
      <c r="G242" s="11"/>
      <c r="H242" s="10"/>
      <c r="I242" s="10"/>
      <c r="J242" s="10"/>
      <c r="K242" s="11"/>
    </row>
    <row r="243" spans="1:11">
      <c r="A243" s="10"/>
      <c r="B243" s="10"/>
      <c r="C243" s="10"/>
      <c r="D243" s="11"/>
      <c r="E243" s="11"/>
      <c r="F243" s="11"/>
      <c r="G243" s="11"/>
      <c r="H243" s="10"/>
      <c r="I243" s="10"/>
      <c r="J243" s="10"/>
      <c r="K243" s="11"/>
    </row>
    <row r="244" spans="1:11">
      <c r="A244" s="10"/>
      <c r="B244" s="10"/>
      <c r="C244" s="10"/>
      <c r="D244" s="11"/>
      <c r="E244" s="11"/>
      <c r="F244" s="11"/>
      <c r="G244" s="11"/>
      <c r="H244" s="10"/>
      <c r="I244" s="10"/>
      <c r="J244" s="10"/>
      <c r="K244" s="11"/>
    </row>
    <row r="245" spans="1:11">
      <c r="A245" s="10"/>
      <c r="B245" s="10"/>
      <c r="C245" s="10"/>
      <c r="D245" s="11"/>
      <c r="E245" s="11"/>
      <c r="F245" s="11"/>
      <c r="G245" s="11"/>
      <c r="H245" s="10"/>
      <c r="I245" s="10"/>
      <c r="J245" s="10"/>
      <c r="K245" s="11"/>
    </row>
    <row r="246" spans="1:11">
      <c r="A246" s="10"/>
      <c r="B246" s="10"/>
      <c r="C246" s="10"/>
      <c r="D246" s="11"/>
      <c r="E246" s="11"/>
      <c r="F246" s="11"/>
      <c r="G246" s="11"/>
      <c r="H246" s="10"/>
      <c r="I246" s="10"/>
      <c r="J246" s="10"/>
      <c r="K246" s="11"/>
    </row>
    <row r="247" spans="1:11">
      <c r="A247" s="10"/>
      <c r="B247" s="10"/>
      <c r="C247" s="10"/>
      <c r="D247" s="11"/>
      <c r="E247" s="11"/>
      <c r="F247" s="11"/>
      <c r="G247" s="11"/>
      <c r="H247" s="10"/>
      <c r="I247" s="10"/>
      <c r="J247" s="10"/>
      <c r="K247" s="11"/>
    </row>
    <row r="248" spans="1:11">
      <c r="A248" s="10"/>
      <c r="B248" s="10"/>
      <c r="C248" s="10"/>
      <c r="D248" s="11"/>
      <c r="E248" s="11"/>
      <c r="F248" s="11"/>
      <c r="G248" s="11"/>
      <c r="H248" s="10"/>
      <c r="I248" s="10"/>
      <c r="J248" s="10"/>
      <c r="K248" s="11"/>
    </row>
    <row r="249" spans="1:11">
      <c r="A249" s="10"/>
      <c r="B249" s="10"/>
      <c r="C249" s="10"/>
      <c r="D249" s="11"/>
      <c r="E249" s="11"/>
      <c r="F249" s="11"/>
      <c r="G249" s="11"/>
      <c r="H249" s="10"/>
      <c r="I249" s="10"/>
      <c r="J249" s="10"/>
      <c r="K249" s="11"/>
    </row>
    <row r="250" spans="1:11">
      <c r="A250" s="10"/>
      <c r="B250" s="10"/>
      <c r="C250" s="10"/>
      <c r="D250" s="11"/>
      <c r="E250" s="11"/>
      <c r="F250" s="11"/>
      <c r="G250" s="11"/>
      <c r="H250" s="10"/>
      <c r="I250" s="10"/>
      <c r="J250" s="10"/>
      <c r="K250" s="11"/>
    </row>
  </sheetData>
  <mergeCells count="2">
    <mergeCell ref="A2:K2"/>
    <mergeCell ref="A1:K1"/>
  </mergeCells>
  <dataValidations count="3">
    <dataValidation type="list" allowBlank="1" sqref="B4:B250" xr:uid="{00000000-0002-0000-0800-000000000000}">
      <formula1>TechIDs</formula1>
    </dataValidation>
    <dataValidation type="list" allowBlank="1" sqref="H4:H250" xr:uid="{00000000-0002-0000-0800-000001000000}">
      <formula1>FaseSviluppo</formula1>
    </dataValidation>
    <dataValidation type="list" allowBlank="1" sqref="I4:I250" xr:uid="{00000000-0002-0000-0800-000002000000}">
      <formula1>SourceIDs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F766E"/>
  </sheetPr>
  <dimension ref="A1:M250"/>
  <sheetViews>
    <sheetView showGridLines="0" workbookViewId="0">
      <selection activeCell="G10" sqref="G10"/>
    </sheetView>
  </sheetViews>
  <sheetFormatPr defaultRowHeight="14.45"/>
  <cols>
    <col min="1" max="1" width="14" customWidth="1"/>
    <col min="2" max="2" width="10" customWidth="1"/>
    <col min="3" max="3" width="22" customWidth="1"/>
    <col min="4" max="4" width="16" customWidth="1"/>
    <col min="5" max="5" width="18" customWidth="1"/>
    <col min="6" max="6" width="28" customWidth="1"/>
    <col min="7" max="7" width="40" customWidth="1"/>
    <col min="8" max="8" width="24" customWidth="1"/>
    <col min="9" max="9" width="30" customWidth="1"/>
    <col min="10" max="10" width="12" customWidth="1"/>
    <col min="11" max="12" width="16" customWidth="1"/>
    <col min="13" max="13" width="26" customWidth="1"/>
  </cols>
  <sheetData>
    <row r="1" spans="1:13" ht="24" customHeight="1">
      <c r="A1" s="28" t="s">
        <v>1419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36" customHeight="1">
      <c r="A2" s="29" t="s">
        <v>1420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27.95" customHeight="1">
      <c r="A3" s="9" t="s">
        <v>203</v>
      </c>
      <c r="B3" s="9" t="s">
        <v>64</v>
      </c>
      <c r="C3" s="9" t="s">
        <v>23</v>
      </c>
      <c r="D3" s="9" t="s">
        <v>1421</v>
      </c>
      <c r="E3" s="9" t="s">
        <v>1422</v>
      </c>
      <c r="F3" s="9" t="s">
        <v>1423</v>
      </c>
      <c r="G3" s="9" t="s">
        <v>1025</v>
      </c>
      <c r="H3" s="9" t="s">
        <v>1424</v>
      </c>
      <c r="I3" s="9" t="s">
        <v>1027</v>
      </c>
      <c r="J3" s="9" t="s">
        <v>1061</v>
      </c>
      <c r="K3" s="9" t="s">
        <v>1425</v>
      </c>
      <c r="L3" s="9" t="s">
        <v>1426</v>
      </c>
      <c r="M3" s="9" t="s">
        <v>1062</v>
      </c>
    </row>
    <row r="4" spans="1:13" ht="43.5" customHeight="1">
      <c r="A4" s="10" t="s">
        <v>1427</v>
      </c>
      <c r="B4" s="10" t="s">
        <v>117</v>
      </c>
      <c r="C4" s="10" t="s">
        <v>118</v>
      </c>
      <c r="D4" s="10"/>
      <c r="E4" s="10" t="s">
        <v>23</v>
      </c>
      <c r="F4" s="11" t="s">
        <v>118</v>
      </c>
      <c r="G4" s="11" t="s">
        <v>1428</v>
      </c>
      <c r="H4" s="11" t="s">
        <v>1429</v>
      </c>
      <c r="I4" s="11" t="s">
        <v>426</v>
      </c>
      <c r="J4" s="10" t="s">
        <v>123</v>
      </c>
      <c r="K4" s="21" t="s">
        <v>1039</v>
      </c>
      <c r="L4" s="10"/>
      <c r="M4" s="11" t="s">
        <v>1430</v>
      </c>
    </row>
    <row r="5" spans="1:13" ht="57.95" customHeight="1">
      <c r="A5" s="10" t="s">
        <v>1431</v>
      </c>
      <c r="B5" s="10" t="s">
        <v>117</v>
      </c>
      <c r="C5" s="10" t="s">
        <v>118</v>
      </c>
      <c r="D5" s="10" t="s">
        <v>200</v>
      </c>
      <c r="E5" s="10" t="s">
        <v>257</v>
      </c>
      <c r="F5" s="11" t="s">
        <v>201</v>
      </c>
      <c r="G5" s="11" t="s">
        <v>1432</v>
      </c>
      <c r="H5" s="11" t="s">
        <v>1433</v>
      </c>
      <c r="I5" s="11" t="s">
        <v>448</v>
      </c>
      <c r="J5" s="10" t="s">
        <v>445</v>
      </c>
      <c r="K5" s="10" t="s">
        <v>1039</v>
      </c>
      <c r="L5" s="10"/>
      <c r="M5" s="11" t="s">
        <v>1434</v>
      </c>
    </row>
    <row r="6" spans="1:13" ht="43.5" customHeight="1">
      <c r="A6" s="10" t="s">
        <v>1435</v>
      </c>
      <c r="B6" s="10" t="s">
        <v>117</v>
      </c>
      <c r="C6" s="10" t="s">
        <v>118</v>
      </c>
      <c r="D6" s="10" t="s">
        <v>1067</v>
      </c>
      <c r="E6" s="10" t="s">
        <v>257</v>
      </c>
      <c r="F6" s="11" t="s">
        <v>1069</v>
      </c>
      <c r="G6" s="11" t="s">
        <v>1436</v>
      </c>
      <c r="H6" s="11" t="s">
        <v>1437</v>
      </c>
      <c r="I6" s="11" t="s">
        <v>515</v>
      </c>
      <c r="J6" s="10" t="s">
        <v>511</v>
      </c>
      <c r="K6" s="10" t="s">
        <v>1039</v>
      </c>
      <c r="L6" s="10"/>
      <c r="M6" s="11" t="s">
        <v>1438</v>
      </c>
    </row>
    <row r="7" spans="1:13" ht="43.5" customHeight="1">
      <c r="A7" s="10" t="s">
        <v>1439</v>
      </c>
      <c r="B7" s="10" t="s">
        <v>117</v>
      </c>
      <c r="C7" s="10" t="s">
        <v>118</v>
      </c>
      <c r="D7" s="10" t="s">
        <v>1073</v>
      </c>
      <c r="E7" s="10" t="s">
        <v>257</v>
      </c>
      <c r="F7" s="11" t="s">
        <v>1075</v>
      </c>
      <c r="G7" s="11" t="s">
        <v>1440</v>
      </c>
      <c r="H7" s="11" t="s">
        <v>1441</v>
      </c>
      <c r="I7" s="11" t="s">
        <v>437</v>
      </c>
      <c r="J7" s="10" t="s">
        <v>435</v>
      </c>
      <c r="K7" s="10" t="s">
        <v>1039</v>
      </c>
      <c r="L7" s="10"/>
      <c r="M7" s="11" t="s">
        <v>1442</v>
      </c>
    </row>
    <row r="8" spans="1:13" ht="43.5" customHeight="1">
      <c r="A8" s="10" t="s">
        <v>1443</v>
      </c>
      <c r="B8" s="10" t="s">
        <v>117</v>
      </c>
      <c r="C8" s="10" t="s">
        <v>118</v>
      </c>
      <c r="D8" s="10" t="s">
        <v>1091</v>
      </c>
      <c r="E8" s="10" t="s">
        <v>257</v>
      </c>
      <c r="F8" s="11" t="s">
        <v>1093</v>
      </c>
      <c r="G8" s="11" t="s">
        <v>1444</v>
      </c>
      <c r="H8" s="11" t="s">
        <v>1445</v>
      </c>
      <c r="I8" s="11" t="s">
        <v>437</v>
      </c>
      <c r="J8" s="10" t="s">
        <v>435</v>
      </c>
      <c r="K8" s="10" t="s">
        <v>1039</v>
      </c>
      <c r="L8" s="10"/>
      <c r="M8" s="11" t="s">
        <v>1446</v>
      </c>
    </row>
    <row r="9" spans="1:13" ht="43.5" customHeight="1">
      <c r="A9" s="10" t="s">
        <v>1447</v>
      </c>
      <c r="B9" s="10" t="s">
        <v>117</v>
      </c>
      <c r="C9" s="10" t="s">
        <v>118</v>
      </c>
      <c r="D9" s="10" t="s">
        <v>1103</v>
      </c>
      <c r="E9" s="10" t="s">
        <v>257</v>
      </c>
      <c r="F9" s="11" t="s">
        <v>1105</v>
      </c>
      <c r="G9" s="11" t="s">
        <v>1448</v>
      </c>
      <c r="H9" s="11" t="s">
        <v>1449</v>
      </c>
      <c r="I9" s="11" t="s">
        <v>455</v>
      </c>
      <c r="J9" s="10" t="s">
        <v>451</v>
      </c>
      <c r="K9" s="10" t="s">
        <v>1039</v>
      </c>
      <c r="L9" s="10"/>
      <c r="M9" s="11" t="s">
        <v>1450</v>
      </c>
    </row>
    <row r="10" spans="1:13" ht="57.95" customHeight="1">
      <c r="A10" s="10" t="s">
        <v>1451</v>
      </c>
      <c r="B10" s="10" t="s">
        <v>117</v>
      </c>
      <c r="C10" s="10" t="s">
        <v>118</v>
      </c>
      <c r="D10" s="10" t="s">
        <v>1110</v>
      </c>
      <c r="E10" s="10" t="s">
        <v>282</v>
      </c>
      <c r="F10" s="11" t="s">
        <v>1112</v>
      </c>
      <c r="G10" s="11" t="s">
        <v>1452</v>
      </c>
      <c r="H10" s="11" t="s">
        <v>1453</v>
      </c>
      <c r="I10" s="11" t="s">
        <v>508</v>
      </c>
      <c r="J10" s="10" t="s">
        <v>505</v>
      </c>
      <c r="K10" s="10" t="s">
        <v>1039</v>
      </c>
      <c r="L10" s="10"/>
      <c r="M10" s="11" t="s">
        <v>1454</v>
      </c>
    </row>
    <row r="11" spans="1:13" ht="57.95" customHeight="1">
      <c r="A11" s="10" t="s">
        <v>1455</v>
      </c>
      <c r="B11" s="10" t="s">
        <v>131</v>
      </c>
      <c r="C11" s="10" t="s">
        <v>132</v>
      </c>
      <c r="D11" s="10"/>
      <c r="E11" s="10" t="s">
        <v>23</v>
      </c>
      <c r="F11" s="11" t="s">
        <v>132</v>
      </c>
      <c r="G11" s="11" t="s">
        <v>1456</v>
      </c>
      <c r="H11" s="11" t="s">
        <v>1457</v>
      </c>
      <c r="I11" s="11" t="s">
        <v>548</v>
      </c>
      <c r="J11" s="10" t="s">
        <v>135</v>
      </c>
      <c r="K11" s="10" t="s">
        <v>1039</v>
      </c>
      <c r="L11" s="10"/>
      <c r="M11" s="11" t="s">
        <v>1430</v>
      </c>
    </row>
    <row r="12" spans="1:13" ht="43.5" customHeight="1">
      <c r="A12" s="10" t="s">
        <v>1458</v>
      </c>
      <c r="B12" s="10" t="s">
        <v>131</v>
      </c>
      <c r="C12" s="10" t="s">
        <v>132</v>
      </c>
      <c r="D12" s="10" t="s">
        <v>1144</v>
      </c>
      <c r="E12" s="10" t="s">
        <v>257</v>
      </c>
      <c r="F12" s="11" t="s">
        <v>1146</v>
      </c>
      <c r="G12" s="11" t="s">
        <v>1459</v>
      </c>
      <c r="H12" s="11" t="s">
        <v>1460</v>
      </c>
      <c r="I12" s="11" t="s">
        <v>627</v>
      </c>
      <c r="J12" s="10" t="s">
        <v>623</v>
      </c>
      <c r="K12" s="10" t="s">
        <v>1039</v>
      </c>
      <c r="L12" s="10"/>
      <c r="M12" s="11" t="s">
        <v>1461</v>
      </c>
    </row>
    <row r="13" spans="1:13" ht="43.5" customHeight="1">
      <c r="A13" s="10" t="s">
        <v>1462</v>
      </c>
      <c r="B13" s="10" t="s">
        <v>131</v>
      </c>
      <c r="C13" s="10" t="s">
        <v>132</v>
      </c>
      <c r="D13" s="10" t="s">
        <v>1150</v>
      </c>
      <c r="E13" s="10" t="s">
        <v>257</v>
      </c>
      <c r="F13" s="11" t="s">
        <v>1152</v>
      </c>
      <c r="G13" s="11" t="s">
        <v>1463</v>
      </c>
      <c r="H13" s="11" t="s">
        <v>1460</v>
      </c>
      <c r="I13" s="11" t="s">
        <v>620</v>
      </c>
      <c r="J13" s="10" t="s">
        <v>617</v>
      </c>
      <c r="K13" s="10" t="s">
        <v>1039</v>
      </c>
      <c r="L13" s="10"/>
      <c r="M13" s="11" t="s">
        <v>1464</v>
      </c>
    </row>
    <row r="14" spans="1:13" ht="43.5" customHeight="1">
      <c r="A14" s="10" t="s">
        <v>1465</v>
      </c>
      <c r="B14" s="10" t="s">
        <v>131</v>
      </c>
      <c r="C14" s="10" t="s">
        <v>132</v>
      </c>
      <c r="D14" s="10" t="s">
        <v>1162</v>
      </c>
      <c r="E14" s="10" t="s">
        <v>257</v>
      </c>
      <c r="F14" s="11" t="s">
        <v>1164</v>
      </c>
      <c r="G14" s="11" t="s">
        <v>1466</v>
      </c>
      <c r="H14" s="11" t="s">
        <v>1467</v>
      </c>
      <c r="I14" s="11" t="s">
        <v>569</v>
      </c>
      <c r="J14" s="10" t="s">
        <v>566</v>
      </c>
      <c r="K14" s="10" t="s">
        <v>1039</v>
      </c>
      <c r="L14" s="10"/>
      <c r="M14" s="11" t="s">
        <v>1468</v>
      </c>
    </row>
    <row r="15" spans="1:13" ht="43.5" customHeight="1">
      <c r="A15" s="10" t="s">
        <v>1469</v>
      </c>
      <c r="B15" s="10" t="s">
        <v>131</v>
      </c>
      <c r="C15" s="10" t="s">
        <v>132</v>
      </c>
      <c r="D15" s="10" t="s">
        <v>1168</v>
      </c>
      <c r="E15" s="10" t="s">
        <v>257</v>
      </c>
      <c r="F15" s="11" t="s">
        <v>1170</v>
      </c>
      <c r="G15" s="11" t="s">
        <v>1470</v>
      </c>
      <c r="H15" s="11" t="s">
        <v>1169</v>
      </c>
      <c r="I15" s="11" t="s">
        <v>608</v>
      </c>
      <c r="J15" s="10" t="s">
        <v>605</v>
      </c>
      <c r="K15" s="10" t="s">
        <v>1039</v>
      </c>
      <c r="L15" s="10"/>
      <c r="M15" s="11" t="s">
        <v>1471</v>
      </c>
    </row>
    <row r="16" spans="1:13" ht="43.5" customHeight="1">
      <c r="A16" s="10" t="s">
        <v>1472</v>
      </c>
      <c r="B16" s="10" t="s">
        <v>131</v>
      </c>
      <c r="C16" s="10" t="s">
        <v>132</v>
      </c>
      <c r="D16" s="10" t="s">
        <v>1174</v>
      </c>
      <c r="E16" s="10" t="s">
        <v>257</v>
      </c>
      <c r="F16" s="11" t="s">
        <v>1176</v>
      </c>
      <c r="G16" s="11" t="s">
        <v>1473</v>
      </c>
      <c r="H16" s="11" t="s">
        <v>1460</v>
      </c>
      <c r="I16" s="11" t="s">
        <v>563</v>
      </c>
      <c r="J16" s="10" t="s">
        <v>560</v>
      </c>
      <c r="K16" s="10" t="s">
        <v>1039</v>
      </c>
      <c r="L16" s="10"/>
      <c r="M16" s="11" t="s">
        <v>1474</v>
      </c>
    </row>
    <row r="17" spans="1:13" ht="57.95" customHeight="1">
      <c r="A17" s="10" t="s">
        <v>1475</v>
      </c>
      <c r="B17" s="10" t="s">
        <v>161</v>
      </c>
      <c r="C17" s="10" t="s">
        <v>162</v>
      </c>
      <c r="D17" s="10"/>
      <c r="E17" s="10" t="s">
        <v>23</v>
      </c>
      <c r="F17" s="11" t="s">
        <v>162</v>
      </c>
      <c r="G17" s="11" t="s">
        <v>1476</v>
      </c>
      <c r="H17" s="11" t="s">
        <v>1477</v>
      </c>
      <c r="I17" s="11" t="s">
        <v>631</v>
      </c>
      <c r="J17" s="10" t="s">
        <v>169</v>
      </c>
      <c r="K17" s="10" t="s">
        <v>1039</v>
      </c>
      <c r="L17" s="10"/>
      <c r="M17" s="11" t="s">
        <v>1430</v>
      </c>
    </row>
    <row r="18" spans="1:13" ht="43.5" customHeight="1">
      <c r="A18" s="10" t="s">
        <v>1478</v>
      </c>
      <c r="B18" s="10" t="s">
        <v>161</v>
      </c>
      <c r="C18" s="10" t="s">
        <v>162</v>
      </c>
      <c r="D18" s="10" t="s">
        <v>1126</v>
      </c>
      <c r="E18" s="10" t="s">
        <v>257</v>
      </c>
      <c r="F18" s="11" t="s">
        <v>1128</v>
      </c>
      <c r="G18" s="11" t="s">
        <v>1479</v>
      </c>
      <c r="H18" s="11" t="s">
        <v>1480</v>
      </c>
      <c r="I18" s="11" t="s">
        <v>668</v>
      </c>
      <c r="J18" s="10" t="s">
        <v>666</v>
      </c>
      <c r="K18" s="10" t="s">
        <v>1039</v>
      </c>
      <c r="L18" s="10"/>
      <c r="M18" s="11" t="s">
        <v>1481</v>
      </c>
    </row>
    <row r="19" spans="1:13" ht="43.5" customHeight="1">
      <c r="A19" s="10" t="s">
        <v>1482</v>
      </c>
      <c r="B19" s="10" t="s">
        <v>161</v>
      </c>
      <c r="C19" s="10" t="s">
        <v>162</v>
      </c>
      <c r="D19" s="10" t="s">
        <v>1132</v>
      </c>
      <c r="E19" s="10" t="s">
        <v>257</v>
      </c>
      <c r="F19" s="11" t="s">
        <v>1133</v>
      </c>
      <c r="G19" s="11" t="s">
        <v>1483</v>
      </c>
      <c r="H19" s="11" t="s">
        <v>1484</v>
      </c>
      <c r="I19" s="11" t="s">
        <v>641</v>
      </c>
      <c r="J19" s="10" t="s">
        <v>639</v>
      </c>
      <c r="K19" s="10" t="s">
        <v>1039</v>
      </c>
      <c r="L19" s="10"/>
      <c r="M19" s="11" t="s">
        <v>1485</v>
      </c>
    </row>
    <row r="20" spans="1:13" ht="43.5" customHeight="1">
      <c r="A20" s="10" t="s">
        <v>1486</v>
      </c>
      <c r="B20" s="10" t="s">
        <v>161</v>
      </c>
      <c r="C20" s="10" t="s">
        <v>162</v>
      </c>
      <c r="D20" s="10" t="s">
        <v>1137</v>
      </c>
      <c r="E20" s="10" t="s">
        <v>257</v>
      </c>
      <c r="F20" s="11" t="s">
        <v>1139</v>
      </c>
      <c r="G20" s="11" t="s">
        <v>1487</v>
      </c>
      <c r="H20" s="11" t="s">
        <v>1488</v>
      </c>
      <c r="I20" s="11" t="s">
        <v>668</v>
      </c>
      <c r="J20" s="10" t="s">
        <v>666</v>
      </c>
      <c r="K20" s="10" t="s">
        <v>1039</v>
      </c>
      <c r="L20" s="10"/>
      <c r="M20" s="11" t="s">
        <v>1489</v>
      </c>
    </row>
    <row r="21" spans="1:13" ht="43.5" customHeight="1">
      <c r="A21" s="10" t="s">
        <v>1490</v>
      </c>
      <c r="B21" s="10" t="s">
        <v>161</v>
      </c>
      <c r="C21" s="10" t="s">
        <v>162</v>
      </c>
      <c r="D21" s="10" t="s">
        <v>1207</v>
      </c>
      <c r="E21" s="10" t="s">
        <v>257</v>
      </c>
      <c r="F21" s="11" t="s">
        <v>1209</v>
      </c>
      <c r="G21" s="11" t="s">
        <v>1491</v>
      </c>
      <c r="H21" s="11" t="s">
        <v>1492</v>
      </c>
      <c r="I21" s="11" t="s">
        <v>636</v>
      </c>
      <c r="J21" s="10" t="s">
        <v>634</v>
      </c>
      <c r="K21" s="10" t="s">
        <v>1039</v>
      </c>
      <c r="L21" s="10"/>
      <c r="M21" s="11" t="s">
        <v>1493</v>
      </c>
    </row>
    <row r="22" spans="1:13" ht="43.5" customHeight="1">
      <c r="A22" s="10" t="s">
        <v>1494</v>
      </c>
      <c r="B22" s="10" t="s">
        <v>161</v>
      </c>
      <c r="C22" s="10" t="s">
        <v>162</v>
      </c>
      <c r="D22" s="10" t="s">
        <v>1219</v>
      </c>
      <c r="E22" s="10" t="s">
        <v>257</v>
      </c>
      <c r="F22" s="11" t="s">
        <v>1221</v>
      </c>
      <c r="G22" s="11" t="s">
        <v>1495</v>
      </c>
      <c r="H22" s="11" t="s">
        <v>1496</v>
      </c>
      <c r="I22" s="11" t="s">
        <v>636</v>
      </c>
      <c r="J22" s="10" t="s">
        <v>634</v>
      </c>
      <c r="K22" s="10" t="s">
        <v>1039</v>
      </c>
      <c r="L22" s="10"/>
      <c r="M22" s="11" t="s">
        <v>1497</v>
      </c>
    </row>
    <row r="23" spans="1:13" ht="72.599999999999994" customHeight="1">
      <c r="A23" s="10" t="s">
        <v>1498</v>
      </c>
      <c r="B23" s="10" t="s">
        <v>90</v>
      </c>
      <c r="C23" s="10" t="s">
        <v>91</v>
      </c>
      <c r="D23" s="10"/>
      <c r="E23" s="10" t="s">
        <v>23</v>
      </c>
      <c r="F23" s="11" t="s">
        <v>91</v>
      </c>
      <c r="G23" s="11" t="s">
        <v>1032</v>
      </c>
      <c r="H23" s="11" t="s">
        <v>1499</v>
      </c>
      <c r="I23" s="11" t="s">
        <v>779</v>
      </c>
      <c r="J23" s="10" t="s">
        <v>100</v>
      </c>
      <c r="K23" s="10"/>
      <c r="L23" s="10"/>
      <c r="M23" s="11"/>
    </row>
    <row r="24" spans="1:13" ht="29.1" customHeight="1">
      <c r="A24" s="10" t="s">
        <v>1500</v>
      </c>
      <c r="B24" s="10" t="s">
        <v>90</v>
      </c>
      <c r="C24" s="10" t="s">
        <v>91</v>
      </c>
      <c r="D24" s="10" t="s">
        <v>1186</v>
      </c>
      <c r="E24" s="10" t="s">
        <v>257</v>
      </c>
      <c r="F24" s="11" t="s">
        <v>1188</v>
      </c>
      <c r="G24" s="11" t="s">
        <v>1189</v>
      </c>
      <c r="H24" s="11" t="s">
        <v>1190</v>
      </c>
      <c r="I24" s="11" t="s">
        <v>779</v>
      </c>
      <c r="J24" s="10" t="s">
        <v>100</v>
      </c>
      <c r="K24" s="10"/>
      <c r="L24" s="10"/>
      <c r="M24" s="11"/>
    </row>
    <row r="25" spans="1:13" ht="43.5" customHeight="1">
      <c r="A25" s="10" t="s">
        <v>1501</v>
      </c>
      <c r="B25" s="10" t="s">
        <v>90</v>
      </c>
      <c r="C25" s="10" t="s">
        <v>91</v>
      </c>
      <c r="D25" s="10" t="s">
        <v>1191</v>
      </c>
      <c r="E25" s="10" t="s">
        <v>257</v>
      </c>
      <c r="F25" s="11" t="s">
        <v>1193</v>
      </c>
      <c r="G25" s="11" t="s">
        <v>1194</v>
      </c>
      <c r="H25" s="11" t="s">
        <v>1195</v>
      </c>
      <c r="I25" s="11" t="s">
        <v>779</v>
      </c>
      <c r="J25" s="10" t="s">
        <v>769</v>
      </c>
      <c r="K25" s="10"/>
      <c r="L25" s="10"/>
      <c r="M25" s="11"/>
    </row>
    <row r="26" spans="1:13" ht="29.1" customHeight="1">
      <c r="A26" s="10" t="s">
        <v>1502</v>
      </c>
      <c r="B26" s="10" t="s">
        <v>90</v>
      </c>
      <c r="C26" s="10" t="s">
        <v>91</v>
      </c>
      <c r="D26" s="10" t="s">
        <v>1196</v>
      </c>
      <c r="E26" s="10" t="s">
        <v>257</v>
      </c>
      <c r="F26" s="11" t="s">
        <v>1198</v>
      </c>
      <c r="G26" s="11" t="s">
        <v>1199</v>
      </c>
      <c r="H26" s="11" t="s">
        <v>1200</v>
      </c>
      <c r="I26" s="11" t="s">
        <v>779</v>
      </c>
      <c r="J26" s="10" t="s">
        <v>769</v>
      </c>
      <c r="K26" s="10"/>
      <c r="L26" s="10"/>
      <c r="M26" s="11"/>
    </row>
    <row r="27" spans="1:13" ht="29.1" customHeight="1">
      <c r="A27" s="10" t="s">
        <v>1503</v>
      </c>
      <c r="B27" s="10" t="s">
        <v>90</v>
      </c>
      <c r="C27" s="10" t="s">
        <v>91</v>
      </c>
      <c r="D27" s="10" t="s">
        <v>1225</v>
      </c>
      <c r="E27" s="10" t="s">
        <v>257</v>
      </c>
      <c r="F27" s="11" t="s">
        <v>1227</v>
      </c>
      <c r="G27" s="11" t="s">
        <v>1228</v>
      </c>
      <c r="H27" s="11" t="s">
        <v>1229</v>
      </c>
      <c r="I27" s="11" t="s">
        <v>779</v>
      </c>
      <c r="J27" s="10" t="s">
        <v>769</v>
      </c>
      <c r="K27" s="10"/>
      <c r="L27" s="10"/>
      <c r="M27" s="11"/>
    </row>
    <row r="28" spans="1:13" ht="29.1" customHeight="1">
      <c r="A28" s="10" t="s">
        <v>1504</v>
      </c>
      <c r="B28" s="10" t="s">
        <v>90</v>
      </c>
      <c r="C28" s="10" t="s">
        <v>91</v>
      </c>
      <c r="D28" s="10" t="s">
        <v>1230</v>
      </c>
      <c r="E28" s="10" t="s">
        <v>257</v>
      </c>
      <c r="F28" s="11" t="s">
        <v>1232</v>
      </c>
      <c r="G28" s="11" t="s">
        <v>1233</v>
      </c>
      <c r="H28" s="11" t="s">
        <v>1234</v>
      </c>
      <c r="I28" s="11" t="s">
        <v>779</v>
      </c>
      <c r="J28" s="10" t="s">
        <v>1000</v>
      </c>
      <c r="K28" s="10"/>
      <c r="L28" s="10"/>
      <c r="M28" s="11"/>
    </row>
    <row r="29" spans="1:13" ht="72.599999999999994" customHeight="1">
      <c r="A29" s="10" t="s">
        <v>1505</v>
      </c>
      <c r="B29" s="10" t="s">
        <v>102</v>
      </c>
      <c r="C29" s="10" t="s">
        <v>103</v>
      </c>
      <c r="D29" s="10"/>
      <c r="E29" s="10" t="s">
        <v>23</v>
      </c>
      <c r="F29" s="11" t="s">
        <v>103</v>
      </c>
      <c r="G29" s="11" t="s">
        <v>1033</v>
      </c>
      <c r="H29" s="11" t="s">
        <v>1499</v>
      </c>
      <c r="I29" s="11" t="s">
        <v>775</v>
      </c>
      <c r="J29" s="10" t="s">
        <v>107</v>
      </c>
      <c r="K29" s="10"/>
      <c r="L29" s="10"/>
      <c r="M29" s="11"/>
    </row>
    <row r="30" spans="1:13" ht="29.1" customHeight="1">
      <c r="A30" s="10" t="s">
        <v>1506</v>
      </c>
      <c r="B30" s="10" t="s">
        <v>102</v>
      </c>
      <c r="C30" s="10" t="s">
        <v>103</v>
      </c>
      <c r="D30" s="10" t="s">
        <v>1240</v>
      </c>
      <c r="E30" s="10" t="s">
        <v>257</v>
      </c>
      <c r="F30" s="11" t="s">
        <v>1242</v>
      </c>
      <c r="G30" s="11" t="s">
        <v>1243</v>
      </c>
      <c r="H30" s="11" t="s">
        <v>1244</v>
      </c>
      <c r="I30" s="11" t="s">
        <v>775</v>
      </c>
      <c r="J30" s="10" t="s">
        <v>107</v>
      </c>
      <c r="K30" s="10"/>
      <c r="L30" s="10"/>
      <c r="M30" s="11"/>
    </row>
    <row r="31" spans="1:13" ht="43.5" customHeight="1">
      <c r="A31" s="10" t="s">
        <v>1507</v>
      </c>
      <c r="B31" s="10" t="s">
        <v>102</v>
      </c>
      <c r="C31" s="10" t="s">
        <v>103</v>
      </c>
      <c r="D31" s="10" t="s">
        <v>1245</v>
      </c>
      <c r="E31" s="10" t="s">
        <v>257</v>
      </c>
      <c r="F31" s="11" t="s">
        <v>1246</v>
      </c>
      <c r="G31" s="11" t="s">
        <v>1247</v>
      </c>
      <c r="H31" s="11" t="s">
        <v>1248</v>
      </c>
      <c r="I31" s="11" t="s">
        <v>775</v>
      </c>
      <c r="J31" s="10" t="s">
        <v>107</v>
      </c>
      <c r="K31" s="10"/>
      <c r="L31" s="10"/>
      <c r="M31" s="11"/>
    </row>
    <row r="32" spans="1:13" ht="29.1" customHeight="1">
      <c r="A32" s="10" t="s">
        <v>1508</v>
      </c>
      <c r="B32" s="10" t="s">
        <v>102</v>
      </c>
      <c r="C32" s="10" t="s">
        <v>103</v>
      </c>
      <c r="D32" s="10" t="s">
        <v>1249</v>
      </c>
      <c r="E32" s="10" t="s">
        <v>257</v>
      </c>
      <c r="F32" s="11" t="s">
        <v>1251</v>
      </c>
      <c r="G32" s="11" t="s">
        <v>1252</v>
      </c>
      <c r="H32" s="11" t="s">
        <v>1253</v>
      </c>
      <c r="I32" s="11" t="s">
        <v>775</v>
      </c>
      <c r="J32" s="10" t="s">
        <v>976</v>
      </c>
      <c r="K32" s="10"/>
      <c r="L32" s="10"/>
      <c r="M32" s="11"/>
    </row>
    <row r="33" spans="1:13" ht="29.1" customHeight="1">
      <c r="A33" s="10" t="s">
        <v>1509</v>
      </c>
      <c r="B33" s="10" t="s">
        <v>102</v>
      </c>
      <c r="C33" s="10" t="s">
        <v>103</v>
      </c>
      <c r="D33" s="10" t="s">
        <v>1254</v>
      </c>
      <c r="E33" s="10" t="s">
        <v>257</v>
      </c>
      <c r="F33" s="11" t="s">
        <v>1256</v>
      </c>
      <c r="G33" s="11" t="s">
        <v>1257</v>
      </c>
      <c r="H33" s="11" t="s">
        <v>1258</v>
      </c>
      <c r="I33" s="11" t="s">
        <v>775</v>
      </c>
      <c r="J33" s="10" t="s">
        <v>107</v>
      </c>
      <c r="K33" s="10"/>
      <c r="L33" s="10"/>
      <c r="M33" s="11"/>
    </row>
    <row r="34" spans="1:13" ht="29.1" customHeight="1">
      <c r="A34" s="10" t="s">
        <v>1510</v>
      </c>
      <c r="B34" s="10" t="s">
        <v>102</v>
      </c>
      <c r="C34" s="10" t="s">
        <v>103</v>
      </c>
      <c r="D34" s="10" t="s">
        <v>1259</v>
      </c>
      <c r="E34" s="10" t="s">
        <v>257</v>
      </c>
      <c r="F34" s="11" t="s">
        <v>1261</v>
      </c>
      <c r="G34" s="11" t="s">
        <v>1262</v>
      </c>
      <c r="H34" s="11" t="s">
        <v>1263</v>
      </c>
      <c r="I34" s="11" t="s">
        <v>775</v>
      </c>
      <c r="J34" s="10" t="s">
        <v>982</v>
      </c>
      <c r="K34" s="10"/>
      <c r="L34" s="10"/>
      <c r="M34" s="11"/>
    </row>
    <row r="35" spans="1:13" ht="72.599999999999994" customHeight="1">
      <c r="A35" s="10" t="s">
        <v>1511</v>
      </c>
      <c r="B35" s="10" t="s">
        <v>108</v>
      </c>
      <c r="C35" s="10" t="s">
        <v>109</v>
      </c>
      <c r="D35" s="10"/>
      <c r="E35" s="10" t="s">
        <v>23</v>
      </c>
      <c r="F35" s="11" t="s">
        <v>109</v>
      </c>
      <c r="G35" s="11" t="s">
        <v>1035</v>
      </c>
      <c r="H35" s="11" t="s">
        <v>1499</v>
      </c>
      <c r="I35" s="11" t="s">
        <v>766</v>
      </c>
      <c r="J35" s="10" t="s">
        <v>116</v>
      </c>
      <c r="K35" s="10"/>
      <c r="L35" s="10"/>
      <c r="M35" s="11"/>
    </row>
    <row r="36" spans="1:13" ht="29.1" customHeight="1">
      <c r="A36" s="10" t="s">
        <v>1512</v>
      </c>
      <c r="B36" s="10" t="s">
        <v>108</v>
      </c>
      <c r="C36" s="10" t="s">
        <v>109</v>
      </c>
      <c r="D36" s="10" t="s">
        <v>1269</v>
      </c>
      <c r="E36" s="10" t="s">
        <v>257</v>
      </c>
      <c r="F36" s="11" t="s">
        <v>1271</v>
      </c>
      <c r="G36" s="11" t="s">
        <v>1272</v>
      </c>
      <c r="H36" s="11" t="s">
        <v>1273</v>
      </c>
      <c r="I36" s="11" t="s">
        <v>766</v>
      </c>
      <c r="J36" s="10" t="s">
        <v>825</v>
      </c>
      <c r="K36" s="10"/>
      <c r="L36" s="10"/>
      <c r="M36" s="11"/>
    </row>
    <row r="37" spans="1:13" ht="29.1" customHeight="1">
      <c r="A37" s="10" t="s">
        <v>1513</v>
      </c>
      <c r="B37" s="10" t="s">
        <v>108</v>
      </c>
      <c r="C37" s="10" t="s">
        <v>109</v>
      </c>
      <c r="D37" s="10" t="s">
        <v>1274</v>
      </c>
      <c r="E37" s="10" t="s">
        <v>257</v>
      </c>
      <c r="F37" s="11" t="s">
        <v>1275</v>
      </c>
      <c r="G37" s="11" t="s">
        <v>1276</v>
      </c>
      <c r="H37" s="11" t="s">
        <v>1277</v>
      </c>
      <c r="I37" s="11" t="s">
        <v>766</v>
      </c>
      <c r="J37" s="10" t="s">
        <v>769</v>
      </c>
      <c r="K37" s="10"/>
      <c r="L37" s="10"/>
      <c r="M37" s="11"/>
    </row>
    <row r="38" spans="1:13" ht="29.1" customHeight="1">
      <c r="A38" s="10" t="s">
        <v>1514</v>
      </c>
      <c r="B38" s="10" t="s">
        <v>108</v>
      </c>
      <c r="C38" s="10" t="s">
        <v>109</v>
      </c>
      <c r="D38" s="10" t="s">
        <v>1278</v>
      </c>
      <c r="E38" s="10" t="s">
        <v>257</v>
      </c>
      <c r="F38" s="11" t="s">
        <v>1279</v>
      </c>
      <c r="G38" s="11" t="s">
        <v>1280</v>
      </c>
      <c r="H38" s="11" t="s">
        <v>1281</v>
      </c>
      <c r="I38" s="11" t="s">
        <v>766</v>
      </c>
      <c r="J38" s="10" t="s">
        <v>769</v>
      </c>
      <c r="K38" s="10"/>
      <c r="L38" s="10"/>
      <c r="M38" s="11"/>
    </row>
    <row r="39" spans="1:13" ht="29.1" customHeight="1">
      <c r="A39" s="10" t="s">
        <v>1515</v>
      </c>
      <c r="B39" s="10" t="s">
        <v>108</v>
      </c>
      <c r="C39" s="10" t="s">
        <v>109</v>
      </c>
      <c r="D39" s="10" t="s">
        <v>1282</v>
      </c>
      <c r="E39" s="10" t="s">
        <v>257</v>
      </c>
      <c r="F39" s="11" t="s">
        <v>1284</v>
      </c>
      <c r="G39" s="11" t="s">
        <v>1285</v>
      </c>
      <c r="H39" s="11" t="s">
        <v>1286</v>
      </c>
      <c r="I39" s="11" t="s">
        <v>766</v>
      </c>
      <c r="J39" s="10" t="s">
        <v>825</v>
      </c>
      <c r="K39" s="10"/>
      <c r="L39" s="10"/>
      <c r="M39" s="11"/>
    </row>
    <row r="40" spans="1:13" ht="29.1" customHeight="1">
      <c r="A40" s="10" t="s">
        <v>1516</v>
      </c>
      <c r="B40" s="10" t="s">
        <v>108</v>
      </c>
      <c r="C40" s="10" t="s">
        <v>109</v>
      </c>
      <c r="D40" s="10" t="s">
        <v>1287</v>
      </c>
      <c r="E40" s="10" t="s">
        <v>257</v>
      </c>
      <c r="F40" s="11" t="s">
        <v>1288</v>
      </c>
      <c r="G40" s="11" t="s">
        <v>1289</v>
      </c>
      <c r="H40" s="11" t="s">
        <v>1290</v>
      </c>
      <c r="I40" s="11" t="s">
        <v>766</v>
      </c>
      <c r="J40" s="10" t="s">
        <v>965</v>
      </c>
      <c r="K40" s="10"/>
      <c r="L40" s="10"/>
      <c r="M40" s="11"/>
    </row>
    <row r="41" spans="1:13" ht="72.599999999999994" customHeight="1">
      <c r="A41" s="10" t="s">
        <v>1517</v>
      </c>
      <c r="B41" s="10" t="s">
        <v>124</v>
      </c>
      <c r="C41" s="10" t="s">
        <v>125</v>
      </c>
      <c r="D41" s="10"/>
      <c r="E41" s="10" t="s">
        <v>23</v>
      </c>
      <c r="F41" s="11" t="s">
        <v>125</v>
      </c>
      <c r="G41" s="11" t="s">
        <v>1040</v>
      </c>
      <c r="H41" s="11" t="s">
        <v>1499</v>
      </c>
      <c r="I41" s="11" t="s">
        <v>710</v>
      </c>
      <c r="J41" s="10" t="s">
        <v>130</v>
      </c>
      <c r="K41" s="10"/>
      <c r="L41" s="10"/>
      <c r="M41" s="11"/>
    </row>
    <row r="42" spans="1:13" ht="29.1" customHeight="1">
      <c r="A42" s="10" t="s">
        <v>1518</v>
      </c>
      <c r="B42" s="10" t="s">
        <v>124</v>
      </c>
      <c r="C42" s="10" t="s">
        <v>125</v>
      </c>
      <c r="D42" s="10" t="s">
        <v>1079</v>
      </c>
      <c r="E42" s="10" t="s">
        <v>257</v>
      </c>
      <c r="F42" s="11" t="s">
        <v>1081</v>
      </c>
      <c r="G42" s="11" t="s">
        <v>1082</v>
      </c>
      <c r="H42" s="11" t="s">
        <v>1083</v>
      </c>
      <c r="I42" s="11" t="s">
        <v>710</v>
      </c>
      <c r="J42" s="10" t="s">
        <v>130</v>
      </c>
      <c r="K42" s="10"/>
      <c r="L42" s="10"/>
      <c r="M42" s="11"/>
    </row>
    <row r="43" spans="1:13" ht="29.1" customHeight="1">
      <c r="A43" s="10" t="s">
        <v>1519</v>
      </c>
      <c r="B43" s="10" t="s">
        <v>124</v>
      </c>
      <c r="C43" s="10" t="s">
        <v>125</v>
      </c>
      <c r="D43" s="10" t="s">
        <v>1086</v>
      </c>
      <c r="E43" s="10" t="s">
        <v>257</v>
      </c>
      <c r="F43" s="11" t="s">
        <v>1088</v>
      </c>
      <c r="G43" s="11" t="s">
        <v>1089</v>
      </c>
      <c r="H43" s="11" t="s">
        <v>1090</v>
      </c>
      <c r="I43" s="11" t="s">
        <v>710</v>
      </c>
      <c r="J43" s="10" t="s">
        <v>130</v>
      </c>
      <c r="K43" s="10"/>
      <c r="L43" s="10"/>
      <c r="M43" s="11"/>
    </row>
    <row r="44" spans="1:13" ht="29.1" customHeight="1">
      <c r="A44" s="10" t="s">
        <v>1520</v>
      </c>
      <c r="B44" s="10" t="s">
        <v>124</v>
      </c>
      <c r="C44" s="10" t="s">
        <v>125</v>
      </c>
      <c r="D44" s="10" t="s">
        <v>1296</v>
      </c>
      <c r="E44" s="10" t="s">
        <v>257</v>
      </c>
      <c r="F44" s="11" t="s">
        <v>1298</v>
      </c>
      <c r="G44" s="11" t="s">
        <v>1299</v>
      </c>
      <c r="H44" s="11" t="s">
        <v>1300</v>
      </c>
      <c r="I44" s="11" t="s">
        <v>710</v>
      </c>
      <c r="J44" s="10" t="s">
        <v>130</v>
      </c>
      <c r="K44" s="10"/>
      <c r="L44" s="10"/>
      <c r="M44" s="11"/>
    </row>
    <row r="45" spans="1:13" ht="29.1" customHeight="1">
      <c r="A45" s="10" t="s">
        <v>1521</v>
      </c>
      <c r="B45" s="10" t="s">
        <v>124</v>
      </c>
      <c r="C45" s="10" t="s">
        <v>125</v>
      </c>
      <c r="D45" s="10" t="s">
        <v>1301</v>
      </c>
      <c r="E45" s="10" t="s">
        <v>257</v>
      </c>
      <c r="F45" s="11" t="s">
        <v>1303</v>
      </c>
      <c r="G45" s="11" t="s">
        <v>1304</v>
      </c>
      <c r="H45" s="11" t="s">
        <v>1305</v>
      </c>
      <c r="I45" s="11" t="s">
        <v>710</v>
      </c>
      <c r="J45" s="10" t="s">
        <v>130</v>
      </c>
      <c r="K45" s="10"/>
      <c r="L45" s="10"/>
      <c r="M45" s="11"/>
    </row>
    <row r="46" spans="1:13" ht="29.1" customHeight="1">
      <c r="A46" s="10" t="s">
        <v>1522</v>
      </c>
      <c r="B46" s="10" t="s">
        <v>124</v>
      </c>
      <c r="C46" s="10" t="s">
        <v>125</v>
      </c>
      <c r="D46" s="10" t="s">
        <v>1306</v>
      </c>
      <c r="E46" s="10" t="s">
        <v>257</v>
      </c>
      <c r="F46" s="11" t="s">
        <v>1308</v>
      </c>
      <c r="G46" s="11" t="s">
        <v>1309</v>
      </c>
      <c r="H46" s="11" t="s">
        <v>1310</v>
      </c>
      <c r="I46" s="11" t="s">
        <v>710</v>
      </c>
      <c r="J46" s="10" t="s">
        <v>704</v>
      </c>
      <c r="K46" s="10"/>
      <c r="L46" s="10"/>
      <c r="M46" s="11"/>
    </row>
    <row r="47" spans="1:13" ht="72.599999999999994" customHeight="1">
      <c r="A47" s="10" t="s">
        <v>1523</v>
      </c>
      <c r="B47" s="10" t="s">
        <v>136</v>
      </c>
      <c r="C47" s="10" t="s">
        <v>137</v>
      </c>
      <c r="D47" s="10"/>
      <c r="E47" s="10" t="s">
        <v>23</v>
      </c>
      <c r="F47" s="11" t="s">
        <v>137</v>
      </c>
      <c r="G47" s="11" t="s">
        <v>1045</v>
      </c>
      <c r="H47" s="11" t="s">
        <v>1499</v>
      </c>
      <c r="I47" s="11" t="s">
        <v>735</v>
      </c>
      <c r="J47" s="10" t="s">
        <v>142</v>
      </c>
      <c r="K47" s="10"/>
      <c r="L47" s="10"/>
      <c r="M47" s="11"/>
    </row>
    <row r="48" spans="1:13" ht="43.5" customHeight="1">
      <c r="A48" s="10" t="s">
        <v>1524</v>
      </c>
      <c r="B48" s="10" t="s">
        <v>136</v>
      </c>
      <c r="C48" s="10" t="s">
        <v>137</v>
      </c>
      <c r="D48" s="10" t="s">
        <v>1315</v>
      </c>
      <c r="E48" s="10" t="s">
        <v>257</v>
      </c>
      <c r="F48" s="11" t="s">
        <v>1317</v>
      </c>
      <c r="G48" s="11" t="s">
        <v>1318</v>
      </c>
      <c r="H48" s="11" t="s">
        <v>1319</v>
      </c>
      <c r="I48" s="11" t="s">
        <v>735</v>
      </c>
      <c r="J48" s="10" t="s">
        <v>142</v>
      </c>
      <c r="K48" s="10"/>
      <c r="L48" s="10"/>
      <c r="M48" s="11"/>
    </row>
    <row r="49" spans="1:13" ht="43.5" customHeight="1">
      <c r="A49" s="10" t="s">
        <v>1525</v>
      </c>
      <c r="B49" s="10" t="s">
        <v>136</v>
      </c>
      <c r="C49" s="10" t="s">
        <v>137</v>
      </c>
      <c r="D49" s="10" t="s">
        <v>1320</v>
      </c>
      <c r="E49" s="10" t="s">
        <v>257</v>
      </c>
      <c r="F49" s="11" t="s">
        <v>1322</v>
      </c>
      <c r="G49" s="11" t="s">
        <v>1323</v>
      </c>
      <c r="H49" s="11" t="s">
        <v>1324</v>
      </c>
      <c r="I49" s="11" t="s">
        <v>735</v>
      </c>
      <c r="J49" s="10" t="s">
        <v>738</v>
      </c>
      <c r="K49" s="10"/>
      <c r="L49" s="10"/>
      <c r="M49" s="11"/>
    </row>
    <row r="50" spans="1:13" ht="43.5" customHeight="1">
      <c r="A50" s="10" t="s">
        <v>1526</v>
      </c>
      <c r="B50" s="10" t="s">
        <v>136</v>
      </c>
      <c r="C50" s="10" t="s">
        <v>137</v>
      </c>
      <c r="D50" s="10" t="s">
        <v>1325</v>
      </c>
      <c r="E50" s="10" t="s">
        <v>257</v>
      </c>
      <c r="F50" s="11" t="s">
        <v>1327</v>
      </c>
      <c r="G50" s="11" t="s">
        <v>1328</v>
      </c>
      <c r="H50" s="11" t="s">
        <v>1329</v>
      </c>
      <c r="I50" s="11" t="s">
        <v>735</v>
      </c>
      <c r="J50" s="10" t="s">
        <v>738</v>
      </c>
      <c r="K50" s="10"/>
      <c r="L50" s="10"/>
      <c r="M50" s="11"/>
    </row>
    <row r="51" spans="1:13" ht="43.5" customHeight="1">
      <c r="A51" s="10" t="s">
        <v>1527</v>
      </c>
      <c r="B51" s="10" t="s">
        <v>136</v>
      </c>
      <c r="C51" s="10" t="s">
        <v>137</v>
      </c>
      <c r="D51" s="10" t="s">
        <v>1330</v>
      </c>
      <c r="E51" s="10" t="s">
        <v>257</v>
      </c>
      <c r="F51" s="11" t="s">
        <v>1332</v>
      </c>
      <c r="G51" s="11" t="s">
        <v>1333</v>
      </c>
      <c r="H51" s="11" t="s">
        <v>1334</v>
      </c>
      <c r="I51" s="11" t="s">
        <v>735</v>
      </c>
      <c r="J51" s="10" t="s">
        <v>913</v>
      </c>
      <c r="K51" s="10"/>
      <c r="L51" s="10"/>
      <c r="M51" s="11"/>
    </row>
    <row r="52" spans="1:13" ht="43.5" customHeight="1">
      <c r="A52" s="10" t="s">
        <v>1528</v>
      </c>
      <c r="B52" s="10" t="s">
        <v>136</v>
      </c>
      <c r="C52" s="10" t="s">
        <v>137</v>
      </c>
      <c r="D52" s="10" t="s">
        <v>1335</v>
      </c>
      <c r="E52" s="10" t="s">
        <v>257</v>
      </c>
      <c r="F52" s="11" t="s">
        <v>1337</v>
      </c>
      <c r="G52" s="11" t="s">
        <v>1338</v>
      </c>
      <c r="H52" s="11" t="s">
        <v>1339</v>
      </c>
      <c r="I52" s="11" t="s">
        <v>735</v>
      </c>
      <c r="J52" s="10" t="s">
        <v>738</v>
      </c>
      <c r="K52" s="10"/>
      <c r="L52" s="10"/>
      <c r="M52" s="11"/>
    </row>
    <row r="53" spans="1:13" ht="72.599999999999994" customHeight="1">
      <c r="A53" s="10" t="s">
        <v>1529</v>
      </c>
      <c r="B53" s="10" t="s">
        <v>143</v>
      </c>
      <c r="C53" s="10" t="s">
        <v>144</v>
      </c>
      <c r="D53" s="10"/>
      <c r="E53" s="10" t="s">
        <v>23</v>
      </c>
      <c r="F53" s="11" t="s">
        <v>144</v>
      </c>
      <c r="G53" s="11" t="s">
        <v>1047</v>
      </c>
      <c r="H53" s="11" t="s">
        <v>1499</v>
      </c>
      <c r="I53" s="11" t="s">
        <v>721</v>
      </c>
      <c r="J53" s="10" t="s">
        <v>149</v>
      </c>
      <c r="K53" s="10"/>
      <c r="L53" s="10"/>
      <c r="M53" s="11"/>
    </row>
    <row r="54" spans="1:13" ht="29.1" customHeight="1">
      <c r="A54" s="10" t="s">
        <v>1530</v>
      </c>
      <c r="B54" s="10" t="s">
        <v>143</v>
      </c>
      <c r="C54" s="10" t="s">
        <v>144</v>
      </c>
      <c r="D54" s="10" t="s">
        <v>1345</v>
      </c>
      <c r="E54" s="10" t="s">
        <v>257</v>
      </c>
      <c r="F54" s="11" t="s">
        <v>1347</v>
      </c>
      <c r="G54" s="11" t="s">
        <v>1348</v>
      </c>
      <c r="H54" s="11" t="s">
        <v>1349</v>
      </c>
      <c r="I54" s="11" t="s">
        <v>721</v>
      </c>
      <c r="J54" s="10" t="s">
        <v>149</v>
      </c>
      <c r="K54" s="10"/>
      <c r="L54" s="10"/>
      <c r="M54" s="11"/>
    </row>
    <row r="55" spans="1:13" ht="29.1" customHeight="1">
      <c r="A55" s="10" t="s">
        <v>1531</v>
      </c>
      <c r="B55" s="10" t="s">
        <v>143</v>
      </c>
      <c r="C55" s="10" t="s">
        <v>144</v>
      </c>
      <c r="D55" s="10" t="s">
        <v>1350</v>
      </c>
      <c r="E55" s="10" t="s">
        <v>257</v>
      </c>
      <c r="F55" s="11" t="s">
        <v>1352</v>
      </c>
      <c r="G55" s="11" t="s">
        <v>1353</v>
      </c>
      <c r="H55" s="11" t="s">
        <v>1354</v>
      </c>
      <c r="I55" s="11" t="s">
        <v>721</v>
      </c>
      <c r="J55" s="10" t="s">
        <v>724</v>
      </c>
      <c r="K55" s="10"/>
      <c r="L55" s="10"/>
      <c r="M55" s="11"/>
    </row>
    <row r="56" spans="1:13" ht="29.1" customHeight="1">
      <c r="A56" s="10" t="s">
        <v>1532</v>
      </c>
      <c r="B56" s="10" t="s">
        <v>143</v>
      </c>
      <c r="C56" s="10" t="s">
        <v>144</v>
      </c>
      <c r="D56" s="10" t="s">
        <v>1355</v>
      </c>
      <c r="E56" s="10" t="s">
        <v>257</v>
      </c>
      <c r="F56" s="11" t="s">
        <v>1357</v>
      </c>
      <c r="G56" s="11" t="s">
        <v>1358</v>
      </c>
      <c r="H56" s="11" t="s">
        <v>1359</v>
      </c>
      <c r="I56" s="11" t="s">
        <v>721</v>
      </c>
      <c r="J56" s="10" t="s">
        <v>724</v>
      </c>
      <c r="K56" s="10"/>
      <c r="L56" s="10"/>
      <c r="M56" s="11"/>
    </row>
    <row r="57" spans="1:13" ht="29.1" customHeight="1">
      <c r="A57" s="10" t="s">
        <v>1533</v>
      </c>
      <c r="B57" s="10" t="s">
        <v>143</v>
      </c>
      <c r="C57" s="10" t="s">
        <v>144</v>
      </c>
      <c r="D57" s="10" t="s">
        <v>1360</v>
      </c>
      <c r="E57" s="10" t="s">
        <v>257</v>
      </c>
      <c r="F57" s="11" t="s">
        <v>1362</v>
      </c>
      <c r="G57" s="11" t="s">
        <v>1363</v>
      </c>
      <c r="H57" s="11" t="s">
        <v>1364</v>
      </c>
      <c r="I57" s="11" t="s">
        <v>721</v>
      </c>
      <c r="J57" s="10" t="s">
        <v>800</v>
      </c>
      <c r="K57" s="10"/>
      <c r="L57" s="10"/>
      <c r="M57" s="11"/>
    </row>
    <row r="58" spans="1:13" ht="29.1" customHeight="1">
      <c r="A58" s="10" t="s">
        <v>1534</v>
      </c>
      <c r="B58" s="10" t="s">
        <v>143</v>
      </c>
      <c r="C58" s="10" t="s">
        <v>144</v>
      </c>
      <c r="D58" s="10" t="s">
        <v>1365</v>
      </c>
      <c r="E58" s="10" t="s">
        <v>257</v>
      </c>
      <c r="F58" s="11" t="s">
        <v>1367</v>
      </c>
      <c r="G58" s="11" t="s">
        <v>1368</v>
      </c>
      <c r="H58" s="11" t="s">
        <v>1369</v>
      </c>
      <c r="I58" s="11" t="s">
        <v>721</v>
      </c>
      <c r="J58" s="10" t="s">
        <v>800</v>
      </c>
      <c r="K58" s="10"/>
      <c r="L58" s="10"/>
      <c r="M58" s="11"/>
    </row>
    <row r="59" spans="1:13" ht="57.95" customHeight="1">
      <c r="A59" s="10" t="s">
        <v>1535</v>
      </c>
      <c r="B59" s="10" t="s">
        <v>150</v>
      </c>
      <c r="C59" s="10" t="s">
        <v>151</v>
      </c>
      <c r="D59" s="10"/>
      <c r="E59" s="10" t="s">
        <v>23</v>
      </c>
      <c r="F59" s="11" t="s">
        <v>151</v>
      </c>
      <c r="G59" s="11" t="s">
        <v>1050</v>
      </c>
      <c r="H59" s="11" t="s">
        <v>1499</v>
      </c>
      <c r="I59" s="11" t="s">
        <v>788</v>
      </c>
      <c r="J59" s="10" t="s">
        <v>154</v>
      </c>
      <c r="K59" s="10"/>
      <c r="L59" s="10"/>
      <c r="M59" s="11"/>
    </row>
    <row r="60" spans="1:13" ht="29.1" customHeight="1">
      <c r="A60" s="10" t="s">
        <v>1536</v>
      </c>
      <c r="B60" s="10" t="s">
        <v>150</v>
      </c>
      <c r="C60" s="10" t="s">
        <v>151</v>
      </c>
      <c r="D60" s="10" t="s">
        <v>1116</v>
      </c>
      <c r="E60" s="10" t="s">
        <v>257</v>
      </c>
      <c r="F60" s="11" t="s">
        <v>1118</v>
      </c>
      <c r="G60" s="11" t="s">
        <v>1119</v>
      </c>
      <c r="H60" s="11" t="s">
        <v>1120</v>
      </c>
      <c r="I60" s="11" t="s">
        <v>788</v>
      </c>
      <c r="J60" s="10" t="s">
        <v>154</v>
      </c>
      <c r="K60" s="10"/>
      <c r="L60" s="10"/>
      <c r="M60" s="11"/>
    </row>
    <row r="61" spans="1:13" ht="29.1" customHeight="1">
      <c r="A61" s="10" t="s">
        <v>1537</v>
      </c>
      <c r="B61" s="10" t="s">
        <v>150</v>
      </c>
      <c r="C61" s="10" t="s">
        <v>151</v>
      </c>
      <c r="D61" s="10" t="s">
        <v>1374</v>
      </c>
      <c r="E61" s="10" t="s">
        <v>257</v>
      </c>
      <c r="F61" s="11" t="s">
        <v>1376</v>
      </c>
      <c r="G61" s="11" t="s">
        <v>1377</v>
      </c>
      <c r="H61" s="11" t="s">
        <v>1378</v>
      </c>
      <c r="I61" s="11" t="s">
        <v>788</v>
      </c>
      <c r="J61" s="10" t="s">
        <v>791</v>
      </c>
      <c r="K61" s="10"/>
      <c r="L61" s="10"/>
      <c r="M61" s="11"/>
    </row>
    <row r="62" spans="1:13" ht="29.1" customHeight="1">
      <c r="A62" s="10" t="s">
        <v>1538</v>
      </c>
      <c r="B62" s="10" t="s">
        <v>150</v>
      </c>
      <c r="C62" s="10" t="s">
        <v>151</v>
      </c>
      <c r="D62" s="10" t="s">
        <v>1379</v>
      </c>
      <c r="E62" s="10" t="s">
        <v>257</v>
      </c>
      <c r="F62" s="11" t="s">
        <v>1380</v>
      </c>
      <c r="G62" s="11" t="s">
        <v>1381</v>
      </c>
      <c r="H62" s="11" t="s">
        <v>1382</v>
      </c>
      <c r="I62" s="11" t="s">
        <v>788</v>
      </c>
      <c r="J62" s="10" t="s">
        <v>791</v>
      </c>
      <c r="K62" s="10"/>
      <c r="L62" s="10"/>
      <c r="M62" s="11"/>
    </row>
    <row r="63" spans="1:13" ht="29.1" customHeight="1">
      <c r="A63" s="10" t="s">
        <v>1539</v>
      </c>
      <c r="B63" s="10" t="s">
        <v>150</v>
      </c>
      <c r="C63" s="10" t="s">
        <v>151</v>
      </c>
      <c r="D63" s="10" t="s">
        <v>1383</v>
      </c>
      <c r="E63" s="10" t="s">
        <v>257</v>
      </c>
      <c r="F63" s="11" t="s">
        <v>1385</v>
      </c>
      <c r="G63" s="11" t="s">
        <v>1386</v>
      </c>
      <c r="H63" s="11" t="s">
        <v>1310</v>
      </c>
      <c r="I63" s="11" t="s">
        <v>788</v>
      </c>
      <c r="J63" s="10" t="s">
        <v>154</v>
      </c>
      <c r="K63" s="10"/>
      <c r="L63" s="10"/>
      <c r="M63" s="11"/>
    </row>
    <row r="64" spans="1:13" ht="29.1" customHeight="1">
      <c r="A64" s="10" t="s">
        <v>1540</v>
      </c>
      <c r="B64" s="10" t="s">
        <v>150</v>
      </c>
      <c r="C64" s="10" t="s">
        <v>151</v>
      </c>
      <c r="D64" s="10" t="s">
        <v>1387</v>
      </c>
      <c r="E64" s="10" t="s">
        <v>257</v>
      </c>
      <c r="F64" s="11" t="s">
        <v>1389</v>
      </c>
      <c r="G64" s="11" t="s">
        <v>1390</v>
      </c>
      <c r="H64" s="11" t="s">
        <v>1391</v>
      </c>
      <c r="I64" s="11" t="s">
        <v>788</v>
      </c>
      <c r="J64" s="10" t="s">
        <v>896</v>
      </c>
      <c r="K64" s="10"/>
      <c r="L64" s="10"/>
      <c r="M64" s="11"/>
    </row>
    <row r="65" spans="1:13" ht="72.599999999999994" customHeight="1">
      <c r="A65" s="10" t="s">
        <v>1541</v>
      </c>
      <c r="B65" s="10" t="s">
        <v>155</v>
      </c>
      <c r="C65" s="10" t="s">
        <v>156</v>
      </c>
      <c r="D65" s="10"/>
      <c r="E65" s="10" t="s">
        <v>23</v>
      </c>
      <c r="F65" s="11" t="s">
        <v>156</v>
      </c>
      <c r="G65" s="11" t="s">
        <v>1052</v>
      </c>
      <c r="H65" s="11" t="s">
        <v>1499</v>
      </c>
      <c r="I65" s="11" t="s">
        <v>744</v>
      </c>
      <c r="J65" s="10" t="s">
        <v>160</v>
      </c>
      <c r="K65" s="10"/>
      <c r="L65" s="10"/>
      <c r="M65" s="11"/>
    </row>
    <row r="66" spans="1:13" ht="29.1" customHeight="1">
      <c r="A66" s="10" t="s">
        <v>1542</v>
      </c>
      <c r="B66" s="10" t="s">
        <v>155</v>
      </c>
      <c r="C66" s="10" t="s">
        <v>156</v>
      </c>
      <c r="D66" s="10" t="s">
        <v>1121</v>
      </c>
      <c r="E66" s="10" t="s">
        <v>257</v>
      </c>
      <c r="F66" s="11" t="s">
        <v>1123</v>
      </c>
      <c r="G66" s="11" t="s">
        <v>1124</v>
      </c>
      <c r="H66" s="11" t="s">
        <v>1125</v>
      </c>
      <c r="I66" s="11" t="s">
        <v>744</v>
      </c>
      <c r="J66" s="10" t="s">
        <v>160</v>
      </c>
      <c r="K66" s="10"/>
      <c r="L66" s="10"/>
      <c r="M66" s="11"/>
    </row>
    <row r="67" spans="1:13" ht="29.1" customHeight="1">
      <c r="A67" s="10" t="s">
        <v>1543</v>
      </c>
      <c r="B67" s="10" t="s">
        <v>155</v>
      </c>
      <c r="C67" s="10" t="s">
        <v>156</v>
      </c>
      <c r="D67" s="10" t="s">
        <v>1396</v>
      </c>
      <c r="E67" s="10" t="s">
        <v>257</v>
      </c>
      <c r="F67" s="11" t="s">
        <v>1398</v>
      </c>
      <c r="G67" s="11" t="s">
        <v>1399</v>
      </c>
      <c r="H67" s="11" t="s">
        <v>1400</v>
      </c>
      <c r="I67" s="11" t="s">
        <v>744</v>
      </c>
      <c r="J67" s="10" t="s">
        <v>759</v>
      </c>
      <c r="K67" s="10"/>
      <c r="L67" s="10"/>
      <c r="M67" s="11"/>
    </row>
    <row r="68" spans="1:13" ht="29.1" customHeight="1">
      <c r="A68" s="10" t="s">
        <v>1544</v>
      </c>
      <c r="B68" s="10" t="s">
        <v>155</v>
      </c>
      <c r="C68" s="10" t="s">
        <v>156</v>
      </c>
      <c r="D68" s="10" t="s">
        <v>1401</v>
      </c>
      <c r="E68" s="10" t="s">
        <v>257</v>
      </c>
      <c r="F68" s="11" t="s">
        <v>1403</v>
      </c>
      <c r="G68" s="11" t="s">
        <v>1199</v>
      </c>
      <c r="H68" s="11" t="s">
        <v>1382</v>
      </c>
      <c r="I68" s="11" t="s">
        <v>744</v>
      </c>
      <c r="J68" s="10" t="s">
        <v>747</v>
      </c>
      <c r="K68" s="10"/>
      <c r="L68" s="10"/>
      <c r="M68" s="11"/>
    </row>
    <row r="69" spans="1:13" ht="29.1" customHeight="1">
      <c r="A69" s="10" t="s">
        <v>1545</v>
      </c>
      <c r="B69" s="10" t="s">
        <v>155</v>
      </c>
      <c r="C69" s="10" t="s">
        <v>156</v>
      </c>
      <c r="D69" s="10" t="s">
        <v>1404</v>
      </c>
      <c r="E69" s="10" t="s">
        <v>257</v>
      </c>
      <c r="F69" s="11" t="s">
        <v>1406</v>
      </c>
      <c r="G69" s="11" t="s">
        <v>1407</v>
      </c>
      <c r="H69" s="11" t="s">
        <v>1408</v>
      </c>
      <c r="I69" s="11" t="s">
        <v>744</v>
      </c>
      <c r="J69" s="10" t="s">
        <v>759</v>
      </c>
      <c r="K69" s="10"/>
      <c r="L69" s="10"/>
      <c r="M69" s="11"/>
    </row>
    <row r="70" spans="1:13" ht="29.1" customHeight="1">
      <c r="A70" s="10" t="s">
        <v>1546</v>
      </c>
      <c r="B70" s="10" t="s">
        <v>155</v>
      </c>
      <c r="C70" s="10" t="s">
        <v>156</v>
      </c>
      <c r="D70" s="10" t="s">
        <v>1409</v>
      </c>
      <c r="E70" s="10" t="s">
        <v>257</v>
      </c>
      <c r="F70" s="11" t="s">
        <v>1411</v>
      </c>
      <c r="G70" s="11" t="s">
        <v>1412</v>
      </c>
      <c r="H70" s="11" t="s">
        <v>1413</v>
      </c>
      <c r="I70" s="11" t="s">
        <v>744</v>
      </c>
      <c r="J70" s="10" t="s">
        <v>759</v>
      </c>
      <c r="K70" s="10"/>
      <c r="L70" s="10"/>
      <c r="M70" s="11"/>
    </row>
    <row r="71" spans="1:13">
      <c r="A71" s="10"/>
      <c r="B71" s="10"/>
      <c r="C71" s="10"/>
      <c r="D71" s="10"/>
      <c r="E71" s="10"/>
      <c r="F71" s="11"/>
      <c r="G71" s="11"/>
      <c r="H71" s="11"/>
      <c r="I71" s="11"/>
      <c r="J71" s="10"/>
      <c r="K71" s="10"/>
      <c r="L71" s="10"/>
      <c r="M71" s="11"/>
    </row>
    <row r="72" spans="1:13">
      <c r="A72" s="10"/>
      <c r="B72" s="10"/>
      <c r="C72" s="10"/>
      <c r="D72" s="10"/>
      <c r="E72" s="10"/>
      <c r="F72" s="11"/>
      <c r="G72" s="11"/>
      <c r="H72" s="11"/>
      <c r="I72" s="11"/>
      <c r="J72" s="10"/>
      <c r="K72" s="10"/>
      <c r="L72" s="10"/>
      <c r="M72" s="11"/>
    </row>
    <row r="73" spans="1:13">
      <c r="A73" s="10"/>
      <c r="B73" s="10"/>
      <c r="C73" s="10"/>
      <c r="D73" s="10"/>
      <c r="E73" s="10"/>
      <c r="F73" s="11"/>
      <c r="G73" s="11"/>
      <c r="H73" s="11"/>
      <c r="I73" s="11"/>
      <c r="J73" s="10"/>
      <c r="K73" s="10"/>
      <c r="L73" s="10"/>
      <c r="M73" s="11"/>
    </row>
    <row r="74" spans="1:13">
      <c r="A74" s="10"/>
      <c r="B74" s="10"/>
      <c r="C74" s="10"/>
      <c r="D74" s="10"/>
      <c r="E74" s="10"/>
      <c r="F74" s="11"/>
      <c r="G74" s="11"/>
      <c r="H74" s="11"/>
      <c r="I74" s="11"/>
      <c r="J74" s="10"/>
      <c r="K74" s="10"/>
      <c r="L74" s="10"/>
      <c r="M74" s="11"/>
    </row>
    <row r="75" spans="1:13">
      <c r="A75" s="10"/>
      <c r="B75" s="10"/>
      <c r="C75" s="10"/>
      <c r="D75" s="10"/>
      <c r="E75" s="10"/>
      <c r="F75" s="11"/>
      <c r="G75" s="11"/>
      <c r="H75" s="11"/>
      <c r="I75" s="11"/>
      <c r="J75" s="10"/>
      <c r="K75" s="10"/>
      <c r="L75" s="10"/>
      <c r="M75" s="11"/>
    </row>
    <row r="76" spans="1:13">
      <c r="A76" s="10"/>
      <c r="B76" s="10"/>
      <c r="C76" s="10"/>
      <c r="D76" s="10"/>
      <c r="E76" s="10"/>
      <c r="F76" s="11"/>
      <c r="G76" s="11"/>
      <c r="H76" s="11"/>
      <c r="I76" s="11"/>
      <c r="J76" s="10"/>
      <c r="K76" s="10"/>
      <c r="L76" s="10"/>
      <c r="M76" s="11"/>
    </row>
    <row r="77" spans="1:13">
      <c r="A77" s="10"/>
      <c r="B77" s="10"/>
      <c r="C77" s="10"/>
      <c r="D77" s="10"/>
      <c r="E77" s="10"/>
      <c r="F77" s="11"/>
      <c r="G77" s="11"/>
      <c r="H77" s="11"/>
      <c r="I77" s="11"/>
      <c r="J77" s="10"/>
      <c r="K77" s="10"/>
      <c r="L77" s="10"/>
      <c r="M77" s="11"/>
    </row>
    <row r="78" spans="1:13">
      <c r="A78" s="10"/>
      <c r="B78" s="10"/>
      <c r="C78" s="10"/>
      <c r="D78" s="10"/>
      <c r="E78" s="10"/>
      <c r="F78" s="11"/>
      <c r="G78" s="11"/>
      <c r="H78" s="11"/>
      <c r="I78" s="11"/>
      <c r="J78" s="10"/>
      <c r="K78" s="10"/>
      <c r="L78" s="10"/>
      <c r="M78" s="11"/>
    </row>
    <row r="79" spans="1:13">
      <c r="A79" s="10"/>
      <c r="B79" s="10"/>
      <c r="C79" s="10"/>
      <c r="D79" s="10"/>
      <c r="E79" s="10"/>
      <c r="F79" s="11"/>
      <c r="G79" s="11"/>
      <c r="H79" s="11"/>
      <c r="I79" s="11"/>
      <c r="J79" s="10"/>
      <c r="K79" s="10"/>
      <c r="L79" s="10"/>
      <c r="M79" s="11"/>
    </row>
    <row r="80" spans="1:13">
      <c r="A80" s="10"/>
      <c r="B80" s="10"/>
      <c r="C80" s="10"/>
      <c r="D80" s="10"/>
      <c r="E80" s="10"/>
      <c r="F80" s="11"/>
      <c r="G80" s="11"/>
      <c r="H80" s="11"/>
      <c r="I80" s="11"/>
      <c r="J80" s="10"/>
      <c r="K80" s="10"/>
      <c r="L80" s="10"/>
      <c r="M80" s="11"/>
    </row>
    <row r="81" spans="1:13">
      <c r="A81" s="10"/>
      <c r="B81" s="10"/>
      <c r="C81" s="10"/>
      <c r="D81" s="10"/>
      <c r="E81" s="10"/>
      <c r="F81" s="11"/>
      <c r="G81" s="11"/>
      <c r="H81" s="11"/>
      <c r="I81" s="11"/>
      <c r="J81" s="10"/>
      <c r="K81" s="10"/>
      <c r="L81" s="10"/>
      <c r="M81" s="11"/>
    </row>
    <row r="82" spans="1:13">
      <c r="A82" s="10"/>
      <c r="B82" s="10"/>
      <c r="C82" s="10"/>
      <c r="D82" s="10"/>
      <c r="E82" s="10"/>
      <c r="F82" s="11"/>
      <c r="G82" s="11"/>
      <c r="H82" s="11"/>
      <c r="I82" s="11"/>
      <c r="J82" s="10"/>
      <c r="K82" s="10"/>
      <c r="L82" s="10"/>
      <c r="M82" s="11"/>
    </row>
    <row r="83" spans="1:13">
      <c r="A83" s="10"/>
      <c r="B83" s="10"/>
      <c r="C83" s="10"/>
      <c r="D83" s="10"/>
      <c r="E83" s="10"/>
      <c r="F83" s="11"/>
      <c r="G83" s="11"/>
      <c r="H83" s="11"/>
      <c r="I83" s="11"/>
      <c r="J83" s="10"/>
      <c r="K83" s="10"/>
      <c r="L83" s="10"/>
      <c r="M83" s="11"/>
    </row>
    <row r="84" spans="1:13">
      <c r="A84" s="10"/>
      <c r="B84" s="10"/>
      <c r="C84" s="10"/>
      <c r="D84" s="10"/>
      <c r="E84" s="10"/>
      <c r="F84" s="11"/>
      <c r="G84" s="11"/>
      <c r="H84" s="11"/>
      <c r="I84" s="11"/>
      <c r="J84" s="10"/>
      <c r="K84" s="10"/>
      <c r="L84" s="10"/>
      <c r="M84" s="11"/>
    </row>
    <row r="85" spans="1:13">
      <c r="A85" s="10"/>
      <c r="B85" s="10"/>
      <c r="C85" s="10"/>
      <c r="D85" s="10"/>
      <c r="E85" s="10"/>
      <c r="F85" s="11"/>
      <c r="G85" s="11"/>
      <c r="H85" s="11"/>
      <c r="I85" s="11"/>
      <c r="J85" s="10"/>
      <c r="K85" s="10"/>
      <c r="L85" s="10"/>
      <c r="M85" s="11"/>
    </row>
    <row r="86" spans="1:13">
      <c r="A86" s="10"/>
      <c r="B86" s="10"/>
      <c r="C86" s="10"/>
      <c r="D86" s="10"/>
      <c r="E86" s="10"/>
      <c r="F86" s="11"/>
      <c r="G86" s="11"/>
      <c r="H86" s="11"/>
      <c r="I86" s="11"/>
      <c r="J86" s="10"/>
      <c r="K86" s="10"/>
      <c r="L86" s="10"/>
      <c r="M86" s="11"/>
    </row>
    <row r="87" spans="1:13">
      <c r="A87" s="10"/>
      <c r="B87" s="10"/>
      <c r="C87" s="10"/>
      <c r="D87" s="10"/>
      <c r="E87" s="10"/>
      <c r="F87" s="11"/>
      <c r="G87" s="11"/>
      <c r="H87" s="11"/>
      <c r="I87" s="11"/>
      <c r="J87" s="10"/>
      <c r="K87" s="10"/>
      <c r="L87" s="10"/>
      <c r="M87" s="11"/>
    </row>
    <row r="88" spans="1:13">
      <c r="A88" s="10"/>
      <c r="B88" s="10"/>
      <c r="C88" s="10"/>
      <c r="D88" s="10"/>
      <c r="E88" s="10"/>
      <c r="F88" s="11"/>
      <c r="G88" s="11"/>
      <c r="H88" s="11"/>
      <c r="I88" s="11"/>
      <c r="J88" s="10"/>
      <c r="K88" s="10"/>
      <c r="L88" s="10"/>
      <c r="M88" s="11"/>
    </row>
    <row r="89" spans="1:13">
      <c r="A89" s="10"/>
      <c r="B89" s="10"/>
      <c r="C89" s="10"/>
      <c r="D89" s="10"/>
      <c r="E89" s="10"/>
      <c r="F89" s="11"/>
      <c r="G89" s="11"/>
      <c r="H89" s="11"/>
      <c r="I89" s="11"/>
      <c r="J89" s="10"/>
      <c r="K89" s="10"/>
      <c r="L89" s="10"/>
      <c r="M89" s="11"/>
    </row>
    <row r="90" spans="1:13">
      <c r="A90" s="10"/>
      <c r="B90" s="10"/>
      <c r="C90" s="10"/>
      <c r="D90" s="10"/>
      <c r="E90" s="10"/>
      <c r="F90" s="11"/>
      <c r="G90" s="11"/>
      <c r="H90" s="11"/>
      <c r="I90" s="11"/>
      <c r="J90" s="10"/>
      <c r="K90" s="10"/>
      <c r="L90" s="10"/>
      <c r="M90" s="11"/>
    </row>
    <row r="91" spans="1:13">
      <c r="A91" s="10"/>
      <c r="B91" s="10"/>
      <c r="C91" s="10"/>
      <c r="D91" s="10"/>
      <c r="E91" s="10"/>
      <c r="F91" s="11"/>
      <c r="G91" s="11"/>
      <c r="H91" s="11"/>
      <c r="I91" s="11"/>
      <c r="J91" s="10"/>
      <c r="K91" s="10"/>
      <c r="L91" s="10"/>
      <c r="M91" s="11"/>
    </row>
    <row r="92" spans="1:13">
      <c r="A92" s="10"/>
      <c r="B92" s="10"/>
      <c r="C92" s="10"/>
      <c r="D92" s="10"/>
      <c r="E92" s="10"/>
      <c r="F92" s="11"/>
      <c r="G92" s="11"/>
      <c r="H92" s="11"/>
      <c r="I92" s="11"/>
      <c r="J92" s="10"/>
      <c r="K92" s="10"/>
      <c r="L92" s="10"/>
      <c r="M92" s="11"/>
    </row>
    <row r="93" spans="1:13">
      <c r="A93" s="10"/>
      <c r="B93" s="10"/>
      <c r="C93" s="10"/>
      <c r="D93" s="10"/>
      <c r="E93" s="10"/>
      <c r="F93" s="11"/>
      <c r="G93" s="11"/>
      <c r="H93" s="11"/>
      <c r="I93" s="11"/>
      <c r="J93" s="10"/>
      <c r="K93" s="10"/>
      <c r="L93" s="10"/>
      <c r="M93" s="11"/>
    </row>
    <row r="94" spans="1:13">
      <c r="A94" s="10"/>
      <c r="B94" s="10"/>
      <c r="C94" s="10"/>
      <c r="D94" s="10"/>
      <c r="E94" s="10"/>
      <c r="F94" s="11"/>
      <c r="G94" s="11"/>
      <c r="H94" s="11"/>
      <c r="I94" s="11"/>
      <c r="J94" s="10"/>
      <c r="K94" s="10"/>
      <c r="L94" s="10"/>
      <c r="M94" s="11"/>
    </row>
    <row r="95" spans="1:13">
      <c r="A95" s="10"/>
      <c r="B95" s="10"/>
      <c r="C95" s="10"/>
      <c r="D95" s="10"/>
      <c r="E95" s="10"/>
      <c r="F95" s="11"/>
      <c r="G95" s="11"/>
      <c r="H95" s="11"/>
      <c r="I95" s="11"/>
      <c r="J95" s="10"/>
      <c r="K95" s="10"/>
      <c r="L95" s="10"/>
      <c r="M95" s="11"/>
    </row>
    <row r="96" spans="1:13">
      <c r="A96" s="10"/>
      <c r="B96" s="10"/>
      <c r="C96" s="10"/>
      <c r="D96" s="10"/>
      <c r="E96" s="10"/>
      <c r="F96" s="11"/>
      <c r="G96" s="11"/>
      <c r="H96" s="11"/>
      <c r="I96" s="11"/>
      <c r="J96" s="10"/>
      <c r="K96" s="10"/>
      <c r="L96" s="10"/>
      <c r="M96" s="11"/>
    </row>
    <row r="97" spans="1:13">
      <c r="A97" s="10"/>
      <c r="B97" s="10"/>
      <c r="C97" s="10"/>
      <c r="D97" s="10"/>
      <c r="E97" s="10"/>
      <c r="F97" s="11"/>
      <c r="G97" s="11"/>
      <c r="H97" s="11"/>
      <c r="I97" s="11"/>
      <c r="J97" s="10"/>
      <c r="K97" s="10"/>
      <c r="L97" s="10"/>
      <c r="M97" s="11"/>
    </row>
    <row r="98" spans="1:13">
      <c r="A98" s="10"/>
      <c r="B98" s="10"/>
      <c r="C98" s="10"/>
      <c r="D98" s="10"/>
      <c r="E98" s="10"/>
      <c r="F98" s="11"/>
      <c r="G98" s="11"/>
      <c r="H98" s="11"/>
      <c r="I98" s="11"/>
      <c r="J98" s="10"/>
      <c r="K98" s="10"/>
      <c r="L98" s="10"/>
      <c r="M98" s="11"/>
    </row>
    <row r="99" spans="1:13">
      <c r="A99" s="10"/>
      <c r="B99" s="10"/>
      <c r="C99" s="10"/>
      <c r="D99" s="10"/>
      <c r="E99" s="10"/>
      <c r="F99" s="11"/>
      <c r="G99" s="11"/>
      <c r="H99" s="11"/>
      <c r="I99" s="11"/>
      <c r="J99" s="10"/>
      <c r="K99" s="10"/>
      <c r="L99" s="10"/>
      <c r="M99" s="11"/>
    </row>
    <row r="100" spans="1:13">
      <c r="A100" s="10"/>
      <c r="B100" s="10"/>
      <c r="C100" s="10"/>
      <c r="D100" s="10"/>
      <c r="E100" s="10"/>
      <c r="F100" s="11"/>
      <c r="G100" s="11"/>
      <c r="H100" s="11"/>
      <c r="I100" s="11"/>
      <c r="J100" s="10"/>
      <c r="K100" s="10"/>
      <c r="L100" s="10"/>
      <c r="M100" s="11"/>
    </row>
    <row r="101" spans="1:13">
      <c r="A101" s="10"/>
      <c r="B101" s="10"/>
      <c r="C101" s="10"/>
      <c r="D101" s="10"/>
      <c r="E101" s="10"/>
      <c r="F101" s="11"/>
      <c r="G101" s="11"/>
      <c r="H101" s="11"/>
      <c r="I101" s="11"/>
      <c r="J101" s="10"/>
      <c r="K101" s="10"/>
      <c r="L101" s="10"/>
      <c r="M101" s="11"/>
    </row>
    <row r="102" spans="1:13">
      <c r="A102" s="10"/>
      <c r="B102" s="10"/>
      <c r="C102" s="10"/>
      <c r="D102" s="10"/>
      <c r="E102" s="10"/>
      <c r="F102" s="11"/>
      <c r="G102" s="11"/>
      <c r="H102" s="11"/>
      <c r="I102" s="11"/>
      <c r="J102" s="10"/>
      <c r="K102" s="10"/>
      <c r="L102" s="10"/>
      <c r="M102" s="11"/>
    </row>
    <row r="103" spans="1:13">
      <c r="A103" s="10"/>
      <c r="B103" s="10"/>
      <c r="C103" s="10"/>
      <c r="D103" s="10"/>
      <c r="E103" s="10"/>
      <c r="F103" s="11"/>
      <c r="G103" s="11"/>
      <c r="H103" s="11"/>
      <c r="I103" s="11"/>
      <c r="J103" s="10"/>
      <c r="K103" s="10"/>
      <c r="L103" s="10"/>
      <c r="M103" s="11"/>
    </row>
    <row r="104" spans="1:13">
      <c r="A104" s="10"/>
      <c r="B104" s="10"/>
      <c r="C104" s="10"/>
      <c r="D104" s="10"/>
      <c r="E104" s="10"/>
      <c r="F104" s="11"/>
      <c r="G104" s="11"/>
      <c r="H104" s="11"/>
      <c r="I104" s="11"/>
      <c r="J104" s="10"/>
      <c r="K104" s="10"/>
      <c r="L104" s="10"/>
      <c r="M104" s="11"/>
    </row>
    <row r="105" spans="1:13">
      <c r="A105" s="10"/>
      <c r="B105" s="10"/>
      <c r="C105" s="10"/>
      <c r="D105" s="10"/>
      <c r="E105" s="10"/>
      <c r="F105" s="11"/>
      <c r="G105" s="11"/>
      <c r="H105" s="11"/>
      <c r="I105" s="11"/>
      <c r="J105" s="10"/>
      <c r="K105" s="10"/>
      <c r="L105" s="10"/>
      <c r="M105" s="11"/>
    </row>
    <row r="106" spans="1:13">
      <c r="A106" s="10"/>
      <c r="B106" s="10"/>
      <c r="C106" s="10"/>
      <c r="D106" s="10"/>
      <c r="E106" s="10"/>
      <c r="F106" s="11"/>
      <c r="G106" s="11"/>
      <c r="H106" s="11"/>
      <c r="I106" s="11"/>
      <c r="J106" s="10"/>
      <c r="K106" s="10"/>
      <c r="L106" s="10"/>
      <c r="M106" s="11"/>
    </row>
    <row r="107" spans="1:13">
      <c r="A107" s="10"/>
      <c r="B107" s="10"/>
      <c r="C107" s="10"/>
      <c r="D107" s="10"/>
      <c r="E107" s="10"/>
      <c r="F107" s="11"/>
      <c r="G107" s="11"/>
      <c r="H107" s="11"/>
      <c r="I107" s="11"/>
      <c r="J107" s="10"/>
      <c r="K107" s="10"/>
      <c r="L107" s="10"/>
      <c r="M107" s="11"/>
    </row>
    <row r="108" spans="1:13">
      <c r="A108" s="10"/>
      <c r="B108" s="10"/>
      <c r="C108" s="10"/>
      <c r="D108" s="10"/>
      <c r="E108" s="10"/>
      <c r="F108" s="11"/>
      <c r="G108" s="11"/>
      <c r="H108" s="11"/>
      <c r="I108" s="11"/>
      <c r="J108" s="10"/>
      <c r="K108" s="10"/>
      <c r="L108" s="10"/>
      <c r="M108" s="11"/>
    </row>
    <row r="109" spans="1:13">
      <c r="A109" s="10"/>
      <c r="B109" s="10"/>
      <c r="C109" s="10"/>
      <c r="D109" s="10"/>
      <c r="E109" s="10"/>
      <c r="F109" s="11"/>
      <c r="G109" s="11"/>
      <c r="H109" s="11"/>
      <c r="I109" s="11"/>
      <c r="J109" s="10"/>
      <c r="K109" s="10"/>
      <c r="L109" s="10"/>
      <c r="M109" s="11"/>
    </row>
    <row r="110" spans="1:13">
      <c r="A110" s="10"/>
      <c r="B110" s="10"/>
      <c r="C110" s="10"/>
      <c r="D110" s="10"/>
      <c r="E110" s="10"/>
      <c r="F110" s="11"/>
      <c r="G110" s="11"/>
      <c r="H110" s="11"/>
      <c r="I110" s="11"/>
      <c r="J110" s="10"/>
      <c r="K110" s="10"/>
      <c r="L110" s="10"/>
      <c r="M110" s="11"/>
    </row>
    <row r="111" spans="1:13">
      <c r="A111" s="10"/>
      <c r="B111" s="10"/>
      <c r="C111" s="10"/>
      <c r="D111" s="10"/>
      <c r="E111" s="10"/>
      <c r="F111" s="11"/>
      <c r="G111" s="11"/>
      <c r="H111" s="11"/>
      <c r="I111" s="11"/>
      <c r="J111" s="10"/>
      <c r="K111" s="10"/>
      <c r="L111" s="10"/>
      <c r="M111" s="11"/>
    </row>
    <row r="112" spans="1:13">
      <c r="A112" s="10"/>
      <c r="B112" s="10"/>
      <c r="C112" s="10"/>
      <c r="D112" s="10"/>
      <c r="E112" s="10"/>
      <c r="F112" s="11"/>
      <c r="G112" s="11"/>
      <c r="H112" s="11"/>
      <c r="I112" s="11"/>
      <c r="J112" s="10"/>
      <c r="K112" s="10"/>
      <c r="L112" s="10"/>
      <c r="M112" s="11"/>
    </row>
    <row r="113" spans="1:13">
      <c r="A113" s="10"/>
      <c r="B113" s="10"/>
      <c r="C113" s="10"/>
      <c r="D113" s="10"/>
      <c r="E113" s="10"/>
      <c r="F113" s="11"/>
      <c r="G113" s="11"/>
      <c r="H113" s="11"/>
      <c r="I113" s="11"/>
      <c r="J113" s="10"/>
      <c r="K113" s="10"/>
      <c r="L113" s="10"/>
      <c r="M113" s="11"/>
    </row>
    <row r="114" spans="1:13">
      <c r="A114" s="10"/>
      <c r="B114" s="10"/>
      <c r="C114" s="10"/>
      <c r="D114" s="10"/>
      <c r="E114" s="10"/>
      <c r="F114" s="11"/>
      <c r="G114" s="11"/>
      <c r="H114" s="11"/>
      <c r="I114" s="11"/>
      <c r="J114" s="10"/>
      <c r="K114" s="10"/>
      <c r="L114" s="10"/>
      <c r="M114" s="11"/>
    </row>
    <row r="115" spans="1:13">
      <c r="A115" s="10"/>
      <c r="B115" s="10"/>
      <c r="C115" s="10"/>
      <c r="D115" s="10"/>
      <c r="E115" s="10"/>
      <c r="F115" s="11"/>
      <c r="G115" s="11"/>
      <c r="H115" s="11"/>
      <c r="I115" s="11"/>
      <c r="J115" s="10"/>
      <c r="K115" s="10"/>
      <c r="L115" s="10"/>
      <c r="M115" s="11"/>
    </row>
    <row r="116" spans="1:13">
      <c r="A116" s="10"/>
      <c r="B116" s="10"/>
      <c r="C116" s="10"/>
      <c r="D116" s="10"/>
      <c r="E116" s="10"/>
      <c r="F116" s="11"/>
      <c r="G116" s="11"/>
      <c r="H116" s="11"/>
      <c r="I116" s="11"/>
      <c r="J116" s="10"/>
      <c r="K116" s="10"/>
      <c r="L116" s="10"/>
      <c r="M116" s="11"/>
    </row>
    <row r="117" spans="1:13">
      <c r="A117" s="10"/>
      <c r="B117" s="10"/>
      <c r="C117" s="10"/>
      <c r="D117" s="10"/>
      <c r="E117" s="10"/>
      <c r="F117" s="11"/>
      <c r="G117" s="11"/>
      <c r="H117" s="11"/>
      <c r="I117" s="11"/>
      <c r="J117" s="10"/>
      <c r="K117" s="10"/>
      <c r="L117" s="10"/>
      <c r="M117" s="11"/>
    </row>
    <row r="118" spans="1:13">
      <c r="A118" s="10"/>
      <c r="B118" s="10"/>
      <c r="C118" s="10"/>
      <c r="D118" s="10"/>
      <c r="E118" s="10"/>
      <c r="F118" s="11"/>
      <c r="G118" s="11"/>
      <c r="H118" s="11"/>
      <c r="I118" s="11"/>
      <c r="J118" s="10"/>
      <c r="K118" s="10"/>
      <c r="L118" s="10"/>
      <c r="M118" s="11"/>
    </row>
    <row r="119" spans="1:13">
      <c r="A119" s="10"/>
      <c r="B119" s="10"/>
      <c r="C119" s="10"/>
      <c r="D119" s="10"/>
      <c r="E119" s="10"/>
      <c r="F119" s="11"/>
      <c r="G119" s="11"/>
      <c r="H119" s="11"/>
      <c r="I119" s="11"/>
      <c r="J119" s="10"/>
      <c r="K119" s="10"/>
      <c r="L119" s="10"/>
      <c r="M119" s="11"/>
    </row>
    <row r="120" spans="1:13">
      <c r="A120" s="10"/>
      <c r="B120" s="10"/>
      <c r="C120" s="10"/>
      <c r="D120" s="10"/>
      <c r="E120" s="10"/>
      <c r="F120" s="11"/>
      <c r="G120" s="11"/>
      <c r="H120" s="11"/>
      <c r="I120" s="11"/>
      <c r="J120" s="10"/>
      <c r="K120" s="10"/>
      <c r="L120" s="10"/>
      <c r="M120" s="11"/>
    </row>
    <row r="121" spans="1:13">
      <c r="A121" s="10"/>
      <c r="B121" s="10"/>
      <c r="C121" s="10"/>
      <c r="D121" s="10"/>
      <c r="E121" s="10"/>
      <c r="F121" s="11"/>
      <c r="G121" s="11"/>
      <c r="H121" s="11"/>
      <c r="I121" s="11"/>
      <c r="J121" s="10"/>
      <c r="K121" s="10"/>
      <c r="L121" s="10"/>
      <c r="M121" s="11"/>
    </row>
    <row r="122" spans="1:13">
      <c r="A122" s="10"/>
      <c r="B122" s="10"/>
      <c r="C122" s="10"/>
      <c r="D122" s="10"/>
      <c r="E122" s="10"/>
      <c r="F122" s="11"/>
      <c r="G122" s="11"/>
      <c r="H122" s="11"/>
      <c r="I122" s="11"/>
      <c r="J122" s="10"/>
      <c r="K122" s="10"/>
      <c r="L122" s="10"/>
      <c r="M122" s="11"/>
    </row>
    <row r="123" spans="1:13">
      <c r="A123" s="10"/>
      <c r="B123" s="10"/>
      <c r="C123" s="10"/>
      <c r="D123" s="10"/>
      <c r="E123" s="10"/>
      <c r="F123" s="11"/>
      <c r="G123" s="11"/>
      <c r="H123" s="11"/>
      <c r="I123" s="11"/>
      <c r="J123" s="10"/>
      <c r="K123" s="10"/>
      <c r="L123" s="10"/>
      <c r="M123" s="11"/>
    </row>
    <row r="124" spans="1:13">
      <c r="A124" s="10"/>
      <c r="B124" s="10"/>
      <c r="C124" s="10"/>
      <c r="D124" s="10"/>
      <c r="E124" s="10"/>
      <c r="F124" s="11"/>
      <c r="G124" s="11"/>
      <c r="H124" s="11"/>
      <c r="I124" s="11"/>
      <c r="J124" s="10"/>
      <c r="K124" s="10"/>
      <c r="L124" s="10"/>
      <c r="M124" s="11"/>
    </row>
    <row r="125" spans="1:13">
      <c r="A125" s="10"/>
      <c r="B125" s="10"/>
      <c r="C125" s="10"/>
      <c r="D125" s="10"/>
      <c r="E125" s="10"/>
      <c r="F125" s="11"/>
      <c r="G125" s="11"/>
      <c r="H125" s="11"/>
      <c r="I125" s="11"/>
      <c r="J125" s="10"/>
      <c r="K125" s="10"/>
      <c r="L125" s="10"/>
      <c r="M125" s="11"/>
    </row>
    <row r="126" spans="1:13">
      <c r="A126" s="10"/>
      <c r="B126" s="10"/>
      <c r="C126" s="10"/>
      <c r="D126" s="10"/>
      <c r="E126" s="10"/>
      <c r="F126" s="11"/>
      <c r="G126" s="11"/>
      <c r="H126" s="11"/>
      <c r="I126" s="11"/>
      <c r="J126" s="10"/>
      <c r="K126" s="10"/>
      <c r="L126" s="10"/>
      <c r="M126" s="11"/>
    </row>
    <row r="127" spans="1:13">
      <c r="A127" s="10"/>
      <c r="B127" s="10"/>
      <c r="C127" s="10"/>
      <c r="D127" s="10"/>
      <c r="E127" s="10"/>
      <c r="F127" s="11"/>
      <c r="G127" s="11"/>
      <c r="H127" s="11"/>
      <c r="I127" s="11"/>
      <c r="J127" s="10"/>
      <c r="K127" s="10"/>
      <c r="L127" s="10"/>
      <c r="M127" s="11"/>
    </row>
    <row r="128" spans="1:13">
      <c r="A128" s="10"/>
      <c r="B128" s="10"/>
      <c r="C128" s="10"/>
      <c r="D128" s="10"/>
      <c r="E128" s="10"/>
      <c r="F128" s="11"/>
      <c r="G128" s="11"/>
      <c r="H128" s="11"/>
      <c r="I128" s="11"/>
      <c r="J128" s="10"/>
      <c r="K128" s="10"/>
      <c r="L128" s="10"/>
      <c r="M128" s="11"/>
    </row>
    <row r="129" spans="1:13">
      <c r="A129" s="10"/>
      <c r="B129" s="10"/>
      <c r="C129" s="10"/>
      <c r="D129" s="10"/>
      <c r="E129" s="10"/>
      <c r="F129" s="11"/>
      <c r="G129" s="11"/>
      <c r="H129" s="11"/>
      <c r="I129" s="11"/>
      <c r="J129" s="10"/>
      <c r="K129" s="10"/>
      <c r="L129" s="10"/>
      <c r="M129" s="11"/>
    </row>
    <row r="130" spans="1:13">
      <c r="A130" s="10"/>
      <c r="B130" s="10"/>
      <c r="C130" s="10"/>
      <c r="D130" s="10"/>
      <c r="E130" s="10"/>
      <c r="F130" s="11"/>
      <c r="G130" s="11"/>
      <c r="H130" s="11"/>
      <c r="I130" s="11"/>
      <c r="J130" s="10"/>
      <c r="K130" s="10"/>
      <c r="L130" s="10"/>
      <c r="M130" s="11"/>
    </row>
    <row r="131" spans="1:13">
      <c r="A131" s="10"/>
      <c r="B131" s="10"/>
      <c r="C131" s="10"/>
      <c r="D131" s="10"/>
      <c r="E131" s="10"/>
      <c r="F131" s="11"/>
      <c r="G131" s="11"/>
      <c r="H131" s="11"/>
      <c r="I131" s="11"/>
      <c r="J131" s="10"/>
      <c r="K131" s="10"/>
      <c r="L131" s="10"/>
      <c r="M131" s="11"/>
    </row>
    <row r="132" spans="1:13">
      <c r="A132" s="10"/>
      <c r="B132" s="10"/>
      <c r="C132" s="10"/>
      <c r="D132" s="10"/>
      <c r="E132" s="10"/>
      <c r="F132" s="11"/>
      <c r="G132" s="11"/>
      <c r="H132" s="11"/>
      <c r="I132" s="11"/>
      <c r="J132" s="10"/>
      <c r="K132" s="10"/>
      <c r="L132" s="10"/>
      <c r="M132" s="11"/>
    </row>
    <row r="133" spans="1:13">
      <c r="A133" s="10"/>
      <c r="B133" s="10"/>
      <c r="C133" s="10"/>
      <c r="D133" s="10"/>
      <c r="E133" s="10"/>
      <c r="F133" s="11"/>
      <c r="G133" s="11"/>
      <c r="H133" s="11"/>
      <c r="I133" s="11"/>
      <c r="J133" s="10"/>
      <c r="K133" s="10"/>
      <c r="L133" s="10"/>
      <c r="M133" s="11"/>
    </row>
    <row r="134" spans="1:13">
      <c r="A134" s="10"/>
      <c r="B134" s="10"/>
      <c r="C134" s="10"/>
      <c r="D134" s="10"/>
      <c r="E134" s="10"/>
      <c r="F134" s="11"/>
      <c r="G134" s="11"/>
      <c r="H134" s="11"/>
      <c r="I134" s="11"/>
      <c r="J134" s="10"/>
      <c r="K134" s="10"/>
      <c r="L134" s="10"/>
      <c r="M134" s="11"/>
    </row>
    <row r="135" spans="1:13">
      <c r="A135" s="10"/>
      <c r="B135" s="10"/>
      <c r="C135" s="10"/>
      <c r="D135" s="10"/>
      <c r="E135" s="10"/>
      <c r="F135" s="11"/>
      <c r="G135" s="11"/>
      <c r="H135" s="11"/>
      <c r="I135" s="11"/>
      <c r="J135" s="10"/>
      <c r="K135" s="10"/>
      <c r="L135" s="10"/>
      <c r="M135" s="11"/>
    </row>
    <row r="136" spans="1:13">
      <c r="A136" s="10"/>
      <c r="B136" s="10"/>
      <c r="C136" s="10"/>
      <c r="D136" s="10"/>
      <c r="E136" s="10"/>
      <c r="F136" s="11"/>
      <c r="G136" s="11"/>
      <c r="H136" s="11"/>
      <c r="I136" s="11"/>
      <c r="J136" s="10"/>
      <c r="K136" s="10"/>
      <c r="L136" s="10"/>
      <c r="M136" s="11"/>
    </row>
    <row r="137" spans="1:13">
      <c r="A137" s="10"/>
      <c r="B137" s="10"/>
      <c r="C137" s="10"/>
      <c r="D137" s="10"/>
      <c r="E137" s="10"/>
      <c r="F137" s="11"/>
      <c r="G137" s="11"/>
      <c r="H137" s="11"/>
      <c r="I137" s="11"/>
      <c r="J137" s="10"/>
      <c r="K137" s="10"/>
      <c r="L137" s="10"/>
      <c r="M137" s="11"/>
    </row>
    <row r="138" spans="1:13">
      <c r="A138" s="10"/>
      <c r="B138" s="10"/>
      <c r="C138" s="10"/>
      <c r="D138" s="10"/>
      <c r="E138" s="10"/>
      <c r="F138" s="11"/>
      <c r="G138" s="11"/>
      <c r="H138" s="11"/>
      <c r="I138" s="11"/>
      <c r="J138" s="10"/>
      <c r="K138" s="10"/>
      <c r="L138" s="10"/>
      <c r="M138" s="11"/>
    </row>
    <row r="139" spans="1:13">
      <c r="A139" s="10"/>
      <c r="B139" s="10"/>
      <c r="C139" s="10"/>
      <c r="D139" s="10"/>
      <c r="E139" s="10"/>
      <c r="F139" s="11"/>
      <c r="G139" s="11"/>
      <c r="H139" s="11"/>
      <c r="I139" s="11"/>
      <c r="J139" s="10"/>
      <c r="K139" s="10"/>
      <c r="L139" s="10"/>
      <c r="M139" s="11"/>
    </row>
    <row r="140" spans="1:13">
      <c r="A140" s="10"/>
      <c r="B140" s="10"/>
      <c r="C140" s="10"/>
      <c r="D140" s="10"/>
      <c r="E140" s="10"/>
      <c r="F140" s="11"/>
      <c r="G140" s="11"/>
      <c r="H140" s="11"/>
      <c r="I140" s="11"/>
      <c r="J140" s="10"/>
      <c r="K140" s="10"/>
      <c r="L140" s="10"/>
      <c r="M140" s="11"/>
    </row>
    <row r="141" spans="1:13">
      <c r="A141" s="10"/>
      <c r="B141" s="10"/>
      <c r="C141" s="10"/>
      <c r="D141" s="10"/>
      <c r="E141" s="10"/>
      <c r="F141" s="11"/>
      <c r="G141" s="11"/>
      <c r="H141" s="11"/>
      <c r="I141" s="11"/>
      <c r="J141" s="10"/>
      <c r="K141" s="10"/>
      <c r="L141" s="10"/>
      <c r="M141" s="11"/>
    </row>
    <row r="142" spans="1:13">
      <c r="A142" s="10"/>
      <c r="B142" s="10"/>
      <c r="C142" s="10"/>
      <c r="D142" s="10"/>
      <c r="E142" s="10"/>
      <c r="F142" s="11"/>
      <c r="G142" s="11"/>
      <c r="H142" s="11"/>
      <c r="I142" s="11"/>
      <c r="J142" s="10"/>
      <c r="K142" s="10"/>
      <c r="L142" s="10"/>
      <c r="M142" s="11"/>
    </row>
    <row r="143" spans="1:13">
      <c r="A143" s="10"/>
      <c r="B143" s="10"/>
      <c r="C143" s="10"/>
      <c r="D143" s="10"/>
      <c r="E143" s="10"/>
      <c r="F143" s="11"/>
      <c r="G143" s="11"/>
      <c r="H143" s="11"/>
      <c r="I143" s="11"/>
      <c r="J143" s="10"/>
      <c r="K143" s="10"/>
      <c r="L143" s="10"/>
      <c r="M143" s="11"/>
    </row>
    <row r="144" spans="1:13">
      <c r="A144" s="10"/>
      <c r="B144" s="10"/>
      <c r="C144" s="10"/>
      <c r="D144" s="10"/>
      <c r="E144" s="10"/>
      <c r="F144" s="11"/>
      <c r="G144" s="11"/>
      <c r="H144" s="11"/>
      <c r="I144" s="11"/>
      <c r="J144" s="10"/>
      <c r="K144" s="10"/>
      <c r="L144" s="10"/>
      <c r="M144" s="11"/>
    </row>
    <row r="145" spans="1:13">
      <c r="A145" s="10"/>
      <c r="B145" s="10"/>
      <c r="C145" s="10"/>
      <c r="D145" s="10"/>
      <c r="E145" s="10"/>
      <c r="F145" s="11"/>
      <c r="G145" s="11"/>
      <c r="H145" s="11"/>
      <c r="I145" s="11"/>
      <c r="J145" s="10"/>
      <c r="K145" s="10"/>
      <c r="L145" s="10"/>
      <c r="M145" s="11"/>
    </row>
    <row r="146" spans="1:13">
      <c r="A146" s="10"/>
      <c r="B146" s="10"/>
      <c r="C146" s="10"/>
      <c r="D146" s="10"/>
      <c r="E146" s="10"/>
      <c r="F146" s="11"/>
      <c r="G146" s="11"/>
      <c r="H146" s="11"/>
      <c r="I146" s="11"/>
      <c r="J146" s="10"/>
      <c r="K146" s="10"/>
      <c r="L146" s="10"/>
      <c r="M146" s="11"/>
    </row>
    <row r="147" spans="1:13">
      <c r="A147" s="10"/>
      <c r="B147" s="10"/>
      <c r="C147" s="10"/>
      <c r="D147" s="10"/>
      <c r="E147" s="10"/>
      <c r="F147" s="11"/>
      <c r="G147" s="11"/>
      <c r="H147" s="11"/>
      <c r="I147" s="11"/>
      <c r="J147" s="10"/>
      <c r="K147" s="10"/>
      <c r="L147" s="10"/>
      <c r="M147" s="11"/>
    </row>
    <row r="148" spans="1:13">
      <c r="A148" s="10"/>
      <c r="B148" s="10"/>
      <c r="C148" s="10"/>
      <c r="D148" s="10"/>
      <c r="E148" s="10"/>
      <c r="F148" s="11"/>
      <c r="G148" s="11"/>
      <c r="H148" s="11"/>
      <c r="I148" s="11"/>
      <c r="J148" s="10"/>
      <c r="K148" s="10"/>
      <c r="L148" s="10"/>
      <c r="M148" s="11"/>
    </row>
    <row r="149" spans="1:13">
      <c r="A149" s="10"/>
      <c r="B149" s="10"/>
      <c r="C149" s="10"/>
      <c r="D149" s="10"/>
      <c r="E149" s="10"/>
      <c r="F149" s="11"/>
      <c r="G149" s="11"/>
      <c r="H149" s="11"/>
      <c r="I149" s="11"/>
      <c r="J149" s="10"/>
      <c r="K149" s="10"/>
      <c r="L149" s="10"/>
      <c r="M149" s="11"/>
    </row>
    <row r="150" spans="1:13">
      <c r="A150" s="10"/>
      <c r="B150" s="10"/>
      <c r="C150" s="10"/>
      <c r="D150" s="10"/>
      <c r="E150" s="10"/>
      <c r="F150" s="11"/>
      <c r="G150" s="11"/>
      <c r="H150" s="11"/>
      <c r="I150" s="11"/>
      <c r="J150" s="10"/>
      <c r="K150" s="10"/>
      <c r="L150" s="10"/>
      <c r="M150" s="11"/>
    </row>
    <row r="151" spans="1:13">
      <c r="A151" s="10"/>
      <c r="B151" s="10"/>
      <c r="C151" s="10"/>
      <c r="D151" s="10"/>
      <c r="E151" s="10"/>
      <c r="F151" s="11"/>
      <c r="G151" s="11"/>
      <c r="H151" s="11"/>
      <c r="I151" s="11"/>
      <c r="J151" s="10"/>
      <c r="K151" s="10"/>
      <c r="L151" s="10"/>
      <c r="M151" s="11"/>
    </row>
    <row r="152" spans="1:13">
      <c r="A152" s="10"/>
      <c r="B152" s="10"/>
      <c r="C152" s="10"/>
      <c r="D152" s="10"/>
      <c r="E152" s="10"/>
      <c r="F152" s="11"/>
      <c r="G152" s="11"/>
      <c r="H152" s="11"/>
      <c r="I152" s="11"/>
      <c r="J152" s="10"/>
      <c r="K152" s="10"/>
      <c r="L152" s="10"/>
      <c r="M152" s="11"/>
    </row>
    <row r="153" spans="1:13">
      <c r="A153" s="10"/>
      <c r="B153" s="10"/>
      <c r="C153" s="10"/>
      <c r="D153" s="10"/>
      <c r="E153" s="10"/>
      <c r="F153" s="11"/>
      <c r="G153" s="11"/>
      <c r="H153" s="11"/>
      <c r="I153" s="11"/>
      <c r="J153" s="10"/>
      <c r="K153" s="10"/>
      <c r="L153" s="10"/>
      <c r="M153" s="11"/>
    </row>
    <row r="154" spans="1:13">
      <c r="A154" s="10"/>
      <c r="B154" s="10"/>
      <c r="C154" s="10"/>
      <c r="D154" s="10"/>
      <c r="E154" s="10"/>
      <c r="F154" s="11"/>
      <c r="G154" s="11"/>
      <c r="H154" s="11"/>
      <c r="I154" s="11"/>
      <c r="J154" s="10"/>
      <c r="K154" s="10"/>
      <c r="L154" s="10"/>
      <c r="M154" s="11"/>
    </row>
    <row r="155" spans="1:13">
      <c r="A155" s="10"/>
      <c r="B155" s="10"/>
      <c r="C155" s="10"/>
      <c r="D155" s="10"/>
      <c r="E155" s="10"/>
      <c r="F155" s="11"/>
      <c r="G155" s="11"/>
      <c r="H155" s="11"/>
      <c r="I155" s="11"/>
      <c r="J155" s="10"/>
      <c r="K155" s="10"/>
      <c r="L155" s="10"/>
      <c r="M155" s="11"/>
    </row>
    <row r="156" spans="1:13">
      <c r="A156" s="10"/>
      <c r="B156" s="10"/>
      <c r="C156" s="10"/>
      <c r="D156" s="10"/>
      <c r="E156" s="10"/>
      <c r="F156" s="11"/>
      <c r="G156" s="11"/>
      <c r="H156" s="11"/>
      <c r="I156" s="11"/>
      <c r="J156" s="10"/>
      <c r="K156" s="10"/>
      <c r="L156" s="10"/>
      <c r="M156" s="11"/>
    </row>
    <row r="157" spans="1:13">
      <c r="A157" s="10"/>
      <c r="B157" s="10"/>
      <c r="C157" s="10"/>
      <c r="D157" s="10"/>
      <c r="E157" s="10"/>
      <c r="F157" s="11"/>
      <c r="G157" s="11"/>
      <c r="H157" s="11"/>
      <c r="I157" s="11"/>
      <c r="J157" s="10"/>
      <c r="K157" s="10"/>
      <c r="L157" s="10"/>
      <c r="M157" s="11"/>
    </row>
    <row r="158" spans="1:13">
      <c r="A158" s="10"/>
      <c r="B158" s="10"/>
      <c r="C158" s="10"/>
      <c r="D158" s="10"/>
      <c r="E158" s="10"/>
      <c r="F158" s="11"/>
      <c r="G158" s="11"/>
      <c r="H158" s="11"/>
      <c r="I158" s="11"/>
      <c r="J158" s="10"/>
      <c r="K158" s="10"/>
      <c r="L158" s="10"/>
      <c r="M158" s="11"/>
    </row>
    <row r="159" spans="1:13">
      <c r="A159" s="10"/>
      <c r="B159" s="10"/>
      <c r="C159" s="10"/>
      <c r="D159" s="10"/>
      <c r="E159" s="10"/>
      <c r="F159" s="11"/>
      <c r="G159" s="11"/>
      <c r="H159" s="11"/>
      <c r="I159" s="11"/>
      <c r="J159" s="10"/>
      <c r="K159" s="10"/>
      <c r="L159" s="10"/>
      <c r="M159" s="11"/>
    </row>
    <row r="160" spans="1:13">
      <c r="A160" s="10"/>
      <c r="B160" s="10"/>
      <c r="C160" s="10"/>
      <c r="D160" s="10"/>
      <c r="E160" s="10"/>
      <c r="F160" s="11"/>
      <c r="G160" s="11"/>
      <c r="H160" s="11"/>
      <c r="I160" s="11"/>
      <c r="J160" s="10"/>
      <c r="K160" s="10"/>
      <c r="L160" s="10"/>
      <c r="M160" s="11"/>
    </row>
    <row r="161" spans="1:13">
      <c r="A161" s="10"/>
      <c r="B161" s="10"/>
      <c r="C161" s="10"/>
      <c r="D161" s="10"/>
      <c r="E161" s="10"/>
      <c r="F161" s="11"/>
      <c r="G161" s="11"/>
      <c r="H161" s="11"/>
      <c r="I161" s="11"/>
      <c r="J161" s="10"/>
      <c r="K161" s="10"/>
      <c r="L161" s="10"/>
      <c r="M161" s="11"/>
    </row>
    <row r="162" spans="1:13">
      <c r="A162" s="10"/>
      <c r="B162" s="10"/>
      <c r="C162" s="10"/>
      <c r="D162" s="10"/>
      <c r="E162" s="10"/>
      <c r="F162" s="11"/>
      <c r="G162" s="11"/>
      <c r="H162" s="11"/>
      <c r="I162" s="11"/>
      <c r="J162" s="10"/>
      <c r="K162" s="10"/>
      <c r="L162" s="10"/>
      <c r="M162" s="11"/>
    </row>
    <row r="163" spans="1:13">
      <c r="A163" s="10"/>
      <c r="B163" s="10"/>
      <c r="C163" s="10"/>
      <c r="D163" s="10"/>
      <c r="E163" s="10"/>
      <c r="F163" s="11"/>
      <c r="G163" s="11"/>
      <c r="H163" s="11"/>
      <c r="I163" s="11"/>
      <c r="J163" s="10"/>
      <c r="K163" s="10"/>
      <c r="L163" s="10"/>
      <c r="M163" s="11"/>
    </row>
    <row r="164" spans="1:13">
      <c r="A164" s="10"/>
      <c r="B164" s="10"/>
      <c r="C164" s="10"/>
      <c r="D164" s="10"/>
      <c r="E164" s="10"/>
      <c r="F164" s="11"/>
      <c r="G164" s="11"/>
      <c r="H164" s="11"/>
      <c r="I164" s="11"/>
      <c r="J164" s="10"/>
      <c r="K164" s="10"/>
      <c r="L164" s="10"/>
      <c r="M164" s="11"/>
    </row>
    <row r="165" spans="1:13">
      <c r="A165" s="10"/>
      <c r="B165" s="10"/>
      <c r="C165" s="10"/>
      <c r="D165" s="10"/>
      <c r="E165" s="10"/>
      <c r="F165" s="11"/>
      <c r="G165" s="11"/>
      <c r="H165" s="11"/>
      <c r="I165" s="11"/>
      <c r="J165" s="10"/>
      <c r="K165" s="10"/>
      <c r="L165" s="10"/>
      <c r="M165" s="11"/>
    </row>
    <row r="166" spans="1:13">
      <c r="A166" s="10"/>
      <c r="B166" s="10"/>
      <c r="C166" s="10"/>
      <c r="D166" s="10"/>
      <c r="E166" s="10"/>
      <c r="F166" s="11"/>
      <c r="G166" s="11"/>
      <c r="H166" s="11"/>
      <c r="I166" s="11"/>
      <c r="J166" s="10"/>
      <c r="K166" s="10"/>
      <c r="L166" s="10"/>
      <c r="M166" s="11"/>
    </row>
    <row r="167" spans="1:13">
      <c r="A167" s="10"/>
      <c r="B167" s="10"/>
      <c r="C167" s="10"/>
      <c r="D167" s="10"/>
      <c r="E167" s="10"/>
      <c r="F167" s="11"/>
      <c r="G167" s="11"/>
      <c r="H167" s="11"/>
      <c r="I167" s="11"/>
      <c r="J167" s="10"/>
      <c r="K167" s="10"/>
      <c r="L167" s="10"/>
      <c r="M167" s="11"/>
    </row>
    <row r="168" spans="1:13">
      <c r="A168" s="10"/>
      <c r="B168" s="10"/>
      <c r="C168" s="10"/>
      <c r="D168" s="10"/>
      <c r="E168" s="10"/>
      <c r="F168" s="11"/>
      <c r="G168" s="11"/>
      <c r="H168" s="11"/>
      <c r="I168" s="11"/>
      <c r="J168" s="10"/>
      <c r="K168" s="10"/>
      <c r="L168" s="10"/>
      <c r="M168" s="11"/>
    </row>
    <row r="169" spans="1:13">
      <c r="A169" s="10"/>
      <c r="B169" s="10"/>
      <c r="C169" s="10"/>
      <c r="D169" s="10"/>
      <c r="E169" s="10"/>
      <c r="F169" s="11"/>
      <c r="G169" s="11"/>
      <c r="H169" s="11"/>
      <c r="I169" s="11"/>
      <c r="J169" s="10"/>
      <c r="K169" s="10"/>
      <c r="L169" s="10"/>
      <c r="M169" s="11"/>
    </row>
    <row r="170" spans="1:13">
      <c r="A170" s="10"/>
      <c r="B170" s="10"/>
      <c r="C170" s="10"/>
      <c r="D170" s="10"/>
      <c r="E170" s="10"/>
      <c r="F170" s="11"/>
      <c r="G170" s="11"/>
      <c r="H170" s="11"/>
      <c r="I170" s="11"/>
      <c r="J170" s="10"/>
      <c r="K170" s="10"/>
      <c r="L170" s="10"/>
      <c r="M170" s="11"/>
    </row>
    <row r="171" spans="1:13">
      <c r="A171" s="10"/>
      <c r="B171" s="10"/>
      <c r="C171" s="10"/>
      <c r="D171" s="10"/>
      <c r="E171" s="10"/>
      <c r="F171" s="11"/>
      <c r="G171" s="11"/>
      <c r="H171" s="11"/>
      <c r="I171" s="11"/>
      <c r="J171" s="10"/>
      <c r="K171" s="10"/>
      <c r="L171" s="10"/>
      <c r="M171" s="11"/>
    </row>
    <row r="172" spans="1:13">
      <c r="A172" s="10"/>
      <c r="B172" s="10"/>
      <c r="C172" s="10"/>
      <c r="D172" s="10"/>
      <c r="E172" s="10"/>
      <c r="F172" s="11"/>
      <c r="G172" s="11"/>
      <c r="H172" s="11"/>
      <c r="I172" s="11"/>
      <c r="J172" s="10"/>
      <c r="K172" s="10"/>
      <c r="L172" s="10"/>
      <c r="M172" s="11"/>
    </row>
    <row r="173" spans="1:13">
      <c r="A173" s="10"/>
      <c r="B173" s="10"/>
      <c r="C173" s="10"/>
      <c r="D173" s="10"/>
      <c r="E173" s="10"/>
      <c r="F173" s="11"/>
      <c r="G173" s="11"/>
      <c r="H173" s="11"/>
      <c r="I173" s="11"/>
      <c r="J173" s="10"/>
      <c r="K173" s="10"/>
      <c r="L173" s="10"/>
      <c r="M173" s="11"/>
    </row>
    <row r="174" spans="1:13">
      <c r="A174" s="10"/>
      <c r="B174" s="10"/>
      <c r="C174" s="10"/>
      <c r="D174" s="10"/>
      <c r="E174" s="10"/>
      <c r="F174" s="11"/>
      <c r="G174" s="11"/>
      <c r="H174" s="11"/>
      <c r="I174" s="11"/>
      <c r="J174" s="10"/>
      <c r="K174" s="10"/>
      <c r="L174" s="10"/>
      <c r="M174" s="11"/>
    </row>
    <row r="175" spans="1:13">
      <c r="A175" s="10"/>
      <c r="B175" s="10"/>
      <c r="C175" s="10"/>
      <c r="D175" s="10"/>
      <c r="E175" s="10"/>
      <c r="F175" s="11"/>
      <c r="G175" s="11"/>
      <c r="H175" s="11"/>
      <c r="I175" s="11"/>
      <c r="J175" s="10"/>
      <c r="K175" s="10"/>
      <c r="L175" s="10"/>
      <c r="M175" s="11"/>
    </row>
    <row r="176" spans="1:13">
      <c r="A176" s="10"/>
      <c r="B176" s="10"/>
      <c r="C176" s="10"/>
      <c r="D176" s="10"/>
      <c r="E176" s="10"/>
      <c r="F176" s="11"/>
      <c r="G176" s="11"/>
      <c r="H176" s="11"/>
      <c r="I176" s="11"/>
      <c r="J176" s="10"/>
      <c r="K176" s="10"/>
      <c r="L176" s="10"/>
      <c r="M176" s="11"/>
    </row>
    <row r="177" spans="1:13">
      <c r="A177" s="10"/>
      <c r="B177" s="10"/>
      <c r="C177" s="10"/>
      <c r="D177" s="10"/>
      <c r="E177" s="10"/>
      <c r="F177" s="11"/>
      <c r="G177" s="11"/>
      <c r="H177" s="11"/>
      <c r="I177" s="11"/>
      <c r="J177" s="10"/>
      <c r="K177" s="10"/>
      <c r="L177" s="10"/>
      <c r="M177" s="11"/>
    </row>
    <row r="178" spans="1:13">
      <c r="A178" s="10"/>
      <c r="B178" s="10"/>
      <c r="C178" s="10"/>
      <c r="D178" s="10"/>
      <c r="E178" s="10"/>
      <c r="F178" s="11"/>
      <c r="G178" s="11"/>
      <c r="H178" s="11"/>
      <c r="I178" s="11"/>
      <c r="J178" s="10"/>
      <c r="K178" s="10"/>
      <c r="L178" s="10"/>
      <c r="M178" s="11"/>
    </row>
    <row r="179" spans="1:13">
      <c r="A179" s="10"/>
      <c r="B179" s="10"/>
      <c r="C179" s="10"/>
      <c r="D179" s="10"/>
      <c r="E179" s="10"/>
      <c r="F179" s="11"/>
      <c r="G179" s="11"/>
      <c r="H179" s="11"/>
      <c r="I179" s="11"/>
      <c r="J179" s="10"/>
      <c r="K179" s="10"/>
      <c r="L179" s="10"/>
      <c r="M179" s="11"/>
    </row>
    <row r="180" spans="1:13">
      <c r="A180" s="10"/>
      <c r="B180" s="10"/>
      <c r="C180" s="10"/>
      <c r="D180" s="10"/>
      <c r="E180" s="10"/>
      <c r="F180" s="11"/>
      <c r="G180" s="11"/>
      <c r="H180" s="11"/>
      <c r="I180" s="11"/>
      <c r="J180" s="10"/>
      <c r="K180" s="10"/>
      <c r="L180" s="10"/>
      <c r="M180" s="11"/>
    </row>
    <row r="181" spans="1:13">
      <c r="A181" s="10"/>
      <c r="B181" s="10"/>
      <c r="C181" s="10"/>
      <c r="D181" s="10"/>
      <c r="E181" s="10"/>
      <c r="F181" s="11"/>
      <c r="G181" s="11"/>
      <c r="H181" s="11"/>
      <c r="I181" s="11"/>
      <c r="J181" s="10"/>
      <c r="K181" s="10"/>
      <c r="L181" s="10"/>
      <c r="M181" s="11"/>
    </row>
    <row r="182" spans="1:13">
      <c r="A182" s="10"/>
      <c r="B182" s="10"/>
      <c r="C182" s="10"/>
      <c r="D182" s="10"/>
      <c r="E182" s="10"/>
      <c r="F182" s="11"/>
      <c r="G182" s="11"/>
      <c r="H182" s="11"/>
      <c r="I182" s="11"/>
      <c r="J182" s="10"/>
      <c r="K182" s="10"/>
      <c r="L182" s="10"/>
      <c r="M182" s="11"/>
    </row>
    <row r="183" spans="1:13">
      <c r="A183" s="10"/>
      <c r="B183" s="10"/>
      <c r="C183" s="10"/>
      <c r="D183" s="10"/>
      <c r="E183" s="10"/>
      <c r="F183" s="11"/>
      <c r="G183" s="11"/>
      <c r="H183" s="11"/>
      <c r="I183" s="11"/>
      <c r="J183" s="10"/>
      <c r="K183" s="10"/>
      <c r="L183" s="10"/>
      <c r="M183" s="11"/>
    </row>
    <row r="184" spans="1:13">
      <c r="A184" s="10"/>
      <c r="B184" s="10"/>
      <c r="C184" s="10"/>
      <c r="D184" s="10"/>
      <c r="E184" s="10"/>
      <c r="F184" s="11"/>
      <c r="G184" s="11"/>
      <c r="H184" s="11"/>
      <c r="I184" s="11"/>
      <c r="J184" s="10"/>
      <c r="K184" s="10"/>
      <c r="L184" s="10"/>
      <c r="M184" s="11"/>
    </row>
    <row r="185" spans="1:13">
      <c r="A185" s="10"/>
      <c r="B185" s="10"/>
      <c r="C185" s="10"/>
      <c r="D185" s="10"/>
      <c r="E185" s="10"/>
      <c r="F185" s="11"/>
      <c r="G185" s="11"/>
      <c r="H185" s="11"/>
      <c r="I185" s="11"/>
      <c r="J185" s="10"/>
      <c r="K185" s="10"/>
      <c r="L185" s="10"/>
      <c r="M185" s="11"/>
    </row>
    <row r="186" spans="1:13">
      <c r="A186" s="10"/>
      <c r="B186" s="10"/>
      <c r="C186" s="10"/>
      <c r="D186" s="10"/>
      <c r="E186" s="10"/>
      <c r="F186" s="11"/>
      <c r="G186" s="11"/>
      <c r="H186" s="11"/>
      <c r="I186" s="11"/>
      <c r="J186" s="10"/>
      <c r="K186" s="10"/>
      <c r="L186" s="10"/>
      <c r="M186" s="11"/>
    </row>
    <row r="187" spans="1:13">
      <c r="A187" s="10"/>
      <c r="B187" s="10"/>
      <c r="C187" s="10"/>
      <c r="D187" s="10"/>
      <c r="E187" s="10"/>
      <c r="F187" s="11"/>
      <c r="G187" s="11"/>
      <c r="H187" s="11"/>
      <c r="I187" s="11"/>
      <c r="J187" s="10"/>
      <c r="K187" s="10"/>
      <c r="L187" s="10"/>
      <c r="M187" s="11"/>
    </row>
    <row r="188" spans="1:13">
      <c r="A188" s="10"/>
      <c r="B188" s="10"/>
      <c r="C188" s="10"/>
      <c r="D188" s="10"/>
      <c r="E188" s="10"/>
      <c r="F188" s="11"/>
      <c r="G188" s="11"/>
      <c r="H188" s="11"/>
      <c r="I188" s="11"/>
      <c r="J188" s="10"/>
      <c r="K188" s="10"/>
      <c r="L188" s="10"/>
      <c r="M188" s="11"/>
    </row>
    <row r="189" spans="1:13">
      <c r="A189" s="10"/>
      <c r="B189" s="10"/>
      <c r="C189" s="10"/>
      <c r="D189" s="10"/>
      <c r="E189" s="10"/>
      <c r="F189" s="11"/>
      <c r="G189" s="11"/>
      <c r="H189" s="11"/>
      <c r="I189" s="11"/>
      <c r="J189" s="10"/>
      <c r="K189" s="10"/>
      <c r="L189" s="10"/>
      <c r="M189" s="11"/>
    </row>
    <row r="190" spans="1:13">
      <c r="A190" s="10"/>
      <c r="B190" s="10"/>
      <c r="C190" s="10"/>
      <c r="D190" s="10"/>
      <c r="E190" s="10"/>
      <c r="F190" s="11"/>
      <c r="G190" s="11"/>
      <c r="H190" s="11"/>
      <c r="I190" s="11"/>
      <c r="J190" s="10"/>
      <c r="K190" s="10"/>
      <c r="L190" s="10"/>
      <c r="M190" s="11"/>
    </row>
    <row r="191" spans="1:13">
      <c r="A191" s="10"/>
      <c r="B191" s="10"/>
      <c r="C191" s="10"/>
      <c r="D191" s="10"/>
      <c r="E191" s="10"/>
      <c r="F191" s="11"/>
      <c r="G191" s="11"/>
      <c r="H191" s="11"/>
      <c r="I191" s="11"/>
      <c r="J191" s="10"/>
      <c r="K191" s="10"/>
      <c r="L191" s="10"/>
      <c r="M191" s="11"/>
    </row>
    <row r="192" spans="1:13">
      <c r="A192" s="10"/>
      <c r="B192" s="10"/>
      <c r="C192" s="10"/>
      <c r="D192" s="10"/>
      <c r="E192" s="10"/>
      <c r="F192" s="11"/>
      <c r="G192" s="11"/>
      <c r="H192" s="11"/>
      <c r="I192" s="11"/>
      <c r="J192" s="10"/>
      <c r="K192" s="10"/>
      <c r="L192" s="10"/>
      <c r="M192" s="11"/>
    </row>
    <row r="193" spans="1:13">
      <c r="A193" s="10"/>
      <c r="B193" s="10"/>
      <c r="C193" s="10"/>
      <c r="D193" s="10"/>
      <c r="E193" s="10"/>
      <c r="F193" s="11"/>
      <c r="G193" s="11"/>
      <c r="H193" s="11"/>
      <c r="I193" s="11"/>
      <c r="J193" s="10"/>
      <c r="K193" s="10"/>
      <c r="L193" s="10"/>
      <c r="M193" s="11"/>
    </row>
    <row r="194" spans="1:13">
      <c r="A194" s="10"/>
      <c r="B194" s="10"/>
      <c r="C194" s="10"/>
      <c r="D194" s="10"/>
      <c r="E194" s="10"/>
      <c r="F194" s="11"/>
      <c r="G194" s="11"/>
      <c r="H194" s="11"/>
      <c r="I194" s="11"/>
      <c r="J194" s="10"/>
      <c r="K194" s="10"/>
      <c r="L194" s="10"/>
      <c r="M194" s="11"/>
    </row>
    <row r="195" spans="1:13">
      <c r="A195" s="10"/>
      <c r="B195" s="10"/>
      <c r="C195" s="10"/>
      <c r="D195" s="10"/>
      <c r="E195" s="10"/>
      <c r="F195" s="11"/>
      <c r="G195" s="11"/>
      <c r="H195" s="11"/>
      <c r="I195" s="11"/>
      <c r="J195" s="10"/>
      <c r="K195" s="10"/>
      <c r="L195" s="10"/>
      <c r="M195" s="11"/>
    </row>
    <row r="196" spans="1:13">
      <c r="A196" s="10"/>
      <c r="B196" s="10"/>
      <c r="C196" s="10"/>
      <c r="D196" s="10"/>
      <c r="E196" s="10"/>
      <c r="F196" s="11"/>
      <c r="G196" s="11"/>
      <c r="H196" s="11"/>
      <c r="I196" s="11"/>
      <c r="J196" s="10"/>
      <c r="K196" s="10"/>
      <c r="L196" s="10"/>
      <c r="M196" s="11"/>
    </row>
    <row r="197" spans="1:13">
      <c r="A197" s="10"/>
      <c r="B197" s="10"/>
      <c r="C197" s="10"/>
      <c r="D197" s="10"/>
      <c r="E197" s="10"/>
      <c r="F197" s="11"/>
      <c r="G197" s="11"/>
      <c r="H197" s="11"/>
      <c r="I197" s="11"/>
      <c r="J197" s="10"/>
      <c r="K197" s="10"/>
      <c r="L197" s="10"/>
      <c r="M197" s="11"/>
    </row>
    <row r="198" spans="1:13">
      <c r="A198" s="10"/>
      <c r="B198" s="10"/>
      <c r="C198" s="10"/>
      <c r="D198" s="10"/>
      <c r="E198" s="10"/>
      <c r="F198" s="11"/>
      <c r="G198" s="11"/>
      <c r="H198" s="11"/>
      <c r="I198" s="11"/>
      <c r="J198" s="10"/>
      <c r="K198" s="10"/>
      <c r="L198" s="10"/>
      <c r="M198" s="11"/>
    </row>
    <row r="199" spans="1:13">
      <c r="A199" s="10"/>
      <c r="B199" s="10"/>
      <c r="C199" s="10"/>
      <c r="D199" s="10"/>
      <c r="E199" s="10"/>
      <c r="F199" s="11"/>
      <c r="G199" s="11"/>
      <c r="H199" s="11"/>
      <c r="I199" s="11"/>
      <c r="J199" s="10"/>
      <c r="K199" s="10"/>
      <c r="L199" s="10"/>
      <c r="M199" s="11"/>
    </row>
    <row r="200" spans="1:13">
      <c r="A200" s="10"/>
      <c r="B200" s="10"/>
      <c r="C200" s="10"/>
      <c r="D200" s="10"/>
      <c r="E200" s="10"/>
      <c r="F200" s="11"/>
      <c r="G200" s="11"/>
      <c r="H200" s="11"/>
      <c r="I200" s="11"/>
      <c r="J200" s="10"/>
      <c r="K200" s="10"/>
      <c r="L200" s="10"/>
      <c r="M200" s="11"/>
    </row>
    <row r="201" spans="1:13">
      <c r="A201" s="10"/>
      <c r="B201" s="10"/>
      <c r="C201" s="10"/>
      <c r="D201" s="10"/>
      <c r="E201" s="10"/>
      <c r="F201" s="11"/>
      <c r="G201" s="11"/>
      <c r="H201" s="11"/>
      <c r="I201" s="11"/>
      <c r="J201" s="10"/>
      <c r="K201" s="10"/>
      <c r="L201" s="10"/>
      <c r="M201" s="11"/>
    </row>
    <row r="202" spans="1:13">
      <c r="A202" s="10"/>
      <c r="B202" s="10"/>
      <c r="C202" s="10"/>
      <c r="D202" s="10"/>
      <c r="E202" s="10"/>
      <c r="F202" s="11"/>
      <c r="G202" s="11"/>
      <c r="H202" s="11"/>
      <c r="I202" s="11"/>
      <c r="J202" s="10"/>
      <c r="K202" s="10"/>
      <c r="L202" s="10"/>
      <c r="M202" s="11"/>
    </row>
    <row r="203" spans="1:13">
      <c r="A203" s="10"/>
      <c r="B203" s="10"/>
      <c r="C203" s="10"/>
      <c r="D203" s="10"/>
      <c r="E203" s="10"/>
      <c r="F203" s="11"/>
      <c r="G203" s="11"/>
      <c r="H203" s="11"/>
      <c r="I203" s="11"/>
      <c r="J203" s="10"/>
      <c r="K203" s="10"/>
      <c r="L203" s="10"/>
      <c r="M203" s="11"/>
    </row>
    <row r="204" spans="1:13">
      <c r="A204" s="10"/>
      <c r="B204" s="10"/>
      <c r="C204" s="10"/>
      <c r="D204" s="10"/>
      <c r="E204" s="10"/>
      <c r="F204" s="11"/>
      <c r="G204" s="11"/>
      <c r="H204" s="11"/>
      <c r="I204" s="11"/>
      <c r="J204" s="10"/>
      <c r="K204" s="10"/>
      <c r="L204" s="10"/>
      <c r="M204" s="11"/>
    </row>
    <row r="205" spans="1:13">
      <c r="A205" s="10"/>
      <c r="B205" s="10"/>
      <c r="C205" s="10"/>
      <c r="D205" s="10"/>
      <c r="E205" s="10"/>
      <c r="F205" s="11"/>
      <c r="G205" s="11"/>
      <c r="H205" s="11"/>
      <c r="I205" s="11"/>
      <c r="J205" s="10"/>
      <c r="K205" s="10"/>
      <c r="L205" s="10"/>
      <c r="M205" s="11"/>
    </row>
    <row r="206" spans="1:13">
      <c r="A206" s="10"/>
      <c r="B206" s="10"/>
      <c r="C206" s="10"/>
      <c r="D206" s="10"/>
      <c r="E206" s="10"/>
      <c r="F206" s="11"/>
      <c r="G206" s="11"/>
      <c r="H206" s="11"/>
      <c r="I206" s="11"/>
      <c r="J206" s="10"/>
      <c r="K206" s="10"/>
      <c r="L206" s="10"/>
      <c r="M206" s="11"/>
    </row>
    <row r="207" spans="1:13">
      <c r="A207" s="10"/>
      <c r="B207" s="10"/>
      <c r="C207" s="10"/>
      <c r="D207" s="10"/>
      <c r="E207" s="10"/>
      <c r="F207" s="11"/>
      <c r="G207" s="11"/>
      <c r="H207" s="11"/>
      <c r="I207" s="11"/>
      <c r="J207" s="10"/>
      <c r="K207" s="10"/>
      <c r="L207" s="10"/>
      <c r="M207" s="11"/>
    </row>
    <row r="208" spans="1:13">
      <c r="A208" s="10"/>
      <c r="B208" s="10"/>
      <c r="C208" s="10"/>
      <c r="D208" s="10"/>
      <c r="E208" s="10"/>
      <c r="F208" s="11"/>
      <c r="G208" s="11"/>
      <c r="H208" s="11"/>
      <c r="I208" s="11"/>
      <c r="J208" s="10"/>
      <c r="K208" s="10"/>
      <c r="L208" s="10"/>
      <c r="M208" s="11"/>
    </row>
    <row r="209" spans="1:13">
      <c r="A209" s="10"/>
      <c r="B209" s="10"/>
      <c r="C209" s="10"/>
      <c r="D209" s="10"/>
      <c r="E209" s="10"/>
      <c r="F209" s="11"/>
      <c r="G209" s="11"/>
      <c r="H209" s="11"/>
      <c r="I209" s="11"/>
      <c r="J209" s="10"/>
      <c r="K209" s="10"/>
      <c r="L209" s="10"/>
      <c r="M209" s="11"/>
    </row>
    <row r="210" spans="1:13">
      <c r="A210" s="10"/>
      <c r="B210" s="10"/>
      <c r="C210" s="10"/>
      <c r="D210" s="10"/>
      <c r="E210" s="10"/>
      <c r="F210" s="11"/>
      <c r="G210" s="11"/>
      <c r="H210" s="11"/>
      <c r="I210" s="11"/>
      <c r="J210" s="10"/>
      <c r="K210" s="10"/>
      <c r="L210" s="10"/>
      <c r="M210" s="11"/>
    </row>
    <row r="211" spans="1:13">
      <c r="A211" s="10"/>
      <c r="B211" s="10"/>
      <c r="C211" s="10"/>
      <c r="D211" s="10"/>
      <c r="E211" s="10"/>
      <c r="F211" s="11"/>
      <c r="G211" s="11"/>
      <c r="H211" s="11"/>
      <c r="I211" s="11"/>
      <c r="J211" s="10"/>
      <c r="K211" s="10"/>
      <c r="L211" s="10"/>
      <c r="M211" s="11"/>
    </row>
    <row r="212" spans="1:13">
      <c r="A212" s="10"/>
      <c r="B212" s="10"/>
      <c r="C212" s="10"/>
      <c r="D212" s="10"/>
      <c r="E212" s="10"/>
      <c r="F212" s="11"/>
      <c r="G212" s="11"/>
      <c r="H212" s="11"/>
      <c r="I212" s="11"/>
      <c r="J212" s="10"/>
      <c r="K212" s="10"/>
      <c r="L212" s="10"/>
      <c r="M212" s="11"/>
    </row>
    <row r="213" spans="1:13">
      <c r="A213" s="10"/>
      <c r="B213" s="10"/>
      <c r="C213" s="10"/>
      <c r="D213" s="10"/>
      <c r="E213" s="10"/>
      <c r="F213" s="11"/>
      <c r="G213" s="11"/>
      <c r="H213" s="11"/>
      <c r="I213" s="11"/>
      <c r="J213" s="10"/>
      <c r="K213" s="10"/>
      <c r="L213" s="10"/>
      <c r="M213" s="11"/>
    </row>
    <row r="214" spans="1:13">
      <c r="A214" s="10"/>
      <c r="B214" s="10"/>
      <c r="C214" s="10"/>
      <c r="D214" s="10"/>
      <c r="E214" s="10"/>
      <c r="F214" s="11"/>
      <c r="G214" s="11"/>
      <c r="H214" s="11"/>
      <c r="I214" s="11"/>
      <c r="J214" s="10"/>
      <c r="K214" s="10"/>
      <c r="L214" s="10"/>
      <c r="M214" s="11"/>
    </row>
    <row r="215" spans="1:13">
      <c r="A215" s="10"/>
      <c r="B215" s="10"/>
      <c r="C215" s="10"/>
      <c r="D215" s="10"/>
      <c r="E215" s="10"/>
      <c r="F215" s="11"/>
      <c r="G215" s="11"/>
      <c r="H215" s="11"/>
      <c r="I215" s="11"/>
      <c r="J215" s="10"/>
      <c r="K215" s="10"/>
      <c r="L215" s="10"/>
      <c r="M215" s="11"/>
    </row>
    <row r="216" spans="1:13">
      <c r="A216" s="10"/>
      <c r="B216" s="10"/>
      <c r="C216" s="10"/>
      <c r="D216" s="10"/>
      <c r="E216" s="10"/>
      <c r="F216" s="11"/>
      <c r="G216" s="11"/>
      <c r="H216" s="11"/>
      <c r="I216" s="11"/>
      <c r="J216" s="10"/>
      <c r="K216" s="10"/>
      <c r="L216" s="10"/>
      <c r="M216" s="11"/>
    </row>
    <row r="217" spans="1:13">
      <c r="A217" s="10"/>
      <c r="B217" s="10"/>
      <c r="C217" s="10"/>
      <c r="D217" s="10"/>
      <c r="E217" s="10"/>
      <c r="F217" s="11"/>
      <c r="G217" s="11"/>
      <c r="H217" s="11"/>
      <c r="I217" s="11"/>
      <c r="J217" s="10"/>
      <c r="K217" s="10"/>
      <c r="L217" s="10"/>
      <c r="M217" s="11"/>
    </row>
    <row r="218" spans="1:13">
      <c r="A218" s="10"/>
      <c r="B218" s="10"/>
      <c r="C218" s="10"/>
      <c r="D218" s="10"/>
      <c r="E218" s="10"/>
      <c r="F218" s="11"/>
      <c r="G218" s="11"/>
      <c r="H218" s="11"/>
      <c r="I218" s="11"/>
      <c r="J218" s="10"/>
      <c r="K218" s="10"/>
      <c r="L218" s="10"/>
      <c r="M218" s="11"/>
    </row>
    <row r="219" spans="1:13">
      <c r="A219" s="10"/>
      <c r="B219" s="10"/>
      <c r="C219" s="10"/>
      <c r="D219" s="10"/>
      <c r="E219" s="10"/>
      <c r="F219" s="11"/>
      <c r="G219" s="11"/>
      <c r="H219" s="11"/>
      <c r="I219" s="11"/>
      <c r="J219" s="10"/>
      <c r="K219" s="10"/>
      <c r="L219" s="10"/>
      <c r="M219" s="11"/>
    </row>
    <row r="220" spans="1:13">
      <c r="A220" s="10"/>
      <c r="B220" s="10"/>
      <c r="C220" s="10"/>
      <c r="D220" s="10"/>
      <c r="E220" s="10"/>
      <c r="F220" s="11"/>
      <c r="G220" s="11"/>
      <c r="H220" s="11"/>
      <c r="I220" s="11"/>
      <c r="J220" s="10"/>
      <c r="K220" s="10"/>
      <c r="L220" s="10"/>
      <c r="M220" s="11"/>
    </row>
    <row r="221" spans="1:13">
      <c r="A221" s="10"/>
      <c r="B221" s="10"/>
      <c r="C221" s="10"/>
      <c r="D221" s="10"/>
      <c r="E221" s="10"/>
      <c r="F221" s="11"/>
      <c r="G221" s="11"/>
      <c r="H221" s="11"/>
      <c r="I221" s="11"/>
      <c r="J221" s="10"/>
      <c r="K221" s="10"/>
      <c r="L221" s="10"/>
      <c r="M221" s="11"/>
    </row>
    <row r="222" spans="1:13">
      <c r="A222" s="10"/>
      <c r="B222" s="10"/>
      <c r="C222" s="10"/>
      <c r="D222" s="10"/>
      <c r="E222" s="10"/>
      <c r="F222" s="11"/>
      <c r="G222" s="11"/>
      <c r="H222" s="11"/>
      <c r="I222" s="11"/>
      <c r="J222" s="10"/>
      <c r="K222" s="10"/>
      <c r="L222" s="10"/>
      <c r="M222" s="11"/>
    </row>
    <row r="223" spans="1:13">
      <c r="A223" s="10"/>
      <c r="B223" s="10"/>
      <c r="C223" s="10"/>
      <c r="D223" s="10"/>
      <c r="E223" s="10"/>
      <c r="F223" s="11"/>
      <c r="G223" s="11"/>
      <c r="H223" s="11"/>
      <c r="I223" s="11"/>
      <c r="J223" s="10"/>
      <c r="K223" s="10"/>
      <c r="L223" s="10"/>
      <c r="M223" s="11"/>
    </row>
    <row r="224" spans="1:13">
      <c r="A224" s="10"/>
      <c r="B224" s="10"/>
      <c r="C224" s="10"/>
      <c r="D224" s="10"/>
      <c r="E224" s="10"/>
      <c r="F224" s="11"/>
      <c r="G224" s="11"/>
      <c r="H224" s="11"/>
      <c r="I224" s="11"/>
      <c r="J224" s="10"/>
      <c r="K224" s="10"/>
      <c r="L224" s="10"/>
      <c r="M224" s="11"/>
    </row>
    <row r="225" spans="1:13">
      <c r="A225" s="10"/>
      <c r="B225" s="10"/>
      <c r="C225" s="10"/>
      <c r="D225" s="10"/>
      <c r="E225" s="10"/>
      <c r="F225" s="11"/>
      <c r="G225" s="11"/>
      <c r="H225" s="11"/>
      <c r="I225" s="11"/>
      <c r="J225" s="10"/>
      <c r="K225" s="10"/>
      <c r="L225" s="10"/>
      <c r="M225" s="11"/>
    </row>
    <row r="226" spans="1:13">
      <c r="A226" s="10"/>
      <c r="B226" s="10"/>
      <c r="C226" s="10"/>
      <c r="D226" s="10"/>
      <c r="E226" s="10"/>
      <c r="F226" s="11"/>
      <c r="G226" s="11"/>
      <c r="H226" s="11"/>
      <c r="I226" s="11"/>
      <c r="J226" s="10"/>
      <c r="K226" s="10"/>
      <c r="L226" s="10"/>
      <c r="M226" s="11"/>
    </row>
    <row r="227" spans="1:13">
      <c r="A227" s="10"/>
      <c r="B227" s="10"/>
      <c r="C227" s="10"/>
      <c r="D227" s="10"/>
      <c r="E227" s="10"/>
      <c r="F227" s="11"/>
      <c r="G227" s="11"/>
      <c r="H227" s="11"/>
      <c r="I227" s="11"/>
      <c r="J227" s="10"/>
      <c r="K227" s="10"/>
      <c r="L227" s="10"/>
      <c r="M227" s="11"/>
    </row>
    <row r="228" spans="1:13">
      <c r="A228" s="10"/>
      <c r="B228" s="10"/>
      <c r="C228" s="10"/>
      <c r="D228" s="10"/>
      <c r="E228" s="10"/>
      <c r="F228" s="11"/>
      <c r="G228" s="11"/>
      <c r="H228" s="11"/>
      <c r="I228" s="11"/>
      <c r="J228" s="10"/>
      <c r="K228" s="10"/>
      <c r="L228" s="10"/>
      <c r="M228" s="11"/>
    </row>
    <row r="229" spans="1:13">
      <c r="A229" s="10"/>
      <c r="B229" s="10"/>
      <c r="C229" s="10"/>
      <c r="D229" s="10"/>
      <c r="E229" s="10"/>
      <c r="F229" s="11"/>
      <c r="G229" s="11"/>
      <c r="H229" s="11"/>
      <c r="I229" s="11"/>
      <c r="J229" s="10"/>
      <c r="K229" s="10"/>
      <c r="L229" s="10"/>
      <c r="M229" s="11"/>
    </row>
    <row r="230" spans="1:13">
      <c r="A230" s="10"/>
      <c r="B230" s="10"/>
      <c r="C230" s="10"/>
      <c r="D230" s="10"/>
      <c r="E230" s="10"/>
      <c r="F230" s="11"/>
      <c r="G230" s="11"/>
      <c r="H230" s="11"/>
      <c r="I230" s="11"/>
      <c r="J230" s="10"/>
      <c r="K230" s="10"/>
      <c r="L230" s="10"/>
      <c r="M230" s="11"/>
    </row>
    <row r="231" spans="1:13">
      <c r="A231" s="10"/>
      <c r="B231" s="10"/>
      <c r="C231" s="10"/>
      <c r="D231" s="10"/>
      <c r="E231" s="10"/>
      <c r="F231" s="11"/>
      <c r="G231" s="11"/>
      <c r="H231" s="11"/>
      <c r="I231" s="11"/>
      <c r="J231" s="10"/>
      <c r="K231" s="10"/>
      <c r="L231" s="10"/>
      <c r="M231" s="11"/>
    </row>
    <row r="232" spans="1:13">
      <c r="A232" s="10"/>
      <c r="B232" s="10"/>
      <c r="C232" s="10"/>
      <c r="D232" s="10"/>
      <c r="E232" s="10"/>
      <c r="F232" s="11"/>
      <c r="G232" s="11"/>
      <c r="H232" s="11"/>
      <c r="I232" s="11"/>
      <c r="J232" s="10"/>
      <c r="K232" s="10"/>
      <c r="L232" s="10"/>
      <c r="M232" s="11"/>
    </row>
    <row r="233" spans="1:13">
      <c r="A233" s="10"/>
      <c r="B233" s="10"/>
      <c r="C233" s="10"/>
      <c r="D233" s="10"/>
      <c r="E233" s="10"/>
      <c r="F233" s="11"/>
      <c r="G233" s="11"/>
      <c r="H233" s="11"/>
      <c r="I233" s="11"/>
      <c r="J233" s="10"/>
      <c r="K233" s="10"/>
      <c r="L233" s="10"/>
      <c r="M233" s="11"/>
    </row>
    <row r="234" spans="1:13">
      <c r="A234" s="10"/>
      <c r="B234" s="10"/>
      <c r="C234" s="10"/>
      <c r="D234" s="10"/>
      <c r="E234" s="10"/>
      <c r="F234" s="11"/>
      <c r="G234" s="11"/>
      <c r="H234" s="11"/>
      <c r="I234" s="11"/>
      <c r="J234" s="10"/>
      <c r="K234" s="10"/>
      <c r="L234" s="10"/>
      <c r="M234" s="11"/>
    </row>
    <row r="235" spans="1:13">
      <c r="A235" s="10"/>
      <c r="B235" s="10"/>
      <c r="C235" s="10"/>
      <c r="D235" s="10"/>
      <c r="E235" s="10"/>
      <c r="F235" s="11"/>
      <c r="G235" s="11"/>
      <c r="H235" s="11"/>
      <c r="I235" s="11"/>
      <c r="J235" s="10"/>
      <c r="K235" s="10"/>
      <c r="L235" s="10"/>
      <c r="M235" s="11"/>
    </row>
    <row r="236" spans="1:13">
      <c r="A236" s="10"/>
      <c r="B236" s="10"/>
      <c r="C236" s="10"/>
      <c r="D236" s="10"/>
      <c r="E236" s="10"/>
      <c r="F236" s="11"/>
      <c r="G236" s="11"/>
      <c r="H236" s="11"/>
      <c r="I236" s="11"/>
      <c r="J236" s="10"/>
      <c r="K236" s="10"/>
      <c r="L236" s="10"/>
      <c r="M236" s="11"/>
    </row>
    <row r="237" spans="1:13">
      <c r="A237" s="10"/>
      <c r="B237" s="10"/>
      <c r="C237" s="10"/>
      <c r="D237" s="10"/>
      <c r="E237" s="10"/>
      <c r="F237" s="11"/>
      <c r="G237" s="11"/>
      <c r="H237" s="11"/>
      <c r="I237" s="11"/>
      <c r="J237" s="10"/>
      <c r="K237" s="10"/>
      <c r="L237" s="10"/>
      <c r="M237" s="11"/>
    </row>
    <row r="238" spans="1:13">
      <c r="A238" s="10"/>
      <c r="B238" s="10"/>
      <c r="C238" s="10"/>
      <c r="D238" s="10"/>
      <c r="E238" s="10"/>
      <c r="F238" s="11"/>
      <c r="G238" s="11"/>
      <c r="H238" s="11"/>
      <c r="I238" s="11"/>
      <c r="J238" s="10"/>
      <c r="K238" s="10"/>
      <c r="L238" s="10"/>
      <c r="M238" s="11"/>
    </row>
    <row r="239" spans="1:13">
      <c r="A239" s="10"/>
      <c r="B239" s="10"/>
      <c r="C239" s="10"/>
      <c r="D239" s="10"/>
      <c r="E239" s="10"/>
      <c r="F239" s="11"/>
      <c r="G239" s="11"/>
      <c r="H239" s="11"/>
      <c r="I239" s="11"/>
      <c r="J239" s="10"/>
      <c r="K239" s="10"/>
      <c r="L239" s="10"/>
      <c r="M239" s="11"/>
    </row>
    <row r="240" spans="1:13">
      <c r="A240" s="10"/>
      <c r="B240" s="10"/>
      <c r="C240" s="10"/>
      <c r="D240" s="10"/>
      <c r="E240" s="10"/>
      <c r="F240" s="11"/>
      <c r="G240" s="11"/>
      <c r="H240" s="11"/>
      <c r="I240" s="11"/>
      <c r="J240" s="10"/>
      <c r="K240" s="10"/>
      <c r="L240" s="10"/>
      <c r="M240" s="11"/>
    </row>
    <row r="241" spans="1:13">
      <c r="A241" s="10"/>
      <c r="B241" s="10"/>
      <c r="C241" s="10"/>
      <c r="D241" s="10"/>
      <c r="E241" s="10"/>
      <c r="F241" s="11"/>
      <c r="G241" s="11"/>
      <c r="H241" s="11"/>
      <c r="I241" s="11"/>
      <c r="J241" s="10"/>
      <c r="K241" s="10"/>
      <c r="L241" s="10"/>
      <c r="M241" s="11"/>
    </row>
    <row r="242" spans="1:13">
      <c r="A242" s="10"/>
      <c r="B242" s="10"/>
      <c r="C242" s="10"/>
      <c r="D242" s="10"/>
      <c r="E242" s="10"/>
      <c r="F242" s="11"/>
      <c r="G242" s="11"/>
      <c r="H242" s="11"/>
      <c r="I242" s="11"/>
      <c r="J242" s="10"/>
      <c r="K242" s="10"/>
      <c r="L242" s="10"/>
      <c r="M242" s="11"/>
    </row>
    <row r="243" spans="1:13">
      <c r="A243" s="10"/>
      <c r="B243" s="10"/>
      <c r="C243" s="10"/>
      <c r="D243" s="10"/>
      <c r="E243" s="10"/>
      <c r="F243" s="11"/>
      <c r="G243" s="11"/>
      <c r="H243" s="11"/>
      <c r="I243" s="11"/>
      <c r="J243" s="10"/>
      <c r="K243" s="10"/>
      <c r="L243" s="10"/>
      <c r="M243" s="11"/>
    </row>
    <row r="244" spans="1:13">
      <c r="A244" s="10"/>
      <c r="B244" s="10"/>
      <c r="C244" s="10"/>
      <c r="D244" s="10"/>
      <c r="E244" s="10"/>
      <c r="F244" s="11"/>
      <c r="G244" s="11"/>
      <c r="H244" s="11"/>
      <c r="I244" s="11"/>
      <c r="J244" s="10"/>
      <c r="K244" s="10"/>
      <c r="L244" s="10"/>
      <c r="M244" s="11"/>
    </row>
    <row r="245" spans="1:13">
      <c r="A245" s="10"/>
      <c r="B245" s="10"/>
      <c r="C245" s="10"/>
      <c r="D245" s="10"/>
      <c r="E245" s="10"/>
      <c r="F245" s="11"/>
      <c r="G245" s="11"/>
      <c r="H245" s="11"/>
      <c r="I245" s="11"/>
      <c r="J245" s="10"/>
      <c r="K245" s="10"/>
      <c r="L245" s="10"/>
      <c r="M245" s="11"/>
    </row>
    <row r="246" spans="1:13">
      <c r="A246" s="10"/>
      <c r="B246" s="10"/>
      <c r="C246" s="10"/>
      <c r="D246" s="10"/>
      <c r="E246" s="10"/>
      <c r="F246" s="11"/>
      <c r="G246" s="11"/>
      <c r="H246" s="11"/>
      <c r="I246" s="11"/>
      <c r="J246" s="10"/>
      <c r="K246" s="10"/>
      <c r="L246" s="10"/>
      <c r="M246" s="11"/>
    </row>
    <row r="247" spans="1:13">
      <c r="A247" s="10"/>
      <c r="B247" s="10"/>
      <c r="C247" s="10"/>
      <c r="D247" s="10"/>
      <c r="E247" s="10"/>
      <c r="F247" s="11"/>
      <c r="G247" s="11"/>
      <c r="H247" s="11"/>
      <c r="I247" s="11"/>
      <c r="J247" s="10"/>
      <c r="K247" s="10"/>
      <c r="L247" s="10"/>
      <c r="M247" s="11"/>
    </row>
    <row r="248" spans="1:13">
      <c r="A248" s="10"/>
      <c r="B248" s="10"/>
      <c r="C248" s="10"/>
      <c r="D248" s="10"/>
      <c r="E248" s="10"/>
      <c r="F248" s="11"/>
      <c r="G248" s="11"/>
      <c r="H248" s="11"/>
      <c r="I248" s="11"/>
      <c r="J248" s="10"/>
      <c r="K248" s="10"/>
      <c r="L248" s="10"/>
      <c r="M248" s="11"/>
    </row>
    <row r="249" spans="1:13">
      <c r="A249" s="10"/>
      <c r="B249" s="10"/>
      <c r="C249" s="10"/>
      <c r="D249" s="10"/>
      <c r="E249" s="10"/>
      <c r="F249" s="11"/>
      <c r="G249" s="11"/>
      <c r="H249" s="11"/>
      <c r="I249" s="11"/>
      <c r="J249" s="10"/>
      <c r="K249" s="10"/>
      <c r="L249" s="10"/>
      <c r="M249" s="11"/>
    </row>
    <row r="250" spans="1:13">
      <c r="A250" s="10"/>
      <c r="B250" s="10"/>
      <c r="C250" s="10"/>
      <c r="D250" s="10"/>
      <c r="E250" s="10"/>
      <c r="F250" s="11"/>
      <c r="G250" s="11"/>
      <c r="H250" s="11"/>
      <c r="I250" s="11"/>
      <c r="J250" s="10"/>
      <c r="K250" s="10"/>
      <c r="L250" s="10"/>
      <c r="M250" s="11"/>
    </row>
  </sheetData>
  <mergeCells count="2">
    <mergeCell ref="A2:M2"/>
    <mergeCell ref="A1:M1"/>
  </mergeCells>
  <conditionalFormatting sqref="B4:B250">
    <cfRule type="expression" dxfId="11" priority="1">
      <formula>LEN($B4)=0</formula>
    </cfRule>
  </conditionalFormatting>
  <dataValidations count="3">
    <dataValidation type="list" allowBlank="1" sqref="B4:B250" xr:uid="{00000000-0002-0000-0900-000000000000}">
      <formula1>TechIDs</formula1>
    </dataValidation>
    <dataValidation type="list" allowBlank="1" sqref="E4:E250" xr:uid="{00000000-0002-0000-0900-000001000000}">
      <formula1>LivelloAnalisi</formula1>
    </dataValidation>
    <dataValidation type="list" allowBlank="1" sqref="J4:J250" xr:uid="{00000000-0002-0000-0900-000002000000}">
      <formula1>SourceIDs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F766E"/>
  </sheetPr>
  <dimension ref="A1:M250"/>
  <sheetViews>
    <sheetView showGridLines="0" workbookViewId="0">
      <selection activeCell="A2" sqref="A2:M2"/>
    </sheetView>
  </sheetViews>
  <sheetFormatPr defaultRowHeight="14.45"/>
  <cols>
    <col min="1" max="1" width="14" customWidth="1"/>
    <col min="2" max="2" width="10" customWidth="1"/>
    <col min="3" max="3" width="22" customWidth="1"/>
    <col min="4" max="4" width="16" customWidth="1"/>
    <col min="5" max="5" width="26" customWidth="1"/>
    <col min="6" max="6" width="28.42578125" customWidth="1"/>
    <col min="7" max="7" width="22" customWidth="1"/>
    <col min="8" max="8" width="36" customWidth="1"/>
    <col min="9" max="9" width="28" customWidth="1"/>
    <col min="10" max="10" width="14" customWidth="1"/>
    <col min="11" max="11" width="12" customWidth="1"/>
    <col min="12" max="12" width="16" customWidth="1"/>
    <col min="13" max="13" width="26" customWidth="1"/>
  </cols>
  <sheetData>
    <row r="1" spans="1:13" ht="24" customHeight="1">
      <c r="A1" s="28" t="s">
        <v>1547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36" customHeight="1">
      <c r="A2" s="29" t="s">
        <v>1548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27.95" customHeight="1">
      <c r="A3" s="9" t="s">
        <v>203</v>
      </c>
      <c r="B3" s="9" t="s">
        <v>64</v>
      </c>
      <c r="C3" s="9" t="s">
        <v>23</v>
      </c>
      <c r="D3" s="9" t="s">
        <v>199</v>
      </c>
      <c r="E3" s="9" t="s">
        <v>1549</v>
      </c>
      <c r="F3" s="9" t="s">
        <v>1550</v>
      </c>
      <c r="G3" s="9" t="s">
        <v>1551</v>
      </c>
      <c r="H3" s="9" t="s">
        <v>1552</v>
      </c>
      <c r="I3" s="9" t="s">
        <v>1553</v>
      </c>
      <c r="J3" s="9" t="s">
        <v>1554</v>
      </c>
      <c r="K3" s="9" t="s">
        <v>1061</v>
      </c>
      <c r="L3" s="9" t="s">
        <v>1425</v>
      </c>
      <c r="M3" s="9" t="s">
        <v>1062</v>
      </c>
    </row>
    <row r="4" spans="1:13" ht="72.599999999999994" customHeight="1">
      <c r="A4" s="10" t="s">
        <v>1555</v>
      </c>
      <c r="B4" s="10" t="s">
        <v>117</v>
      </c>
      <c r="C4" s="10" t="s">
        <v>118</v>
      </c>
      <c r="D4" s="10" t="s">
        <v>200</v>
      </c>
      <c r="E4" s="11" t="s">
        <v>201</v>
      </c>
      <c r="F4" s="10" t="s">
        <v>342</v>
      </c>
      <c r="G4" s="11" t="s">
        <v>1556</v>
      </c>
      <c r="H4" s="11" t="s">
        <v>1557</v>
      </c>
      <c r="I4" s="11" t="s">
        <v>1558</v>
      </c>
      <c r="J4" s="10" t="s">
        <v>338</v>
      </c>
      <c r="K4" s="10" t="s">
        <v>1559</v>
      </c>
      <c r="L4" s="10" t="s">
        <v>1039</v>
      </c>
      <c r="M4" s="11" t="s">
        <v>1560</v>
      </c>
    </row>
    <row r="5" spans="1:13" ht="72.599999999999994" customHeight="1">
      <c r="A5" s="10" t="s">
        <v>1561</v>
      </c>
      <c r="B5" s="10" t="s">
        <v>117</v>
      </c>
      <c r="C5" s="10" t="s">
        <v>118</v>
      </c>
      <c r="D5" s="10" t="s">
        <v>1103</v>
      </c>
      <c r="E5" s="11" t="s">
        <v>1105</v>
      </c>
      <c r="F5" s="10" t="s">
        <v>1108</v>
      </c>
      <c r="G5" s="11" t="s">
        <v>1562</v>
      </c>
      <c r="H5" s="11" t="s">
        <v>1563</v>
      </c>
      <c r="I5" s="11" t="s">
        <v>1564</v>
      </c>
      <c r="J5" s="10" t="s">
        <v>338</v>
      </c>
      <c r="K5" s="10" t="s">
        <v>451</v>
      </c>
      <c r="L5" s="10" t="s">
        <v>1039</v>
      </c>
      <c r="M5" s="11" t="s">
        <v>1565</v>
      </c>
    </row>
    <row r="6" spans="1:13" ht="57.95" customHeight="1">
      <c r="A6" s="10" t="s">
        <v>1566</v>
      </c>
      <c r="B6" s="10" t="s">
        <v>117</v>
      </c>
      <c r="C6" s="10" t="s">
        <v>118</v>
      </c>
      <c r="D6" s="10" t="s">
        <v>1067</v>
      </c>
      <c r="E6" s="11" t="s">
        <v>1069</v>
      </c>
      <c r="F6" s="10" t="s">
        <v>342</v>
      </c>
      <c r="G6" s="11" t="s">
        <v>1567</v>
      </c>
      <c r="H6" s="11" t="s">
        <v>1568</v>
      </c>
      <c r="I6" s="11" t="s">
        <v>1569</v>
      </c>
      <c r="J6" s="10" t="s">
        <v>338</v>
      </c>
      <c r="K6" s="10" t="s">
        <v>511</v>
      </c>
      <c r="L6" s="10" t="s">
        <v>1039</v>
      </c>
      <c r="M6" s="11" t="s">
        <v>1570</v>
      </c>
    </row>
    <row r="7" spans="1:13" ht="43.5" customHeight="1">
      <c r="A7" s="10" t="s">
        <v>1571</v>
      </c>
      <c r="B7" s="10" t="s">
        <v>117</v>
      </c>
      <c r="C7" s="10" t="s">
        <v>118</v>
      </c>
      <c r="D7" s="10" t="s">
        <v>1091</v>
      </c>
      <c r="E7" s="11" t="s">
        <v>1093</v>
      </c>
      <c r="F7" s="10" t="s">
        <v>342</v>
      </c>
      <c r="G7" s="11" t="s">
        <v>1572</v>
      </c>
      <c r="H7" s="11" t="s">
        <v>1573</v>
      </c>
      <c r="I7" s="11" t="s">
        <v>1574</v>
      </c>
      <c r="J7" s="10" t="s">
        <v>1575</v>
      </c>
      <c r="K7" s="10" t="s">
        <v>435</v>
      </c>
      <c r="L7" s="10" t="s">
        <v>1039</v>
      </c>
      <c r="M7" s="11" t="s">
        <v>1576</v>
      </c>
    </row>
    <row r="8" spans="1:13" ht="72.599999999999994" customHeight="1">
      <c r="A8" s="10" t="s">
        <v>1577</v>
      </c>
      <c r="B8" s="10" t="s">
        <v>117</v>
      </c>
      <c r="C8" s="10" t="s">
        <v>118</v>
      </c>
      <c r="D8" s="10" t="s">
        <v>1073</v>
      </c>
      <c r="E8" s="11" t="s">
        <v>1075</v>
      </c>
      <c r="F8" s="10" t="s">
        <v>332</v>
      </c>
      <c r="G8" s="11" t="s">
        <v>1578</v>
      </c>
      <c r="H8" s="11" t="s">
        <v>1579</v>
      </c>
      <c r="I8" s="11" t="s">
        <v>1580</v>
      </c>
      <c r="J8" s="10" t="s">
        <v>1581</v>
      </c>
      <c r="K8" s="10" t="s">
        <v>435</v>
      </c>
      <c r="L8" s="10" t="s">
        <v>1039</v>
      </c>
      <c r="M8" s="11" t="s">
        <v>1582</v>
      </c>
    </row>
    <row r="9" spans="1:13" ht="72.599999999999994" customHeight="1">
      <c r="A9" s="10" t="s">
        <v>1583</v>
      </c>
      <c r="B9" s="10" t="s">
        <v>117</v>
      </c>
      <c r="C9" s="10" t="s">
        <v>118</v>
      </c>
      <c r="D9" s="10" t="s">
        <v>1110</v>
      </c>
      <c r="E9" s="11" t="s">
        <v>1112</v>
      </c>
      <c r="F9" s="10" t="s">
        <v>304</v>
      </c>
      <c r="G9" s="11" t="s">
        <v>1584</v>
      </c>
      <c r="H9" s="11" t="s">
        <v>1585</v>
      </c>
      <c r="I9" s="11" t="s">
        <v>1586</v>
      </c>
      <c r="J9" s="10" t="s">
        <v>1048</v>
      </c>
      <c r="K9" s="10" t="s">
        <v>1587</v>
      </c>
      <c r="L9" s="10" t="s">
        <v>1039</v>
      </c>
      <c r="M9" s="11" t="s">
        <v>1588</v>
      </c>
    </row>
    <row r="10" spans="1:13" ht="57.95" customHeight="1">
      <c r="A10" s="10" t="s">
        <v>1589</v>
      </c>
      <c r="B10" s="10" t="s">
        <v>131</v>
      </c>
      <c r="C10" s="10" t="s">
        <v>132</v>
      </c>
      <c r="D10" s="10" t="s">
        <v>1144</v>
      </c>
      <c r="E10" s="11" t="s">
        <v>1146</v>
      </c>
      <c r="F10" s="10" t="s">
        <v>342</v>
      </c>
      <c r="G10" s="11" t="s">
        <v>1590</v>
      </c>
      <c r="H10" s="11" t="s">
        <v>1591</v>
      </c>
      <c r="I10" s="11" t="s">
        <v>1592</v>
      </c>
      <c r="J10" s="10" t="s">
        <v>338</v>
      </c>
      <c r="K10" s="10" t="s">
        <v>1593</v>
      </c>
      <c r="L10" s="10" t="s">
        <v>1039</v>
      </c>
      <c r="M10" s="11" t="s">
        <v>1594</v>
      </c>
    </row>
    <row r="11" spans="1:13" ht="43.5" customHeight="1">
      <c r="A11" s="10" t="s">
        <v>1595</v>
      </c>
      <c r="B11" s="10" t="s">
        <v>131</v>
      </c>
      <c r="C11" s="10" t="s">
        <v>132</v>
      </c>
      <c r="D11" s="10" t="s">
        <v>1162</v>
      </c>
      <c r="E11" s="11" t="s">
        <v>1164</v>
      </c>
      <c r="F11" s="10" t="s">
        <v>342</v>
      </c>
      <c r="G11" s="11" t="s">
        <v>1596</v>
      </c>
      <c r="H11" s="11" t="s">
        <v>1597</v>
      </c>
      <c r="I11" s="11" t="s">
        <v>1598</v>
      </c>
      <c r="J11" s="10" t="s">
        <v>1051</v>
      </c>
      <c r="K11" s="10" t="s">
        <v>1599</v>
      </c>
      <c r="L11" s="10" t="s">
        <v>1039</v>
      </c>
      <c r="M11" s="11" t="s">
        <v>1600</v>
      </c>
    </row>
    <row r="12" spans="1:13" ht="72.599999999999994" customHeight="1">
      <c r="A12" s="10" t="s">
        <v>1601</v>
      </c>
      <c r="B12" s="10" t="s">
        <v>131</v>
      </c>
      <c r="C12" s="10" t="s">
        <v>132</v>
      </c>
      <c r="D12" s="10" t="s">
        <v>1168</v>
      </c>
      <c r="E12" s="11" t="s">
        <v>1170</v>
      </c>
      <c r="F12" s="10" t="s">
        <v>1108</v>
      </c>
      <c r="G12" s="11" t="s">
        <v>1602</v>
      </c>
      <c r="H12" s="11" t="s">
        <v>1603</v>
      </c>
      <c r="I12" s="11" t="s">
        <v>1604</v>
      </c>
      <c r="J12" s="10" t="s">
        <v>338</v>
      </c>
      <c r="K12" s="10" t="s">
        <v>1605</v>
      </c>
      <c r="L12" s="10" t="s">
        <v>1039</v>
      </c>
      <c r="M12" s="11" t="s">
        <v>1565</v>
      </c>
    </row>
    <row r="13" spans="1:13" ht="43.5" customHeight="1">
      <c r="A13" s="10" t="s">
        <v>1606</v>
      </c>
      <c r="B13" s="10" t="s">
        <v>131</v>
      </c>
      <c r="C13" s="10" t="s">
        <v>132</v>
      </c>
      <c r="D13" s="10" t="s">
        <v>1174</v>
      </c>
      <c r="E13" s="11" t="s">
        <v>1176</v>
      </c>
      <c r="F13" s="10" t="s">
        <v>342</v>
      </c>
      <c r="G13" s="11" t="s">
        <v>1607</v>
      </c>
      <c r="H13" s="11" t="s">
        <v>1608</v>
      </c>
      <c r="I13" s="11" t="s">
        <v>1609</v>
      </c>
      <c r="J13" s="10" t="s">
        <v>338</v>
      </c>
      <c r="K13" s="10" t="s">
        <v>560</v>
      </c>
      <c r="L13" s="10" t="s">
        <v>1039</v>
      </c>
      <c r="M13" s="11" t="s">
        <v>1610</v>
      </c>
    </row>
    <row r="14" spans="1:13" ht="57.95" customHeight="1">
      <c r="A14" s="10" t="s">
        <v>1611</v>
      </c>
      <c r="B14" s="10" t="s">
        <v>131</v>
      </c>
      <c r="C14" s="10" t="s">
        <v>132</v>
      </c>
      <c r="D14" s="10" t="s">
        <v>1180</v>
      </c>
      <c r="E14" s="11" t="s">
        <v>1182</v>
      </c>
      <c r="F14" s="10" t="s">
        <v>342</v>
      </c>
      <c r="G14" s="11" t="s">
        <v>1612</v>
      </c>
      <c r="H14" s="11" t="s">
        <v>1613</v>
      </c>
      <c r="I14" s="11" t="s">
        <v>1614</v>
      </c>
      <c r="J14" s="10" t="s">
        <v>1051</v>
      </c>
      <c r="K14" s="10" t="s">
        <v>1615</v>
      </c>
      <c r="L14" s="10" t="s">
        <v>1039</v>
      </c>
      <c r="M14" s="11" t="s">
        <v>1616</v>
      </c>
    </row>
    <row r="15" spans="1:13" ht="43.5" customHeight="1">
      <c r="A15" s="10" t="s">
        <v>1617</v>
      </c>
      <c r="B15" s="10" t="s">
        <v>161</v>
      </c>
      <c r="C15" s="10" t="s">
        <v>162</v>
      </c>
      <c r="D15" s="10" t="s">
        <v>1126</v>
      </c>
      <c r="E15" s="11" t="s">
        <v>1128</v>
      </c>
      <c r="F15" s="10" t="s">
        <v>342</v>
      </c>
      <c r="G15" s="11" t="s">
        <v>1618</v>
      </c>
      <c r="H15" s="11" t="s">
        <v>1619</v>
      </c>
      <c r="I15" s="11" t="s">
        <v>1620</v>
      </c>
      <c r="J15" s="10" t="s">
        <v>1621</v>
      </c>
      <c r="K15" s="10" t="s">
        <v>1622</v>
      </c>
      <c r="L15" s="10" t="s">
        <v>1039</v>
      </c>
      <c r="M15" s="11" t="s">
        <v>1623</v>
      </c>
    </row>
    <row r="16" spans="1:13" ht="43.5" customHeight="1">
      <c r="A16" s="10" t="s">
        <v>1624</v>
      </c>
      <c r="B16" s="10" t="s">
        <v>161</v>
      </c>
      <c r="C16" s="10" t="s">
        <v>162</v>
      </c>
      <c r="D16" s="10" t="s">
        <v>1132</v>
      </c>
      <c r="E16" s="11" t="s">
        <v>1133</v>
      </c>
      <c r="F16" s="10" t="s">
        <v>332</v>
      </c>
      <c r="G16" s="11" t="s">
        <v>1625</v>
      </c>
      <c r="H16" s="11" t="s">
        <v>1626</v>
      </c>
      <c r="I16" s="11" t="s">
        <v>1627</v>
      </c>
      <c r="J16" s="10" t="s">
        <v>1051</v>
      </c>
      <c r="K16" s="10" t="s">
        <v>1628</v>
      </c>
      <c r="L16" s="10" t="s">
        <v>1039</v>
      </c>
      <c r="M16" s="11" t="s">
        <v>1629</v>
      </c>
    </row>
    <row r="17" spans="1:13" ht="72.599999999999994" customHeight="1">
      <c r="A17" s="10" t="s">
        <v>1630</v>
      </c>
      <c r="B17" s="10" t="s">
        <v>161</v>
      </c>
      <c r="C17" s="10" t="s">
        <v>162</v>
      </c>
      <c r="D17" s="10" t="s">
        <v>1137</v>
      </c>
      <c r="E17" s="11" t="s">
        <v>1139</v>
      </c>
      <c r="F17" s="10" t="s">
        <v>304</v>
      </c>
      <c r="G17" s="11" t="s">
        <v>1631</v>
      </c>
      <c r="H17" s="11" t="s">
        <v>1632</v>
      </c>
      <c r="I17" s="11" t="s">
        <v>1633</v>
      </c>
      <c r="J17" s="10" t="s">
        <v>1051</v>
      </c>
      <c r="K17" s="10" t="s">
        <v>666</v>
      </c>
      <c r="L17" s="10" t="s">
        <v>1039</v>
      </c>
      <c r="M17" s="11" t="s">
        <v>1634</v>
      </c>
    </row>
    <row r="18" spans="1:13" ht="57.95" customHeight="1">
      <c r="A18" s="10" t="s">
        <v>1635</v>
      </c>
      <c r="B18" s="10" t="s">
        <v>161</v>
      </c>
      <c r="C18" s="10" t="s">
        <v>162</v>
      </c>
      <c r="D18" s="10" t="s">
        <v>1207</v>
      </c>
      <c r="E18" s="11" t="s">
        <v>1209</v>
      </c>
      <c r="F18" s="10" t="s">
        <v>332</v>
      </c>
      <c r="G18" s="11" t="s">
        <v>1636</v>
      </c>
      <c r="H18" s="11" t="s">
        <v>1637</v>
      </c>
      <c r="I18" s="11" t="s">
        <v>1638</v>
      </c>
      <c r="J18" s="10" t="s">
        <v>338</v>
      </c>
      <c r="K18" s="10" t="s">
        <v>634</v>
      </c>
      <c r="L18" s="10" t="s">
        <v>1039</v>
      </c>
      <c r="M18" s="11" t="s">
        <v>1639</v>
      </c>
    </row>
    <row r="19" spans="1:13" ht="72.599999999999994" customHeight="1">
      <c r="A19" s="10" t="s">
        <v>1640</v>
      </c>
      <c r="B19" s="10" t="s">
        <v>161</v>
      </c>
      <c r="C19" s="10" t="s">
        <v>162</v>
      </c>
      <c r="D19" s="10" t="s">
        <v>1213</v>
      </c>
      <c r="E19" s="11" t="s">
        <v>1215</v>
      </c>
      <c r="F19" s="10" t="s">
        <v>1641</v>
      </c>
      <c r="G19" s="11" t="s">
        <v>1642</v>
      </c>
      <c r="H19" s="11" t="s">
        <v>1643</v>
      </c>
      <c r="I19" s="11" t="s">
        <v>1644</v>
      </c>
      <c r="J19" s="10" t="s">
        <v>1051</v>
      </c>
      <c r="K19" s="10" t="s">
        <v>1645</v>
      </c>
      <c r="L19" s="10" t="s">
        <v>1039</v>
      </c>
      <c r="M19" s="11" t="s">
        <v>1646</v>
      </c>
    </row>
    <row r="20" spans="1:13" ht="57.95" customHeight="1">
      <c r="A20" s="10" t="s">
        <v>1647</v>
      </c>
      <c r="B20" s="10" t="s">
        <v>161</v>
      </c>
      <c r="C20" s="10" t="s">
        <v>162</v>
      </c>
      <c r="D20" s="10" t="s">
        <v>1219</v>
      </c>
      <c r="E20" s="11" t="s">
        <v>1221</v>
      </c>
      <c r="F20" s="10" t="s">
        <v>332</v>
      </c>
      <c r="G20" s="11" t="s">
        <v>1648</v>
      </c>
      <c r="H20" s="11" t="s">
        <v>1649</v>
      </c>
      <c r="I20" s="11" t="s">
        <v>1650</v>
      </c>
      <c r="J20" s="10" t="s">
        <v>1051</v>
      </c>
      <c r="K20" s="10" t="s">
        <v>1651</v>
      </c>
      <c r="L20" s="10" t="s">
        <v>1039</v>
      </c>
      <c r="M20" s="11" t="s">
        <v>1652</v>
      </c>
    </row>
    <row r="21" spans="1:13" ht="57.95" customHeight="1">
      <c r="A21" s="10" t="s">
        <v>1653</v>
      </c>
      <c r="B21" s="10" t="s">
        <v>131</v>
      </c>
      <c r="C21" s="10" t="s">
        <v>132</v>
      </c>
      <c r="D21" s="10" t="s">
        <v>1156</v>
      </c>
      <c r="E21" s="11" t="s">
        <v>1158</v>
      </c>
      <c r="F21" s="10" t="s">
        <v>342</v>
      </c>
      <c r="G21" s="11" t="s">
        <v>1654</v>
      </c>
      <c r="H21" s="11" t="s">
        <v>1655</v>
      </c>
      <c r="I21" s="11" t="s">
        <v>1656</v>
      </c>
      <c r="J21" s="10" t="s">
        <v>338</v>
      </c>
      <c r="K21" s="10" t="s">
        <v>1657</v>
      </c>
      <c r="L21" s="10" t="s">
        <v>1039</v>
      </c>
      <c r="M21" s="11" t="s">
        <v>1658</v>
      </c>
    </row>
    <row r="22" spans="1:13" ht="43.5" customHeight="1">
      <c r="A22" s="10" t="s">
        <v>1659</v>
      </c>
      <c r="B22" s="10" t="s">
        <v>90</v>
      </c>
      <c r="C22" s="10" t="s">
        <v>91</v>
      </c>
      <c r="D22" s="10"/>
      <c r="E22" s="11" t="s">
        <v>23</v>
      </c>
      <c r="F22" s="10" t="s">
        <v>1660</v>
      </c>
      <c r="G22" s="11" t="s">
        <v>1661</v>
      </c>
      <c r="H22" s="11" t="s">
        <v>276</v>
      </c>
      <c r="I22" s="11" t="s">
        <v>1662</v>
      </c>
      <c r="J22" s="10" t="s">
        <v>100</v>
      </c>
      <c r="K22" s="10"/>
      <c r="L22" s="10"/>
      <c r="M22" s="11"/>
    </row>
    <row r="23" spans="1:13">
      <c r="A23" s="10" t="s">
        <v>1663</v>
      </c>
      <c r="B23" s="10" t="s">
        <v>90</v>
      </c>
      <c r="C23" s="10" t="s">
        <v>91</v>
      </c>
      <c r="D23" s="10" t="s">
        <v>1191</v>
      </c>
      <c r="E23" s="11" t="s">
        <v>1193</v>
      </c>
      <c r="F23" s="10" t="s">
        <v>1664</v>
      </c>
      <c r="G23" s="11" t="s">
        <v>1665</v>
      </c>
      <c r="H23" s="11" t="s">
        <v>769</v>
      </c>
      <c r="I23" s="11">
        <v>9</v>
      </c>
      <c r="J23" s="10" t="s">
        <v>1666</v>
      </c>
      <c r="K23" s="10" t="s">
        <v>769</v>
      </c>
      <c r="L23" s="10"/>
      <c r="M23" s="11"/>
    </row>
    <row r="24" spans="1:13">
      <c r="A24" s="10" t="s">
        <v>1667</v>
      </c>
      <c r="B24" s="10" t="s">
        <v>90</v>
      </c>
      <c r="C24" s="10" t="s">
        <v>91</v>
      </c>
      <c r="D24" s="10" t="s">
        <v>1225</v>
      </c>
      <c r="E24" s="11" t="s">
        <v>1227</v>
      </c>
      <c r="F24" s="10" t="s">
        <v>1668</v>
      </c>
      <c r="G24" s="11" t="s">
        <v>252</v>
      </c>
      <c r="H24" s="11" t="s">
        <v>769</v>
      </c>
      <c r="I24" s="11">
        <v>9</v>
      </c>
      <c r="J24" s="10" t="s">
        <v>1669</v>
      </c>
      <c r="K24" s="10" t="s">
        <v>769</v>
      </c>
      <c r="L24" s="10"/>
      <c r="M24" s="11"/>
    </row>
    <row r="25" spans="1:13">
      <c r="A25" s="10" t="s">
        <v>1670</v>
      </c>
      <c r="B25" s="10" t="s">
        <v>90</v>
      </c>
      <c r="C25" s="10" t="s">
        <v>91</v>
      </c>
      <c r="D25" s="10" t="s">
        <v>1230</v>
      </c>
      <c r="E25" s="11" t="s">
        <v>1232</v>
      </c>
      <c r="F25" s="10" t="s">
        <v>1671</v>
      </c>
      <c r="G25" s="11" t="s">
        <v>1672</v>
      </c>
      <c r="H25" s="11" t="s">
        <v>1000</v>
      </c>
      <c r="I25" s="11">
        <v>7</v>
      </c>
      <c r="J25" s="10" t="s">
        <v>1232</v>
      </c>
      <c r="K25" s="10" t="s">
        <v>1000</v>
      </c>
      <c r="L25" s="10"/>
      <c r="M25" s="11"/>
    </row>
    <row r="26" spans="1:13">
      <c r="A26" s="10" t="s">
        <v>1673</v>
      </c>
      <c r="B26" s="10" t="s">
        <v>90</v>
      </c>
      <c r="C26" s="10" t="s">
        <v>91</v>
      </c>
      <c r="D26" s="10" t="s">
        <v>1235</v>
      </c>
      <c r="E26" s="11" t="s">
        <v>1237</v>
      </c>
      <c r="F26" s="10" t="s">
        <v>1674</v>
      </c>
      <c r="G26" s="11" t="s">
        <v>300</v>
      </c>
      <c r="H26" s="11" t="s">
        <v>769</v>
      </c>
      <c r="I26" s="11">
        <v>6</v>
      </c>
      <c r="J26" s="10" t="s">
        <v>1237</v>
      </c>
      <c r="K26" s="10" t="s">
        <v>769</v>
      </c>
      <c r="L26" s="10"/>
      <c r="M26" s="11"/>
    </row>
    <row r="27" spans="1:13" ht="29.1" customHeight="1">
      <c r="A27" s="10" t="s">
        <v>1675</v>
      </c>
      <c r="B27" s="10" t="s">
        <v>90</v>
      </c>
      <c r="C27" s="10" t="s">
        <v>91</v>
      </c>
      <c r="D27" s="10"/>
      <c r="E27" s="11" t="s">
        <v>1676</v>
      </c>
      <c r="F27" s="10" t="s">
        <v>1660</v>
      </c>
      <c r="G27" s="11" t="s">
        <v>1677</v>
      </c>
      <c r="H27" s="11" t="s">
        <v>300</v>
      </c>
      <c r="I27" s="11" t="s">
        <v>1678</v>
      </c>
      <c r="J27" s="10" t="s">
        <v>100</v>
      </c>
      <c r="K27" s="10"/>
      <c r="L27" s="10"/>
      <c r="M27" s="11"/>
    </row>
    <row r="28" spans="1:13" ht="43.5" customHeight="1">
      <c r="A28" s="10" t="s">
        <v>1679</v>
      </c>
      <c r="B28" s="10" t="s">
        <v>102</v>
      </c>
      <c r="C28" s="10" t="s">
        <v>103</v>
      </c>
      <c r="D28" s="10"/>
      <c r="E28" s="11" t="s">
        <v>23</v>
      </c>
      <c r="F28" s="10" t="s">
        <v>1680</v>
      </c>
      <c r="G28" s="11" t="s">
        <v>1661</v>
      </c>
      <c r="H28" s="11" t="s">
        <v>276</v>
      </c>
      <c r="I28" s="11" t="s">
        <v>1662</v>
      </c>
      <c r="J28" s="10" t="s">
        <v>107</v>
      </c>
      <c r="K28" s="10"/>
      <c r="L28" s="10"/>
      <c r="M28" s="11"/>
    </row>
    <row r="29" spans="1:13">
      <c r="A29" s="10" t="s">
        <v>1681</v>
      </c>
      <c r="B29" s="10" t="s">
        <v>102</v>
      </c>
      <c r="C29" s="10" t="s">
        <v>103</v>
      </c>
      <c r="D29" s="10" t="s">
        <v>1249</v>
      </c>
      <c r="E29" s="11" t="s">
        <v>1251</v>
      </c>
      <c r="F29" s="10" t="s">
        <v>1682</v>
      </c>
      <c r="G29" s="11" t="s">
        <v>1665</v>
      </c>
      <c r="H29" s="11" t="s">
        <v>976</v>
      </c>
      <c r="I29" s="11">
        <v>9</v>
      </c>
      <c r="J29" s="10" t="s">
        <v>1251</v>
      </c>
      <c r="K29" s="10" t="s">
        <v>976</v>
      </c>
      <c r="L29" s="10"/>
      <c r="M29" s="11"/>
    </row>
    <row r="30" spans="1:13">
      <c r="A30" s="10" t="s">
        <v>1683</v>
      </c>
      <c r="B30" s="10" t="s">
        <v>102</v>
      </c>
      <c r="C30" s="10" t="s">
        <v>103</v>
      </c>
      <c r="D30" s="10" t="s">
        <v>1259</v>
      </c>
      <c r="E30" s="11" t="s">
        <v>1261</v>
      </c>
      <c r="F30" s="10" t="s">
        <v>1684</v>
      </c>
      <c r="G30" s="11" t="s">
        <v>252</v>
      </c>
      <c r="H30" s="11" t="s">
        <v>982</v>
      </c>
      <c r="I30" s="11">
        <v>9</v>
      </c>
      <c r="J30" s="10" t="s">
        <v>1261</v>
      </c>
      <c r="K30" s="10" t="s">
        <v>982</v>
      </c>
      <c r="L30" s="10"/>
      <c r="M30" s="11"/>
    </row>
    <row r="31" spans="1:13" ht="29.1" customHeight="1">
      <c r="A31" s="10" t="s">
        <v>1685</v>
      </c>
      <c r="B31" s="10" t="s">
        <v>102</v>
      </c>
      <c r="C31" s="10" t="s">
        <v>103</v>
      </c>
      <c r="D31" s="10" t="s">
        <v>1264</v>
      </c>
      <c r="E31" s="11" t="s">
        <v>1266</v>
      </c>
      <c r="F31" s="10" t="s">
        <v>1686</v>
      </c>
      <c r="G31" s="11" t="s">
        <v>252</v>
      </c>
      <c r="H31" s="11" t="s">
        <v>988</v>
      </c>
      <c r="I31" s="11">
        <v>8</v>
      </c>
      <c r="J31" s="10" t="s">
        <v>1266</v>
      </c>
      <c r="K31" s="10" t="s">
        <v>988</v>
      </c>
      <c r="L31" s="10"/>
      <c r="M31" s="11"/>
    </row>
    <row r="32" spans="1:13">
      <c r="A32" s="10" t="s">
        <v>1687</v>
      </c>
      <c r="B32" s="10" t="s">
        <v>102</v>
      </c>
      <c r="C32" s="10" t="s">
        <v>103</v>
      </c>
      <c r="D32" s="10" t="s">
        <v>1254</v>
      </c>
      <c r="E32" s="11" t="s">
        <v>1256</v>
      </c>
      <c r="F32" s="10" t="s">
        <v>1688</v>
      </c>
      <c r="G32" s="11" t="s">
        <v>252</v>
      </c>
      <c r="H32" s="11" t="s">
        <v>107</v>
      </c>
      <c r="I32" s="11">
        <v>9</v>
      </c>
      <c r="J32" s="10" t="s">
        <v>1689</v>
      </c>
      <c r="K32" s="10" t="s">
        <v>107</v>
      </c>
      <c r="L32" s="10"/>
      <c r="M32" s="11"/>
    </row>
    <row r="33" spans="1:13" ht="29.1" customHeight="1">
      <c r="A33" s="10" t="s">
        <v>1690</v>
      </c>
      <c r="B33" s="10" t="s">
        <v>102</v>
      </c>
      <c r="C33" s="10" t="s">
        <v>103</v>
      </c>
      <c r="D33" s="10"/>
      <c r="E33" s="11" t="s">
        <v>1676</v>
      </c>
      <c r="F33" s="10" t="s">
        <v>1680</v>
      </c>
      <c r="G33" s="11" t="s">
        <v>1677</v>
      </c>
      <c r="H33" s="11" t="s">
        <v>300</v>
      </c>
      <c r="I33" s="11" t="s">
        <v>1678</v>
      </c>
      <c r="J33" s="10" t="s">
        <v>107</v>
      </c>
      <c r="K33" s="10"/>
      <c r="L33" s="10"/>
      <c r="M33" s="11"/>
    </row>
    <row r="34" spans="1:13" ht="43.5" customHeight="1">
      <c r="A34" s="10" t="s">
        <v>1691</v>
      </c>
      <c r="B34" s="10" t="s">
        <v>108</v>
      </c>
      <c r="C34" s="10" t="s">
        <v>109</v>
      </c>
      <c r="D34" s="10"/>
      <c r="E34" s="11" t="s">
        <v>23</v>
      </c>
      <c r="F34" s="10" t="s">
        <v>1692</v>
      </c>
      <c r="G34" s="11" t="s">
        <v>1661</v>
      </c>
      <c r="H34" s="11" t="s">
        <v>276</v>
      </c>
      <c r="I34" s="11" t="s">
        <v>1662</v>
      </c>
      <c r="J34" s="10" t="s">
        <v>116</v>
      </c>
      <c r="K34" s="10"/>
      <c r="L34" s="10"/>
      <c r="M34" s="11"/>
    </row>
    <row r="35" spans="1:13">
      <c r="A35" s="10" t="s">
        <v>1693</v>
      </c>
      <c r="B35" s="10" t="s">
        <v>108</v>
      </c>
      <c r="C35" s="10" t="s">
        <v>109</v>
      </c>
      <c r="D35" s="10" t="s">
        <v>1278</v>
      </c>
      <c r="E35" s="11" t="s">
        <v>1279</v>
      </c>
      <c r="F35" s="10" t="s">
        <v>1694</v>
      </c>
      <c r="G35" s="11" t="s">
        <v>252</v>
      </c>
      <c r="H35" s="11" t="s">
        <v>769</v>
      </c>
      <c r="I35" s="11">
        <v>9</v>
      </c>
      <c r="J35" s="10" t="s">
        <v>1279</v>
      </c>
      <c r="K35" s="10" t="s">
        <v>769</v>
      </c>
      <c r="L35" s="10"/>
      <c r="M35" s="11"/>
    </row>
    <row r="36" spans="1:13">
      <c r="A36" s="10" t="s">
        <v>1695</v>
      </c>
      <c r="B36" s="10" t="s">
        <v>108</v>
      </c>
      <c r="C36" s="10" t="s">
        <v>109</v>
      </c>
      <c r="D36" s="10" t="s">
        <v>1274</v>
      </c>
      <c r="E36" s="11" t="s">
        <v>1275</v>
      </c>
      <c r="F36" s="10" t="s">
        <v>1696</v>
      </c>
      <c r="G36" s="11" t="s">
        <v>252</v>
      </c>
      <c r="H36" s="11" t="s">
        <v>769</v>
      </c>
      <c r="I36" s="11">
        <v>9</v>
      </c>
      <c r="J36" s="10" t="s">
        <v>1275</v>
      </c>
      <c r="K36" s="10" t="s">
        <v>769</v>
      </c>
      <c r="L36" s="10"/>
      <c r="M36" s="11"/>
    </row>
    <row r="37" spans="1:13" ht="29.1" customHeight="1">
      <c r="A37" s="10" t="s">
        <v>1697</v>
      </c>
      <c r="B37" s="10" t="s">
        <v>108</v>
      </c>
      <c r="C37" s="10" t="s">
        <v>109</v>
      </c>
      <c r="D37" s="10" t="s">
        <v>1287</v>
      </c>
      <c r="E37" s="11" t="s">
        <v>1288</v>
      </c>
      <c r="F37" s="10" t="s">
        <v>1698</v>
      </c>
      <c r="G37" s="11" t="s">
        <v>1672</v>
      </c>
      <c r="H37" s="11" t="s">
        <v>965</v>
      </c>
      <c r="I37" s="11">
        <v>7</v>
      </c>
      <c r="J37" s="10" t="s">
        <v>1699</v>
      </c>
      <c r="K37" s="10" t="s">
        <v>965</v>
      </c>
      <c r="L37" s="10"/>
      <c r="M37" s="11"/>
    </row>
    <row r="38" spans="1:13">
      <c r="A38" s="10" t="s">
        <v>1700</v>
      </c>
      <c r="B38" s="10" t="s">
        <v>108</v>
      </c>
      <c r="C38" s="10" t="s">
        <v>109</v>
      </c>
      <c r="D38" s="10" t="s">
        <v>1291</v>
      </c>
      <c r="E38" s="11" t="s">
        <v>1293</v>
      </c>
      <c r="F38" s="10" t="s">
        <v>1701</v>
      </c>
      <c r="G38" s="11" t="s">
        <v>276</v>
      </c>
      <c r="H38" s="11" t="s">
        <v>959</v>
      </c>
      <c r="I38" s="11">
        <v>8</v>
      </c>
      <c r="J38" s="10" t="s">
        <v>1293</v>
      </c>
      <c r="K38" s="10" t="s">
        <v>959</v>
      </c>
      <c r="L38" s="10"/>
      <c r="M38" s="11"/>
    </row>
    <row r="39" spans="1:13" ht="29.1" customHeight="1">
      <c r="A39" s="10" t="s">
        <v>1702</v>
      </c>
      <c r="B39" s="10" t="s">
        <v>108</v>
      </c>
      <c r="C39" s="10" t="s">
        <v>109</v>
      </c>
      <c r="D39" s="10"/>
      <c r="E39" s="11" t="s">
        <v>1676</v>
      </c>
      <c r="F39" s="10" t="s">
        <v>1692</v>
      </c>
      <c r="G39" s="11" t="s">
        <v>1677</v>
      </c>
      <c r="H39" s="11" t="s">
        <v>300</v>
      </c>
      <c r="I39" s="11" t="s">
        <v>1678</v>
      </c>
      <c r="J39" s="10" t="s">
        <v>116</v>
      </c>
      <c r="K39" s="10"/>
      <c r="L39" s="10"/>
      <c r="M39" s="11"/>
    </row>
    <row r="40" spans="1:13" ht="43.5" customHeight="1">
      <c r="A40" s="10" t="s">
        <v>1703</v>
      </c>
      <c r="B40" s="10" t="s">
        <v>124</v>
      </c>
      <c r="C40" s="10" t="s">
        <v>125</v>
      </c>
      <c r="D40" s="10"/>
      <c r="E40" s="11" t="s">
        <v>23</v>
      </c>
      <c r="F40" s="10" t="s">
        <v>1704</v>
      </c>
      <c r="G40" s="11" t="s">
        <v>1661</v>
      </c>
      <c r="H40" s="11" t="s">
        <v>276</v>
      </c>
      <c r="I40" s="11" t="s">
        <v>1662</v>
      </c>
      <c r="J40" s="10" t="s">
        <v>130</v>
      </c>
      <c r="K40" s="10"/>
      <c r="L40" s="10"/>
      <c r="M40" s="11"/>
    </row>
    <row r="41" spans="1:13">
      <c r="A41" s="10" t="s">
        <v>1705</v>
      </c>
      <c r="B41" s="10" t="s">
        <v>124</v>
      </c>
      <c r="C41" s="10" t="s">
        <v>125</v>
      </c>
      <c r="D41" s="10" t="s">
        <v>1079</v>
      </c>
      <c r="E41" s="11" t="s">
        <v>1081</v>
      </c>
      <c r="F41" s="10" t="s">
        <v>1706</v>
      </c>
      <c r="G41" s="11" t="s">
        <v>252</v>
      </c>
      <c r="H41" s="11" t="s">
        <v>130</v>
      </c>
      <c r="I41" s="11">
        <v>8</v>
      </c>
      <c r="J41" s="10" t="s">
        <v>1707</v>
      </c>
      <c r="K41" s="10" t="s">
        <v>130</v>
      </c>
      <c r="L41" s="10"/>
      <c r="M41" s="11"/>
    </row>
    <row r="42" spans="1:13">
      <c r="A42" s="10" t="s">
        <v>1708</v>
      </c>
      <c r="B42" s="10" t="s">
        <v>124</v>
      </c>
      <c r="C42" s="10" t="s">
        <v>125</v>
      </c>
      <c r="D42" s="10" t="s">
        <v>1086</v>
      </c>
      <c r="E42" s="11" t="s">
        <v>1088</v>
      </c>
      <c r="F42" s="10" t="s">
        <v>1709</v>
      </c>
      <c r="G42" s="11" t="s">
        <v>252</v>
      </c>
      <c r="H42" s="11" t="s">
        <v>130</v>
      </c>
      <c r="I42" s="11">
        <v>9</v>
      </c>
      <c r="J42" s="10" t="s">
        <v>1710</v>
      </c>
      <c r="K42" s="10" t="s">
        <v>130</v>
      </c>
      <c r="L42" s="10"/>
      <c r="M42" s="11"/>
    </row>
    <row r="43" spans="1:13" ht="29.1" customHeight="1">
      <c r="A43" s="10" t="s">
        <v>1711</v>
      </c>
      <c r="B43" s="10" t="s">
        <v>124</v>
      </c>
      <c r="C43" s="10" t="s">
        <v>125</v>
      </c>
      <c r="D43" s="10" t="s">
        <v>1296</v>
      </c>
      <c r="E43" s="11" t="s">
        <v>1298</v>
      </c>
      <c r="F43" s="10" t="s">
        <v>1712</v>
      </c>
      <c r="G43" s="11" t="s">
        <v>1665</v>
      </c>
      <c r="H43" s="11" t="s">
        <v>130</v>
      </c>
      <c r="I43" s="11">
        <v>8</v>
      </c>
      <c r="J43" s="10" t="s">
        <v>1298</v>
      </c>
      <c r="K43" s="10" t="s">
        <v>130</v>
      </c>
      <c r="L43" s="10"/>
      <c r="M43" s="11"/>
    </row>
    <row r="44" spans="1:13">
      <c r="A44" s="10" t="s">
        <v>1713</v>
      </c>
      <c r="B44" s="10" t="s">
        <v>124</v>
      </c>
      <c r="C44" s="10" t="s">
        <v>125</v>
      </c>
      <c r="D44" s="10" t="s">
        <v>1301</v>
      </c>
      <c r="E44" s="11" t="s">
        <v>1303</v>
      </c>
      <c r="F44" s="10" t="s">
        <v>1714</v>
      </c>
      <c r="G44" s="11" t="s">
        <v>1665</v>
      </c>
      <c r="H44" s="11" t="s">
        <v>130</v>
      </c>
      <c r="I44" s="11">
        <v>8</v>
      </c>
      <c r="J44" s="10" t="s">
        <v>1715</v>
      </c>
      <c r="K44" s="10" t="s">
        <v>130</v>
      </c>
      <c r="L44" s="10"/>
      <c r="M44" s="11"/>
    </row>
    <row r="45" spans="1:13" ht="29.1" customHeight="1">
      <c r="A45" s="10" t="s">
        <v>1716</v>
      </c>
      <c r="B45" s="10" t="s">
        <v>124</v>
      </c>
      <c r="C45" s="10" t="s">
        <v>125</v>
      </c>
      <c r="D45" s="10"/>
      <c r="E45" s="11" t="s">
        <v>1676</v>
      </c>
      <c r="F45" s="10" t="s">
        <v>1704</v>
      </c>
      <c r="G45" s="11" t="s">
        <v>1677</v>
      </c>
      <c r="H45" s="11" t="s">
        <v>300</v>
      </c>
      <c r="I45" s="11" t="s">
        <v>1678</v>
      </c>
      <c r="J45" s="10" t="s">
        <v>130</v>
      </c>
      <c r="K45" s="10"/>
      <c r="L45" s="10"/>
      <c r="M45" s="11"/>
    </row>
    <row r="46" spans="1:13" ht="43.5" customHeight="1">
      <c r="A46" s="10" t="s">
        <v>1717</v>
      </c>
      <c r="B46" s="10" t="s">
        <v>136</v>
      </c>
      <c r="C46" s="10" t="s">
        <v>137</v>
      </c>
      <c r="D46" s="10"/>
      <c r="E46" s="11" t="s">
        <v>23</v>
      </c>
      <c r="F46" s="10" t="s">
        <v>1718</v>
      </c>
      <c r="G46" s="11" t="s">
        <v>1661</v>
      </c>
      <c r="H46" s="11" t="s">
        <v>276</v>
      </c>
      <c r="I46" s="11" t="s">
        <v>1662</v>
      </c>
      <c r="J46" s="10" t="s">
        <v>142</v>
      </c>
      <c r="K46" s="10"/>
      <c r="L46" s="10"/>
      <c r="M46" s="11"/>
    </row>
    <row r="47" spans="1:13">
      <c r="A47" s="10" t="s">
        <v>1719</v>
      </c>
      <c r="B47" s="10" t="s">
        <v>136</v>
      </c>
      <c r="C47" s="10" t="s">
        <v>137</v>
      </c>
      <c r="D47" s="10" t="s">
        <v>1320</v>
      </c>
      <c r="E47" s="11" t="s">
        <v>1322</v>
      </c>
      <c r="F47" s="10" t="s">
        <v>1720</v>
      </c>
      <c r="G47" s="11" t="s">
        <v>252</v>
      </c>
      <c r="H47" s="11" t="s">
        <v>738</v>
      </c>
      <c r="I47" s="11">
        <v>9</v>
      </c>
      <c r="J47" s="10" t="s">
        <v>1322</v>
      </c>
      <c r="K47" s="10" t="s">
        <v>738</v>
      </c>
      <c r="L47" s="10"/>
      <c r="M47" s="11"/>
    </row>
    <row r="48" spans="1:13">
      <c r="A48" s="10" t="s">
        <v>1721</v>
      </c>
      <c r="B48" s="10" t="s">
        <v>136</v>
      </c>
      <c r="C48" s="10" t="s">
        <v>137</v>
      </c>
      <c r="D48" s="10" t="s">
        <v>1330</v>
      </c>
      <c r="E48" s="11" t="s">
        <v>1332</v>
      </c>
      <c r="F48" s="10" t="s">
        <v>1722</v>
      </c>
      <c r="G48" s="11" t="s">
        <v>1665</v>
      </c>
      <c r="H48" s="11" t="s">
        <v>913</v>
      </c>
      <c r="I48" s="11">
        <v>9</v>
      </c>
      <c r="J48" s="10" t="s">
        <v>1332</v>
      </c>
      <c r="K48" s="10" t="s">
        <v>913</v>
      </c>
      <c r="L48" s="10"/>
      <c r="M48" s="11"/>
    </row>
    <row r="49" spans="1:13">
      <c r="A49" s="10" t="s">
        <v>1723</v>
      </c>
      <c r="B49" s="10" t="s">
        <v>136</v>
      </c>
      <c r="C49" s="10" t="s">
        <v>137</v>
      </c>
      <c r="D49" s="10" t="s">
        <v>1335</v>
      </c>
      <c r="E49" s="11" t="s">
        <v>1337</v>
      </c>
      <c r="F49" s="10" t="s">
        <v>1724</v>
      </c>
      <c r="G49" s="11" t="s">
        <v>252</v>
      </c>
      <c r="H49" s="11" t="s">
        <v>738</v>
      </c>
      <c r="I49" s="11">
        <v>9</v>
      </c>
      <c r="J49" s="10" t="s">
        <v>1337</v>
      </c>
      <c r="K49" s="10" t="s">
        <v>738</v>
      </c>
      <c r="L49" s="10"/>
      <c r="M49" s="11"/>
    </row>
    <row r="50" spans="1:13">
      <c r="A50" s="10" t="s">
        <v>1725</v>
      </c>
      <c r="B50" s="10" t="s">
        <v>136</v>
      </c>
      <c r="C50" s="10" t="s">
        <v>137</v>
      </c>
      <c r="D50" s="10" t="s">
        <v>1340</v>
      </c>
      <c r="E50" s="11" t="s">
        <v>1342</v>
      </c>
      <c r="F50" s="10" t="s">
        <v>1726</v>
      </c>
      <c r="G50" s="11" t="s">
        <v>1665</v>
      </c>
      <c r="H50" s="11" t="s">
        <v>142</v>
      </c>
      <c r="I50" s="11">
        <v>8</v>
      </c>
      <c r="J50" s="10" t="s">
        <v>1342</v>
      </c>
      <c r="K50" s="10" t="s">
        <v>142</v>
      </c>
      <c r="L50" s="10"/>
      <c r="M50" s="11"/>
    </row>
    <row r="51" spans="1:13" ht="29.1" customHeight="1">
      <c r="A51" s="10" t="s">
        <v>1727</v>
      </c>
      <c r="B51" s="10" t="s">
        <v>136</v>
      </c>
      <c r="C51" s="10" t="s">
        <v>137</v>
      </c>
      <c r="D51" s="10"/>
      <c r="E51" s="11" t="s">
        <v>1676</v>
      </c>
      <c r="F51" s="10" t="s">
        <v>1718</v>
      </c>
      <c r="G51" s="11" t="s">
        <v>1677</v>
      </c>
      <c r="H51" s="11" t="s">
        <v>300</v>
      </c>
      <c r="I51" s="11" t="s">
        <v>1678</v>
      </c>
      <c r="J51" s="10" t="s">
        <v>142</v>
      </c>
      <c r="K51" s="10"/>
      <c r="L51" s="10"/>
      <c r="M51" s="11"/>
    </row>
    <row r="52" spans="1:13" ht="43.5" customHeight="1">
      <c r="A52" s="10" t="s">
        <v>1728</v>
      </c>
      <c r="B52" s="10" t="s">
        <v>143</v>
      </c>
      <c r="C52" s="10" t="s">
        <v>144</v>
      </c>
      <c r="D52" s="10"/>
      <c r="E52" s="11" t="s">
        <v>23</v>
      </c>
      <c r="F52" s="10" t="s">
        <v>1729</v>
      </c>
      <c r="G52" s="11" t="s">
        <v>1661</v>
      </c>
      <c r="H52" s="11" t="s">
        <v>276</v>
      </c>
      <c r="I52" s="11" t="s">
        <v>1662</v>
      </c>
      <c r="J52" s="10" t="s">
        <v>149</v>
      </c>
      <c r="K52" s="10"/>
      <c r="L52" s="10"/>
      <c r="M52" s="11"/>
    </row>
    <row r="53" spans="1:13">
      <c r="A53" s="10" t="s">
        <v>1730</v>
      </c>
      <c r="B53" s="10" t="s">
        <v>143</v>
      </c>
      <c r="C53" s="10" t="s">
        <v>144</v>
      </c>
      <c r="D53" s="10" t="s">
        <v>1350</v>
      </c>
      <c r="E53" s="11" t="s">
        <v>1352</v>
      </c>
      <c r="F53" s="10" t="s">
        <v>1731</v>
      </c>
      <c r="G53" s="11" t="s">
        <v>252</v>
      </c>
      <c r="H53" s="11" t="s">
        <v>724</v>
      </c>
      <c r="I53" s="11">
        <v>9</v>
      </c>
      <c r="J53" s="10" t="s">
        <v>1732</v>
      </c>
      <c r="K53" s="10" t="s">
        <v>724</v>
      </c>
      <c r="L53" s="10"/>
      <c r="M53" s="11"/>
    </row>
    <row r="54" spans="1:13">
      <c r="A54" s="10" t="s">
        <v>1733</v>
      </c>
      <c r="B54" s="10" t="s">
        <v>143</v>
      </c>
      <c r="C54" s="10" t="s">
        <v>144</v>
      </c>
      <c r="D54" s="10" t="s">
        <v>1360</v>
      </c>
      <c r="E54" s="11" t="s">
        <v>1362</v>
      </c>
      <c r="F54" s="10" t="s">
        <v>1734</v>
      </c>
      <c r="G54" s="11" t="s">
        <v>252</v>
      </c>
      <c r="H54" s="11" t="s">
        <v>800</v>
      </c>
      <c r="I54" s="11">
        <v>9</v>
      </c>
      <c r="J54" s="10" t="s">
        <v>1362</v>
      </c>
      <c r="K54" s="10" t="s">
        <v>800</v>
      </c>
      <c r="L54" s="10"/>
      <c r="M54" s="11"/>
    </row>
    <row r="55" spans="1:13">
      <c r="A55" s="10" t="s">
        <v>1735</v>
      </c>
      <c r="B55" s="10" t="s">
        <v>143</v>
      </c>
      <c r="C55" s="10" t="s">
        <v>144</v>
      </c>
      <c r="D55" s="10" t="s">
        <v>1365</v>
      </c>
      <c r="E55" s="11" t="s">
        <v>1367</v>
      </c>
      <c r="F55" s="10" t="s">
        <v>1736</v>
      </c>
      <c r="G55" s="11" t="s">
        <v>252</v>
      </c>
      <c r="H55" s="11" t="s">
        <v>800</v>
      </c>
      <c r="I55" s="11">
        <v>8</v>
      </c>
      <c r="J55" s="10" t="s">
        <v>1737</v>
      </c>
      <c r="K55" s="10" t="s">
        <v>800</v>
      </c>
      <c r="L55" s="10"/>
      <c r="M55" s="11"/>
    </row>
    <row r="56" spans="1:13">
      <c r="A56" s="10" t="s">
        <v>1738</v>
      </c>
      <c r="B56" s="10" t="s">
        <v>143</v>
      </c>
      <c r="C56" s="10" t="s">
        <v>144</v>
      </c>
      <c r="D56" s="10" t="s">
        <v>1355</v>
      </c>
      <c r="E56" s="11" t="s">
        <v>1357</v>
      </c>
      <c r="F56" s="10" t="s">
        <v>1739</v>
      </c>
      <c r="G56" s="11" t="s">
        <v>276</v>
      </c>
      <c r="H56" s="11" t="s">
        <v>724</v>
      </c>
      <c r="I56" s="11">
        <v>7</v>
      </c>
      <c r="J56" s="10" t="s">
        <v>1357</v>
      </c>
      <c r="K56" s="10" t="s">
        <v>724</v>
      </c>
      <c r="L56" s="10"/>
      <c r="M56" s="11"/>
    </row>
    <row r="57" spans="1:13" ht="29.1" customHeight="1">
      <c r="A57" s="10" t="s">
        <v>1740</v>
      </c>
      <c r="B57" s="10" t="s">
        <v>143</v>
      </c>
      <c r="C57" s="10" t="s">
        <v>144</v>
      </c>
      <c r="D57" s="10"/>
      <c r="E57" s="11" t="s">
        <v>1676</v>
      </c>
      <c r="F57" s="10" t="s">
        <v>1729</v>
      </c>
      <c r="G57" s="11" t="s">
        <v>1677</v>
      </c>
      <c r="H57" s="11" t="s">
        <v>300</v>
      </c>
      <c r="I57" s="11" t="s">
        <v>1678</v>
      </c>
      <c r="J57" s="10" t="s">
        <v>149</v>
      </c>
      <c r="K57" s="10"/>
      <c r="L57" s="10"/>
      <c r="M57" s="11"/>
    </row>
    <row r="58" spans="1:13" ht="43.5" customHeight="1">
      <c r="A58" s="10" t="s">
        <v>1741</v>
      </c>
      <c r="B58" s="10" t="s">
        <v>150</v>
      </c>
      <c r="C58" s="10" t="s">
        <v>151</v>
      </c>
      <c r="D58" s="10"/>
      <c r="E58" s="11" t="s">
        <v>23</v>
      </c>
      <c r="F58" s="10" t="s">
        <v>1742</v>
      </c>
      <c r="G58" s="11" t="s">
        <v>1661</v>
      </c>
      <c r="H58" s="11" t="s">
        <v>276</v>
      </c>
      <c r="I58" s="11" t="s">
        <v>1662</v>
      </c>
      <c r="J58" s="10" t="s">
        <v>154</v>
      </c>
      <c r="K58" s="10"/>
      <c r="L58" s="10"/>
      <c r="M58" s="11"/>
    </row>
    <row r="59" spans="1:13" ht="29.1" customHeight="1">
      <c r="A59" s="10" t="s">
        <v>1743</v>
      </c>
      <c r="B59" s="10" t="s">
        <v>150</v>
      </c>
      <c r="C59" s="10" t="s">
        <v>151</v>
      </c>
      <c r="D59" s="10" t="s">
        <v>1374</v>
      </c>
      <c r="E59" s="11" t="s">
        <v>1376</v>
      </c>
      <c r="F59" s="10" t="s">
        <v>1744</v>
      </c>
      <c r="G59" s="11" t="s">
        <v>252</v>
      </c>
      <c r="H59" s="11" t="s">
        <v>791</v>
      </c>
      <c r="I59" s="11">
        <v>8</v>
      </c>
      <c r="J59" s="10" t="s">
        <v>1376</v>
      </c>
      <c r="K59" s="10" t="s">
        <v>791</v>
      </c>
      <c r="L59" s="10"/>
      <c r="M59" s="11"/>
    </row>
    <row r="60" spans="1:13">
      <c r="A60" s="10" t="s">
        <v>1745</v>
      </c>
      <c r="B60" s="10" t="s">
        <v>150</v>
      </c>
      <c r="C60" s="10" t="s">
        <v>151</v>
      </c>
      <c r="D60" s="10" t="s">
        <v>1379</v>
      </c>
      <c r="E60" s="11" t="s">
        <v>1380</v>
      </c>
      <c r="F60" s="10" t="s">
        <v>1746</v>
      </c>
      <c r="G60" s="11" t="s">
        <v>252</v>
      </c>
      <c r="H60" s="11" t="s">
        <v>791</v>
      </c>
      <c r="I60" s="11">
        <v>9</v>
      </c>
      <c r="J60" s="10" t="s">
        <v>1747</v>
      </c>
      <c r="K60" s="10" t="s">
        <v>791</v>
      </c>
      <c r="L60" s="10"/>
      <c r="M60" s="11"/>
    </row>
    <row r="61" spans="1:13">
      <c r="A61" s="10" t="s">
        <v>1748</v>
      </c>
      <c r="B61" s="10" t="s">
        <v>150</v>
      </c>
      <c r="C61" s="10" t="s">
        <v>151</v>
      </c>
      <c r="D61" s="10" t="s">
        <v>1387</v>
      </c>
      <c r="E61" s="11" t="s">
        <v>1389</v>
      </c>
      <c r="F61" s="10" t="s">
        <v>1749</v>
      </c>
      <c r="G61" s="11" t="s">
        <v>1672</v>
      </c>
      <c r="H61" s="11" t="s">
        <v>896</v>
      </c>
      <c r="I61" s="11">
        <v>6</v>
      </c>
      <c r="J61" s="10" t="s">
        <v>1389</v>
      </c>
      <c r="K61" s="10" t="s">
        <v>896</v>
      </c>
      <c r="L61" s="10"/>
      <c r="M61" s="11"/>
    </row>
    <row r="62" spans="1:13">
      <c r="A62" s="10" t="s">
        <v>1750</v>
      </c>
      <c r="B62" s="10" t="s">
        <v>150</v>
      </c>
      <c r="C62" s="10" t="s">
        <v>151</v>
      </c>
      <c r="D62" s="10" t="s">
        <v>1392</v>
      </c>
      <c r="E62" s="11" t="s">
        <v>1393</v>
      </c>
      <c r="F62" s="10" t="s">
        <v>1751</v>
      </c>
      <c r="G62" s="11" t="s">
        <v>1672</v>
      </c>
      <c r="H62" s="11" t="s">
        <v>902</v>
      </c>
      <c r="I62" s="11">
        <v>5</v>
      </c>
      <c r="J62" s="10" t="s">
        <v>1393</v>
      </c>
      <c r="K62" s="10" t="s">
        <v>902</v>
      </c>
      <c r="L62" s="10"/>
      <c r="M62" s="11"/>
    </row>
    <row r="63" spans="1:13" ht="29.1" customHeight="1">
      <c r="A63" s="10" t="s">
        <v>1752</v>
      </c>
      <c r="B63" s="10" t="s">
        <v>150</v>
      </c>
      <c r="C63" s="10" t="s">
        <v>151</v>
      </c>
      <c r="D63" s="10"/>
      <c r="E63" s="11" t="s">
        <v>1676</v>
      </c>
      <c r="F63" s="10" t="s">
        <v>1742</v>
      </c>
      <c r="G63" s="11" t="s">
        <v>1677</v>
      </c>
      <c r="H63" s="11" t="s">
        <v>300</v>
      </c>
      <c r="I63" s="11" t="s">
        <v>1678</v>
      </c>
      <c r="J63" s="10" t="s">
        <v>154</v>
      </c>
      <c r="K63" s="10"/>
      <c r="L63" s="10"/>
      <c r="M63" s="11"/>
    </row>
    <row r="64" spans="1:13" ht="43.5" customHeight="1">
      <c r="A64" s="10" t="s">
        <v>1753</v>
      </c>
      <c r="B64" s="10" t="s">
        <v>155</v>
      </c>
      <c r="C64" s="10" t="s">
        <v>156</v>
      </c>
      <c r="D64" s="10"/>
      <c r="E64" s="11" t="s">
        <v>23</v>
      </c>
      <c r="F64" s="11" t="s">
        <v>1754</v>
      </c>
      <c r="G64" s="11" t="s">
        <v>1661</v>
      </c>
      <c r="H64" s="11" t="s">
        <v>276</v>
      </c>
      <c r="I64" s="11" t="s">
        <v>1662</v>
      </c>
      <c r="J64" s="10" t="s">
        <v>160</v>
      </c>
      <c r="K64" s="10"/>
      <c r="L64" s="10"/>
      <c r="M64" s="11"/>
    </row>
    <row r="65" spans="1:13" ht="29.1">
      <c r="A65" s="10" t="s">
        <v>1755</v>
      </c>
      <c r="B65" s="10" t="s">
        <v>155</v>
      </c>
      <c r="C65" s="10" t="s">
        <v>156</v>
      </c>
      <c r="D65" s="10" t="s">
        <v>1121</v>
      </c>
      <c r="E65" s="11" t="s">
        <v>1123</v>
      </c>
      <c r="F65" s="11" t="s">
        <v>1756</v>
      </c>
      <c r="G65" s="11" t="s">
        <v>252</v>
      </c>
      <c r="H65" s="11" t="s">
        <v>160</v>
      </c>
      <c r="I65" s="11">
        <v>8</v>
      </c>
      <c r="J65" s="10" t="s">
        <v>1123</v>
      </c>
      <c r="K65" s="10" t="s">
        <v>160</v>
      </c>
      <c r="L65" s="10"/>
      <c r="M65" s="11"/>
    </row>
    <row r="66" spans="1:13" ht="29.1">
      <c r="A66" s="10" t="s">
        <v>1757</v>
      </c>
      <c r="B66" s="10" t="s">
        <v>155</v>
      </c>
      <c r="C66" s="10" t="s">
        <v>156</v>
      </c>
      <c r="D66" s="10" t="s">
        <v>1404</v>
      </c>
      <c r="E66" s="11" t="s">
        <v>1406</v>
      </c>
      <c r="F66" s="11" t="s">
        <v>1758</v>
      </c>
      <c r="G66" s="11" t="s">
        <v>252</v>
      </c>
      <c r="H66" s="11" t="s">
        <v>759</v>
      </c>
      <c r="I66" s="11">
        <v>9</v>
      </c>
      <c r="J66" s="10" t="s">
        <v>1406</v>
      </c>
      <c r="K66" s="10" t="s">
        <v>759</v>
      </c>
      <c r="L66" s="10"/>
      <c r="M66" s="11"/>
    </row>
    <row r="67" spans="1:13" ht="29.1" customHeight="1">
      <c r="A67" s="10" t="s">
        <v>1759</v>
      </c>
      <c r="B67" s="10" t="s">
        <v>155</v>
      </c>
      <c r="C67" s="10" t="s">
        <v>156</v>
      </c>
      <c r="D67" s="10" t="s">
        <v>1409</v>
      </c>
      <c r="E67" s="11" t="s">
        <v>1760</v>
      </c>
      <c r="F67" s="11" t="s">
        <v>1761</v>
      </c>
      <c r="G67" s="11" t="s">
        <v>1665</v>
      </c>
      <c r="H67" s="11" t="s">
        <v>759</v>
      </c>
      <c r="I67" s="11">
        <v>9</v>
      </c>
      <c r="J67" s="10" t="s">
        <v>1760</v>
      </c>
      <c r="K67" s="10" t="s">
        <v>759</v>
      </c>
      <c r="L67" s="10"/>
      <c r="M67" s="11"/>
    </row>
    <row r="68" spans="1:13" ht="43.5">
      <c r="A68" s="10" t="s">
        <v>1762</v>
      </c>
      <c r="B68" s="10" t="s">
        <v>155</v>
      </c>
      <c r="C68" s="10" t="s">
        <v>156</v>
      </c>
      <c r="D68" s="10" t="s">
        <v>1414</v>
      </c>
      <c r="E68" s="11" t="s">
        <v>1416</v>
      </c>
      <c r="F68" s="11" t="s">
        <v>1763</v>
      </c>
      <c r="G68" s="11" t="s">
        <v>1672</v>
      </c>
      <c r="H68" s="11" t="s">
        <v>819</v>
      </c>
      <c r="I68" s="11">
        <v>6</v>
      </c>
      <c r="J68" s="10" t="s">
        <v>1764</v>
      </c>
      <c r="K68" s="10" t="s">
        <v>819</v>
      </c>
      <c r="L68" s="10"/>
      <c r="M68" s="11"/>
    </row>
    <row r="69" spans="1:13" ht="29.1" customHeight="1">
      <c r="A69" s="10" t="s">
        <v>1765</v>
      </c>
      <c r="B69" s="10" t="s">
        <v>155</v>
      </c>
      <c r="C69" s="10" t="s">
        <v>156</v>
      </c>
      <c r="D69" s="10"/>
      <c r="E69" s="11" t="s">
        <v>1676</v>
      </c>
      <c r="F69" s="11" t="s">
        <v>1754</v>
      </c>
      <c r="G69" s="11" t="s">
        <v>1677</v>
      </c>
      <c r="H69" s="11" t="s">
        <v>300</v>
      </c>
      <c r="I69" s="11" t="s">
        <v>1678</v>
      </c>
      <c r="J69" s="10" t="s">
        <v>160</v>
      </c>
      <c r="K69" s="10"/>
      <c r="L69" s="10"/>
      <c r="M69" s="11"/>
    </row>
    <row r="70" spans="1:13">
      <c r="A70" s="10"/>
      <c r="B70" s="10"/>
      <c r="C70" s="10"/>
      <c r="D70" s="10"/>
      <c r="E70" s="11"/>
      <c r="F70" s="10"/>
      <c r="G70" s="11"/>
      <c r="H70" s="11"/>
      <c r="I70" s="11"/>
      <c r="J70" s="10"/>
      <c r="K70" s="10"/>
      <c r="L70" s="10"/>
      <c r="M70" s="11"/>
    </row>
    <row r="71" spans="1:13">
      <c r="A71" s="10"/>
      <c r="B71" s="10"/>
      <c r="C71" s="10"/>
      <c r="D71" s="10"/>
      <c r="E71" s="11"/>
      <c r="F71" s="10"/>
      <c r="G71" s="11"/>
      <c r="H71" s="11"/>
      <c r="I71" s="11"/>
      <c r="J71" s="10"/>
      <c r="K71" s="10"/>
      <c r="L71" s="10"/>
      <c r="M71" s="11"/>
    </row>
    <row r="72" spans="1:13">
      <c r="A72" s="10"/>
      <c r="B72" s="10"/>
      <c r="C72" s="10"/>
      <c r="D72" s="10"/>
      <c r="E72" s="11"/>
      <c r="F72" s="10"/>
      <c r="G72" s="11"/>
      <c r="H72" s="11"/>
      <c r="I72" s="11"/>
      <c r="J72" s="10"/>
      <c r="K72" s="10"/>
      <c r="L72" s="10"/>
      <c r="M72" s="11"/>
    </row>
    <row r="73" spans="1:13">
      <c r="A73" s="10"/>
      <c r="B73" s="10"/>
      <c r="C73" s="10"/>
      <c r="D73" s="10"/>
      <c r="E73" s="11"/>
      <c r="F73" s="10"/>
      <c r="G73" s="11"/>
      <c r="H73" s="11"/>
      <c r="I73" s="11"/>
      <c r="J73" s="10"/>
      <c r="K73" s="10"/>
      <c r="L73" s="10"/>
      <c r="M73" s="11"/>
    </row>
    <row r="74" spans="1:13">
      <c r="A74" s="10"/>
      <c r="B74" s="10"/>
      <c r="C74" s="10"/>
      <c r="D74" s="10"/>
      <c r="E74" s="11"/>
      <c r="F74" s="10"/>
      <c r="G74" s="11"/>
      <c r="H74" s="11"/>
      <c r="I74" s="11"/>
      <c r="J74" s="10"/>
      <c r="K74" s="10"/>
      <c r="L74" s="10"/>
      <c r="M74" s="11"/>
    </row>
    <row r="75" spans="1:13">
      <c r="A75" s="10"/>
      <c r="B75" s="10"/>
      <c r="C75" s="10"/>
      <c r="D75" s="10"/>
      <c r="E75" s="11"/>
      <c r="F75" s="10"/>
      <c r="G75" s="11"/>
      <c r="H75" s="11"/>
      <c r="I75" s="11"/>
      <c r="J75" s="10"/>
      <c r="K75" s="10"/>
      <c r="L75" s="10"/>
      <c r="M75" s="11"/>
    </row>
    <row r="76" spans="1:13">
      <c r="A76" s="10"/>
      <c r="B76" s="10"/>
      <c r="C76" s="10"/>
      <c r="D76" s="10"/>
      <c r="E76" s="11"/>
      <c r="F76" s="10"/>
      <c r="G76" s="11"/>
      <c r="H76" s="11"/>
      <c r="I76" s="11"/>
      <c r="J76" s="10"/>
      <c r="K76" s="10"/>
      <c r="L76" s="10"/>
      <c r="M76" s="11"/>
    </row>
    <row r="77" spans="1:13">
      <c r="A77" s="10"/>
      <c r="B77" s="10"/>
      <c r="C77" s="10"/>
      <c r="D77" s="10"/>
      <c r="E77" s="11"/>
      <c r="F77" s="10"/>
      <c r="G77" s="11"/>
      <c r="H77" s="11"/>
      <c r="I77" s="11"/>
      <c r="J77" s="10"/>
      <c r="K77" s="10"/>
      <c r="L77" s="10"/>
      <c r="M77" s="11"/>
    </row>
    <row r="78" spans="1:13">
      <c r="A78" s="10"/>
      <c r="B78" s="10"/>
      <c r="C78" s="10"/>
      <c r="D78" s="10"/>
      <c r="E78" s="11"/>
      <c r="F78" s="10"/>
      <c r="G78" s="11"/>
      <c r="H78" s="11"/>
      <c r="I78" s="11"/>
      <c r="J78" s="10"/>
      <c r="K78" s="10"/>
      <c r="L78" s="10"/>
      <c r="M78" s="11"/>
    </row>
    <row r="79" spans="1:13">
      <c r="A79" s="10"/>
      <c r="B79" s="10"/>
      <c r="C79" s="10"/>
      <c r="D79" s="10"/>
      <c r="E79" s="11"/>
      <c r="F79" s="10"/>
      <c r="G79" s="11"/>
      <c r="H79" s="11"/>
      <c r="I79" s="11"/>
      <c r="J79" s="10"/>
      <c r="K79" s="10"/>
      <c r="L79" s="10"/>
      <c r="M79" s="11"/>
    </row>
    <row r="80" spans="1:13">
      <c r="A80" s="10"/>
      <c r="B80" s="10"/>
      <c r="C80" s="10"/>
      <c r="D80" s="10"/>
      <c r="E80" s="11"/>
      <c r="F80" s="10"/>
      <c r="G80" s="11"/>
      <c r="H80" s="11"/>
      <c r="I80" s="11"/>
      <c r="J80" s="10"/>
      <c r="K80" s="10"/>
      <c r="L80" s="10"/>
      <c r="M80" s="11"/>
    </row>
    <row r="81" spans="1:13">
      <c r="A81" s="10"/>
      <c r="B81" s="10"/>
      <c r="C81" s="10"/>
      <c r="D81" s="10"/>
      <c r="E81" s="11"/>
      <c r="F81" s="10"/>
      <c r="G81" s="11"/>
      <c r="H81" s="11"/>
      <c r="I81" s="11"/>
      <c r="J81" s="10"/>
      <c r="K81" s="10"/>
      <c r="L81" s="10"/>
      <c r="M81" s="11"/>
    </row>
    <row r="82" spans="1:13">
      <c r="A82" s="10"/>
      <c r="B82" s="10"/>
      <c r="C82" s="10"/>
      <c r="D82" s="10"/>
      <c r="E82" s="11"/>
      <c r="F82" s="10"/>
      <c r="G82" s="11"/>
      <c r="H82" s="11"/>
      <c r="I82" s="11"/>
      <c r="J82" s="10"/>
      <c r="K82" s="10"/>
      <c r="L82" s="10"/>
      <c r="M82" s="11"/>
    </row>
    <row r="83" spans="1:13">
      <c r="A83" s="10"/>
      <c r="B83" s="10"/>
      <c r="C83" s="10"/>
      <c r="D83" s="10"/>
      <c r="E83" s="11"/>
      <c r="F83" s="10"/>
      <c r="G83" s="11"/>
      <c r="H83" s="11"/>
      <c r="I83" s="11"/>
      <c r="J83" s="10"/>
      <c r="K83" s="10"/>
      <c r="L83" s="10"/>
      <c r="M83" s="11"/>
    </row>
    <row r="84" spans="1:13">
      <c r="A84" s="10"/>
      <c r="B84" s="10"/>
      <c r="C84" s="10"/>
      <c r="D84" s="10"/>
      <c r="E84" s="11"/>
      <c r="F84" s="10"/>
      <c r="G84" s="11"/>
      <c r="H84" s="11"/>
      <c r="I84" s="11"/>
      <c r="J84" s="10"/>
      <c r="K84" s="10"/>
      <c r="L84" s="10"/>
      <c r="M84" s="11"/>
    </row>
    <row r="85" spans="1:13">
      <c r="A85" s="10"/>
      <c r="B85" s="10"/>
      <c r="C85" s="10"/>
      <c r="D85" s="10"/>
      <c r="E85" s="11"/>
      <c r="F85" s="10"/>
      <c r="G85" s="11"/>
      <c r="H85" s="11"/>
      <c r="I85" s="11"/>
      <c r="J85" s="10"/>
      <c r="K85" s="10"/>
      <c r="L85" s="10"/>
      <c r="M85" s="11"/>
    </row>
    <row r="86" spans="1:13">
      <c r="A86" s="10"/>
      <c r="B86" s="10"/>
      <c r="C86" s="10"/>
      <c r="D86" s="10"/>
      <c r="E86" s="11"/>
      <c r="F86" s="10"/>
      <c r="G86" s="11"/>
      <c r="H86" s="11"/>
      <c r="I86" s="11"/>
      <c r="J86" s="10"/>
      <c r="K86" s="10"/>
      <c r="L86" s="10"/>
      <c r="M86" s="11"/>
    </row>
    <row r="87" spans="1:13">
      <c r="A87" s="10"/>
      <c r="B87" s="10"/>
      <c r="C87" s="10"/>
      <c r="D87" s="10"/>
      <c r="E87" s="11"/>
      <c r="F87" s="10"/>
      <c r="G87" s="11"/>
      <c r="H87" s="11"/>
      <c r="I87" s="11"/>
      <c r="J87" s="10"/>
      <c r="K87" s="10"/>
      <c r="L87" s="10"/>
      <c r="M87" s="11"/>
    </row>
    <row r="88" spans="1:13">
      <c r="A88" s="10"/>
      <c r="B88" s="10"/>
      <c r="C88" s="10"/>
      <c r="D88" s="10"/>
      <c r="E88" s="11"/>
      <c r="F88" s="10"/>
      <c r="G88" s="11"/>
      <c r="H88" s="11"/>
      <c r="I88" s="11"/>
      <c r="J88" s="10"/>
      <c r="K88" s="10"/>
      <c r="L88" s="10"/>
      <c r="M88" s="11"/>
    </row>
    <row r="89" spans="1:13">
      <c r="A89" s="10"/>
      <c r="B89" s="10"/>
      <c r="C89" s="10"/>
      <c r="D89" s="10"/>
      <c r="E89" s="11"/>
      <c r="F89" s="10"/>
      <c r="G89" s="11"/>
      <c r="H89" s="11"/>
      <c r="I89" s="11"/>
      <c r="J89" s="10"/>
      <c r="K89" s="10"/>
      <c r="L89" s="10"/>
      <c r="M89" s="11"/>
    </row>
    <row r="90" spans="1:13">
      <c r="A90" s="10"/>
      <c r="B90" s="10"/>
      <c r="C90" s="10"/>
      <c r="D90" s="10"/>
      <c r="E90" s="11"/>
      <c r="F90" s="10"/>
      <c r="G90" s="11"/>
      <c r="H90" s="11"/>
      <c r="I90" s="11"/>
      <c r="J90" s="10"/>
      <c r="K90" s="10"/>
      <c r="L90" s="10"/>
      <c r="M90" s="11"/>
    </row>
    <row r="91" spans="1:13">
      <c r="A91" s="10"/>
      <c r="B91" s="10"/>
      <c r="C91" s="10"/>
      <c r="D91" s="10"/>
      <c r="E91" s="11"/>
      <c r="F91" s="10"/>
      <c r="G91" s="11"/>
      <c r="H91" s="11"/>
      <c r="I91" s="11"/>
      <c r="J91" s="10"/>
      <c r="K91" s="10"/>
      <c r="L91" s="10"/>
      <c r="M91" s="11"/>
    </row>
    <row r="92" spans="1:13">
      <c r="A92" s="10"/>
      <c r="B92" s="10"/>
      <c r="C92" s="10"/>
      <c r="D92" s="10"/>
      <c r="E92" s="11"/>
      <c r="F92" s="10"/>
      <c r="G92" s="11"/>
      <c r="H92" s="11"/>
      <c r="I92" s="11"/>
      <c r="J92" s="10"/>
      <c r="K92" s="10"/>
      <c r="L92" s="10"/>
      <c r="M92" s="11"/>
    </row>
    <row r="93" spans="1:13">
      <c r="A93" s="10"/>
      <c r="B93" s="10"/>
      <c r="C93" s="10"/>
      <c r="D93" s="10"/>
      <c r="E93" s="11"/>
      <c r="F93" s="10"/>
      <c r="G93" s="11"/>
      <c r="H93" s="11"/>
      <c r="I93" s="11"/>
      <c r="J93" s="10"/>
      <c r="K93" s="10"/>
      <c r="L93" s="10"/>
      <c r="M93" s="11"/>
    </row>
    <row r="94" spans="1:13">
      <c r="A94" s="10"/>
      <c r="B94" s="10"/>
      <c r="C94" s="10"/>
      <c r="D94" s="10"/>
      <c r="E94" s="11"/>
      <c r="F94" s="10"/>
      <c r="G94" s="11"/>
      <c r="H94" s="11"/>
      <c r="I94" s="11"/>
      <c r="J94" s="10"/>
      <c r="K94" s="10"/>
      <c r="L94" s="10"/>
      <c r="M94" s="11"/>
    </row>
    <row r="95" spans="1:13">
      <c r="A95" s="10"/>
      <c r="B95" s="10"/>
      <c r="C95" s="10"/>
      <c r="D95" s="10"/>
      <c r="E95" s="11"/>
      <c r="F95" s="10"/>
      <c r="G95" s="11"/>
      <c r="H95" s="11"/>
      <c r="I95" s="11"/>
      <c r="J95" s="10"/>
      <c r="K95" s="10"/>
      <c r="L95" s="10"/>
      <c r="M95" s="11"/>
    </row>
    <row r="96" spans="1:13">
      <c r="A96" s="10"/>
      <c r="B96" s="10"/>
      <c r="C96" s="10"/>
      <c r="D96" s="10"/>
      <c r="E96" s="11"/>
      <c r="F96" s="10"/>
      <c r="G96" s="11"/>
      <c r="H96" s="11"/>
      <c r="I96" s="11"/>
      <c r="J96" s="10"/>
      <c r="K96" s="10"/>
      <c r="L96" s="10"/>
      <c r="M96" s="11"/>
    </row>
    <row r="97" spans="1:13">
      <c r="A97" s="10"/>
      <c r="B97" s="10"/>
      <c r="C97" s="10"/>
      <c r="D97" s="10"/>
      <c r="E97" s="11"/>
      <c r="F97" s="10"/>
      <c r="G97" s="11"/>
      <c r="H97" s="11"/>
      <c r="I97" s="11"/>
      <c r="J97" s="10"/>
      <c r="K97" s="10"/>
      <c r="L97" s="10"/>
      <c r="M97" s="11"/>
    </row>
    <row r="98" spans="1:13">
      <c r="A98" s="10"/>
      <c r="B98" s="10"/>
      <c r="C98" s="10"/>
      <c r="D98" s="10"/>
      <c r="E98" s="11"/>
      <c r="F98" s="10"/>
      <c r="G98" s="11"/>
      <c r="H98" s="11"/>
      <c r="I98" s="11"/>
      <c r="J98" s="10"/>
      <c r="K98" s="10"/>
      <c r="L98" s="10"/>
      <c r="M98" s="11"/>
    </row>
    <row r="99" spans="1:13">
      <c r="A99" s="10"/>
      <c r="B99" s="10"/>
      <c r="C99" s="10"/>
      <c r="D99" s="10"/>
      <c r="E99" s="11"/>
      <c r="F99" s="10"/>
      <c r="G99" s="11"/>
      <c r="H99" s="11"/>
      <c r="I99" s="11"/>
      <c r="J99" s="10"/>
      <c r="K99" s="10"/>
      <c r="L99" s="10"/>
      <c r="M99" s="11"/>
    </row>
    <row r="100" spans="1:13">
      <c r="A100" s="10"/>
      <c r="B100" s="10"/>
      <c r="C100" s="10"/>
      <c r="D100" s="10"/>
      <c r="E100" s="11"/>
      <c r="F100" s="10"/>
      <c r="G100" s="11"/>
      <c r="H100" s="11"/>
      <c r="I100" s="11"/>
      <c r="J100" s="10"/>
      <c r="K100" s="10"/>
      <c r="L100" s="10"/>
      <c r="M100" s="11"/>
    </row>
    <row r="101" spans="1:13">
      <c r="A101" s="10"/>
      <c r="B101" s="10"/>
      <c r="C101" s="10"/>
      <c r="D101" s="10"/>
      <c r="E101" s="11"/>
      <c r="F101" s="10"/>
      <c r="G101" s="11"/>
      <c r="H101" s="11"/>
      <c r="I101" s="11"/>
      <c r="J101" s="10"/>
      <c r="K101" s="10"/>
      <c r="L101" s="10"/>
      <c r="M101" s="11"/>
    </row>
    <row r="102" spans="1:13">
      <c r="A102" s="10"/>
      <c r="B102" s="10"/>
      <c r="C102" s="10"/>
      <c r="D102" s="10"/>
      <c r="E102" s="11"/>
      <c r="F102" s="10"/>
      <c r="G102" s="11"/>
      <c r="H102" s="11"/>
      <c r="I102" s="11"/>
      <c r="J102" s="10"/>
      <c r="K102" s="10"/>
      <c r="L102" s="10"/>
      <c r="M102" s="11"/>
    </row>
    <row r="103" spans="1:13">
      <c r="A103" s="10"/>
      <c r="B103" s="10"/>
      <c r="C103" s="10"/>
      <c r="D103" s="10"/>
      <c r="E103" s="11"/>
      <c r="F103" s="10"/>
      <c r="G103" s="11"/>
      <c r="H103" s="11"/>
      <c r="I103" s="11"/>
      <c r="J103" s="10"/>
      <c r="K103" s="10"/>
      <c r="L103" s="10"/>
      <c r="M103" s="11"/>
    </row>
    <row r="104" spans="1:13">
      <c r="A104" s="10"/>
      <c r="B104" s="10"/>
      <c r="C104" s="10"/>
      <c r="D104" s="10"/>
      <c r="E104" s="11"/>
      <c r="F104" s="10"/>
      <c r="G104" s="11"/>
      <c r="H104" s="11"/>
      <c r="I104" s="11"/>
      <c r="J104" s="10"/>
      <c r="K104" s="10"/>
      <c r="L104" s="10"/>
      <c r="M104" s="11"/>
    </row>
    <row r="105" spans="1:13">
      <c r="A105" s="10"/>
      <c r="B105" s="10"/>
      <c r="C105" s="10"/>
      <c r="D105" s="10"/>
      <c r="E105" s="11"/>
      <c r="F105" s="10"/>
      <c r="G105" s="11"/>
      <c r="H105" s="11"/>
      <c r="I105" s="11"/>
      <c r="J105" s="10"/>
      <c r="K105" s="10"/>
      <c r="L105" s="10"/>
      <c r="M105" s="11"/>
    </row>
    <row r="106" spans="1:13">
      <c r="A106" s="10"/>
      <c r="B106" s="10"/>
      <c r="C106" s="10"/>
      <c r="D106" s="10"/>
      <c r="E106" s="11"/>
      <c r="F106" s="10"/>
      <c r="G106" s="11"/>
      <c r="H106" s="11"/>
      <c r="I106" s="11"/>
      <c r="J106" s="10"/>
      <c r="K106" s="10"/>
      <c r="L106" s="10"/>
      <c r="M106" s="11"/>
    </row>
    <row r="107" spans="1:13">
      <c r="A107" s="10"/>
      <c r="B107" s="10"/>
      <c r="C107" s="10"/>
      <c r="D107" s="10"/>
      <c r="E107" s="11"/>
      <c r="F107" s="10"/>
      <c r="G107" s="11"/>
      <c r="H107" s="11"/>
      <c r="I107" s="11"/>
      <c r="J107" s="10"/>
      <c r="K107" s="10"/>
      <c r="L107" s="10"/>
      <c r="M107" s="11"/>
    </row>
    <row r="108" spans="1:13">
      <c r="A108" s="10"/>
      <c r="B108" s="10"/>
      <c r="C108" s="10"/>
      <c r="D108" s="10"/>
      <c r="E108" s="11"/>
      <c r="F108" s="10"/>
      <c r="G108" s="11"/>
      <c r="H108" s="11"/>
      <c r="I108" s="11"/>
      <c r="J108" s="10"/>
      <c r="K108" s="10"/>
      <c r="L108" s="10"/>
      <c r="M108" s="11"/>
    </row>
    <row r="109" spans="1:13">
      <c r="A109" s="10"/>
      <c r="B109" s="10"/>
      <c r="C109" s="10"/>
      <c r="D109" s="10"/>
      <c r="E109" s="11"/>
      <c r="F109" s="10"/>
      <c r="G109" s="11"/>
      <c r="H109" s="11"/>
      <c r="I109" s="11"/>
      <c r="J109" s="10"/>
      <c r="K109" s="10"/>
      <c r="L109" s="10"/>
      <c r="M109" s="11"/>
    </row>
    <row r="110" spans="1:13">
      <c r="A110" s="10"/>
      <c r="B110" s="10"/>
      <c r="C110" s="10"/>
      <c r="D110" s="10"/>
      <c r="E110" s="11"/>
      <c r="F110" s="10"/>
      <c r="G110" s="11"/>
      <c r="H110" s="11"/>
      <c r="I110" s="11"/>
      <c r="J110" s="10"/>
      <c r="K110" s="10"/>
      <c r="L110" s="10"/>
      <c r="M110" s="11"/>
    </row>
    <row r="111" spans="1:13">
      <c r="A111" s="10"/>
      <c r="B111" s="10"/>
      <c r="C111" s="10"/>
      <c r="D111" s="10"/>
      <c r="E111" s="11"/>
      <c r="F111" s="10"/>
      <c r="G111" s="11"/>
      <c r="H111" s="11"/>
      <c r="I111" s="11"/>
      <c r="J111" s="10"/>
      <c r="K111" s="10"/>
      <c r="L111" s="10"/>
      <c r="M111" s="11"/>
    </row>
    <row r="112" spans="1:13">
      <c r="A112" s="10"/>
      <c r="B112" s="10"/>
      <c r="C112" s="10"/>
      <c r="D112" s="10"/>
      <c r="E112" s="11"/>
      <c r="F112" s="10"/>
      <c r="G112" s="11"/>
      <c r="H112" s="11"/>
      <c r="I112" s="11"/>
      <c r="J112" s="10"/>
      <c r="K112" s="10"/>
      <c r="L112" s="10"/>
      <c r="M112" s="11"/>
    </row>
    <row r="113" spans="1:13">
      <c r="A113" s="10"/>
      <c r="B113" s="10"/>
      <c r="C113" s="10"/>
      <c r="D113" s="10"/>
      <c r="E113" s="11"/>
      <c r="F113" s="10"/>
      <c r="G113" s="11"/>
      <c r="H113" s="11"/>
      <c r="I113" s="11"/>
      <c r="J113" s="10"/>
      <c r="K113" s="10"/>
      <c r="L113" s="10"/>
      <c r="M113" s="11"/>
    </row>
    <row r="114" spans="1:13">
      <c r="A114" s="10"/>
      <c r="B114" s="10"/>
      <c r="C114" s="10"/>
      <c r="D114" s="10"/>
      <c r="E114" s="11"/>
      <c r="F114" s="10"/>
      <c r="G114" s="11"/>
      <c r="H114" s="11"/>
      <c r="I114" s="11"/>
      <c r="J114" s="10"/>
      <c r="K114" s="10"/>
      <c r="L114" s="10"/>
      <c r="M114" s="11"/>
    </row>
    <row r="115" spans="1:13">
      <c r="A115" s="10"/>
      <c r="B115" s="10"/>
      <c r="C115" s="10"/>
      <c r="D115" s="10"/>
      <c r="E115" s="11"/>
      <c r="F115" s="10"/>
      <c r="G115" s="11"/>
      <c r="H115" s="11"/>
      <c r="I115" s="11"/>
      <c r="J115" s="10"/>
      <c r="K115" s="10"/>
      <c r="L115" s="10"/>
      <c r="M115" s="11"/>
    </row>
    <row r="116" spans="1:13">
      <c r="A116" s="10"/>
      <c r="B116" s="10"/>
      <c r="C116" s="10"/>
      <c r="D116" s="10"/>
      <c r="E116" s="11"/>
      <c r="F116" s="10"/>
      <c r="G116" s="11"/>
      <c r="H116" s="11"/>
      <c r="I116" s="11"/>
      <c r="J116" s="10"/>
      <c r="K116" s="10"/>
      <c r="L116" s="10"/>
      <c r="M116" s="11"/>
    </row>
    <row r="117" spans="1:13">
      <c r="A117" s="10"/>
      <c r="B117" s="10"/>
      <c r="C117" s="10"/>
      <c r="D117" s="10"/>
      <c r="E117" s="11"/>
      <c r="F117" s="10"/>
      <c r="G117" s="11"/>
      <c r="H117" s="11"/>
      <c r="I117" s="11"/>
      <c r="J117" s="10"/>
      <c r="K117" s="10"/>
      <c r="L117" s="10"/>
      <c r="M117" s="11"/>
    </row>
    <row r="118" spans="1:13">
      <c r="A118" s="10"/>
      <c r="B118" s="10"/>
      <c r="C118" s="10"/>
      <c r="D118" s="10"/>
      <c r="E118" s="11"/>
      <c r="F118" s="10"/>
      <c r="G118" s="11"/>
      <c r="H118" s="11"/>
      <c r="I118" s="11"/>
      <c r="J118" s="10"/>
      <c r="K118" s="10"/>
      <c r="L118" s="10"/>
      <c r="M118" s="11"/>
    </row>
    <row r="119" spans="1:13">
      <c r="A119" s="10"/>
      <c r="B119" s="10"/>
      <c r="C119" s="10"/>
      <c r="D119" s="10"/>
      <c r="E119" s="11"/>
      <c r="F119" s="10"/>
      <c r="G119" s="11"/>
      <c r="H119" s="11"/>
      <c r="I119" s="11"/>
      <c r="J119" s="10"/>
      <c r="K119" s="10"/>
      <c r="L119" s="10"/>
      <c r="M119" s="11"/>
    </row>
    <row r="120" spans="1:13">
      <c r="A120" s="10"/>
      <c r="B120" s="10"/>
      <c r="C120" s="10"/>
      <c r="D120" s="10"/>
      <c r="E120" s="11"/>
      <c r="F120" s="10"/>
      <c r="G120" s="11"/>
      <c r="H120" s="11"/>
      <c r="I120" s="11"/>
      <c r="J120" s="10"/>
      <c r="K120" s="10"/>
      <c r="L120" s="10"/>
      <c r="M120" s="11"/>
    </row>
    <row r="121" spans="1:13">
      <c r="A121" s="10"/>
      <c r="B121" s="10"/>
      <c r="C121" s="10"/>
      <c r="D121" s="10"/>
      <c r="E121" s="11"/>
      <c r="F121" s="10"/>
      <c r="G121" s="11"/>
      <c r="H121" s="11"/>
      <c r="I121" s="11"/>
      <c r="J121" s="10"/>
      <c r="K121" s="10"/>
      <c r="L121" s="10"/>
      <c r="M121" s="11"/>
    </row>
    <row r="122" spans="1:13">
      <c r="A122" s="10"/>
      <c r="B122" s="10"/>
      <c r="C122" s="10"/>
      <c r="D122" s="10"/>
      <c r="E122" s="11"/>
      <c r="F122" s="10"/>
      <c r="G122" s="11"/>
      <c r="H122" s="11"/>
      <c r="I122" s="11"/>
      <c r="J122" s="10"/>
      <c r="K122" s="10"/>
      <c r="L122" s="10"/>
      <c r="M122" s="11"/>
    </row>
    <row r="123" spans="1:13">
      <c r="A123" s="10"/>
      <c r="B123" s="10"/>
      <c r="C123" s="10"/>
      <c r="D123" s="10"/>
      <c r="E123" s="11"/>
      <c r="F123" s="10"/>
      <c r="G123" s="11"/>
      <c r="H123" s="11"/>
      <c r="I123" s="11"/>
      <c r="J123" s="10"/>
      <c r="K123" s="10"/>
      <c r="L123" s="10"/>
      <c r="M123" s="11"/>
    </row>
    <row r="124" spans="1:13">
      <c r="A124" s="10"/>
      <c r="B124" s="10"/>
      <c r="C124" s="10"/>
      <c r="D124" s="10"/>
      <c r="E124" s="11"/>
      <c r="F124" s="10"/>
      <c r="G124" s="11"/>
      <c r="H124" s="11"/>
      <c r="I124" s="11"/>
      <c r="J124" s="10"/>
      <c r="K124" s="10"/>
      <c r="L124" s="10"/>
      <c r="M124" s="11"/>
    </row>
    <row r="125" spans="1:13">
      <c r="A125" s="10"/>
      <c r="B125" s="10"/>
      <c r="C125" s="10"/>
      <c r="D125" s="10"/>
      <c r="E125" s="11"/>
      <c r="F125" s="10"/>
      <c r="G125" s="11"/>
      <c r="H125" s="11"/>
      <c r="I125" s="11"/>
      <c r="J125" s="10"/>
      <c r="K125" s="10"/>
      <c r="L125" s="10"/>
      <c r="M125" s="11"/>
    </row>
    <row r="126" spans="1:13">
      <c r="A126" s="10"/>
      <c r="B126" s="10"/>
      <c r="C126" s="10"/>
      <c r="D126" s="10"/>
      <c r="E126" s="11"/>
      <c r="F126" s="10"/>
      <c r="G126" s="11"/>
      <c r="H126" s="11"/>
      <c r="I126" s="11"/>
      <c r="J126" s="10"/>
      <c r="K126" s="10"/>
      <c r="L126" s="10"/>
      <c r="M126" s="11"/>
    </row>
    <row r="127" spans="1:13">
      <c r="A127" s="10"/>
      <c r="B127" s="10"/>
      <c r="C127" s="10"/>
      <c r="D127" s="10"/>
      <c r="E127" s="11"/>
      <c r="F127" s="10"/>
      <c r="G127" s="11"/>
      <c r="H127" s="11"/>
      <c r="I127" s="11"/>
      <c r="J127" s="10"/>
      <c r="K127" s="10"/>
      <c r="L127" s="10"/>
      <c r="M127" s="11"/>
    </row>
    <row r="128" spans="1:13">
      <c r="A128" s="10"/>
      <c r="B128" s="10"/>
      <c r="C128" s="10"/>
      <c r="D128" s="10"/>
      <c r="E128" s="11"/>
      <c r="F128" s="10"/>
      <c r="G128" s="11"/>
      <c r="H128" s="11"/>
      <c r="I128" s="11"/>
      <c r="J128" s="10"/>
      <c r="K128" s="10"/>
      <c r="L128" s="10"/>
      <c r="M128" s="11"/>
    </row>
    <row r="129" spans="1:13">
      <c r="A129" s="10"/>
      <c r="B129" s="10"/>
      <c r="C129" s="10"/>
      <c r="D129" s="10"/>
      <c r="E129" s="11"/>
      <c r="F129" s="10"/>
      <c r="G129" s="11"/>
      <c r="H129" s="11"/>
      <c r="I129" s="11"/>
      <c r="J129" s="10"/>
      <c r="K129" s="10"/>
      <c r="L129" s="10"/>
      <c r="M129" s="11"/>
    </row>
    <row r="130" spans="1:13">
      <c r="A130" s="10"/>
      <c r="B130" s="10"/>
      <c r="C130" s="10"/>
      <c r="D130" s="10"/>
      <c r="E130" s="11"/>
      <c r="F130" s="10"/>
      <c r="G130" s="11"/>
      <c r="H130" s="11"/>
      <c r="I130" s="11"/>
      <c r="J130" s="10"/>
      <c r="K130" s="10"/>
      <c r="L130" s="10"/>
      <c r="M130" s="11"/>
    </row>
    <row r="131" spans="1:13">
      <c r="A131" s="10"/>
      <c r="B131" s="10"/>
      <c r="C131" s="10"/>
      <c r="D131" s="10"/>
      <c r="E131" s="11"/>
      <c r="F131" s="10"/>
      <c r="G131" s="11"/>
      <c r="H131" s="11"/>
      <c r="I131" s="11"/>
      <c r="J131" s="10"/>
      <c r="K131" s="10"/>
      <c r="L131" s="10"/>
      <c r="M131" s="11"/>
    </row>
    <row r="132" spans="1:13">
      <c r="A132" s="10"/>
      <c r="B132" s="10"/>
      <c r="C132" s="10"/>
      <c r="D132" s="10"/>
      <c r="E132" s="11"/>
      <c r="F132" s="10"/>
      <c r="G132" s="11"/>
      <c r="H132" s="11"/>
      <c r="I132" s="11"/>
      <c r="J132" s="10"/>
      <c r="K132" s="10"/>
      <c r="L132" s="10"/>
      <c r="M132" s="11"/>
    </row>
    <row r="133" spans="1:13">
      <c r="A133" s="10"/>
      <c r="B133" s="10"/>
      <c r="C133" s="10"/>
      <c r="D133" s="10"/>
      <c r="E133" s="11"/>
      <c r="F133" s="10"/>
      <c r="G133" s="11"/>
      <c r="H133" s="11"/>
      <c r="I133" s="11"/>
      <c r="J133" s="10"/>
      <c r="K133" s="10"/>
      <c r="L133" s="10"/>
      <c r="M133" s="11"/>
    </row>
    <row r="134" spans="1:13">
      <c r="A134" s="10"/>
      <c r="B134" s="10"/>
      <c r="C134" s="10"/>
      <c r="D134" s="10"/>
      <c r="E134" s="11"/>
      <c r="F134" s="10"/>
      <c r="G134" s="11"/>
      <c r="H134" s="11"/>
      <c r="I134" s="11"/>
      <c r="J134" s="10"/>
      <c r="K134" s="10"/>
      <c r="L134" s="10"/>
      <c r="M134" s="11"/>
    </row>
    <row r="135" spans="1:13">
      <c r="A135" s="10"/>
      <c r="B135" s="10"/>
      <c r="C135" s="10"/>
      <c r="D135" s="10"/>
      <c r="E135" s="11"/>
      <c r="F135" s="10"/>
      <c r="G135" s="11"/>
      <c r="H135" s="11"/>
      <c r="I135" s="11"/>
      <c r="J135" s="10"/>
      <c r="K135" s="10"/>
      <c r="L135" s="10"/>
      <c r="M135" s="11"/>
    </row>
    <row r="136" spans="1:13">
      <c r="A136" s="10"/>
      <c r="B136" s="10"/>
      <c r="C136" s="10"/>
      <c r="D136" s="10"/>
      <c r="E136" s="11"/>
      <c r="F136" s="10"/>
      <c r="G136" s="11"/>
      <c r="H136" s="11"/>
      <c r="I136" s="11"/>
      <c r="J136" s="10"/>
      <c r="K136" s="10"/>
      <c r="L136" s="10"/>
      <c r="M136" s="11"/>
    </row>
    <row r="137" spans="1:13">
      <c r="A137" s="10"/>
      <c r="B137" s="10"/>
      <c r="C137" s="10"/>
      <c r="D137" s="10"/>
      <c r="E137" s="11"/>
      <c r="F137" s="10"/>
      <c r="G137" s="11"/>
      <c r="H137" s="11"/>
      <c r="I137" s="11"/>
      <c r="J137" s="10"/>
      <c r="K137" s="10"/>
      <c r="L137" s="10"/>
      <c r="M137" s="11"/>
    </row>
    <row r="138" spans="1:13">
      <c r="A138" s="10"/>
      <c r="B138" s="10"/>
      <c r="C138" s="10"/>
      <c r="D138" s="10"/>
      <c r="E138" s="11"/>
      <c r="F138" s="10"/>
      <c r="G138" s="11"/>
      <c r="H138" s="11"/>
      <c r="I138" s="11"/>
      <c r="J138" s="10"/>
      <c r="K138" s="10"/>
      <c r="L138" s="10"/>
      <c r="M138" s="11"/>
    </row>
    <row r="139" spans="1:13">
      <c r="A139" s="10"/>
      <c r="B139" s="10"/>
      <c r="C139" s="10"/>
      <c r="D139" s="10"/>
      <c r="E139" s="11"/>
      <c r="F139" s="10"/>
      <c r="G139" s="11"/>
      <c r="H139" s="11"/>
      <c r="I139" s="11"/>
      <c r="J139" s="10"/>
      <c r="K139" s="10"/>
      <c r="L139" s="10"/>
      <c r="M139" s="11"/>
    </row>
    <row r="140" spans="1:13">
      <c r="A140" s="10"/>
      <c r="B140" s="10"/>
      <c r="C140" s="10"/>
      <c r="D140" s="10"/>
      <c r="E140" s="11"/>
      <c r="F140" s="10"/>
      <c r="G140" s="11"/>
      <c r="H140" s="11"/>
      <c r="I140" s="11"/>
      <c r="J140" s="10"/>
      <c r="K140" s="10"/>
      <c r="L140" s="10"/>
      <c r="M140" s="11"/>
    </row>
    <row r="141" spans="1:13">
      <c r="A141" s="10"/>
      <c r="B141" s="10"/>
      <c r="C141" s="10"/>
      <c r="D141" s="10"/>
      <c r="E141" s="11"/>
      <c r="F141" s="10"/>
      <c r="G141" s="11"/>
      <c r="H141" s="11"/>
      <c r="I141" s="11"/>
      <c r="J141" s="10"/>
      <c r="K141" s="10"/>
      <c r="L141" s="10"/>
      <c r="M141" s="11"/>
    </row>
    <row r="142" spans="1:13">
      <c r="A142" s="10"/>
      <c r="B142" s="10"/>
      <c r="C142" s="10"/>
      <c r="D142" s="10"/>
      <c r="E142" s="11"/>
      <c r="F142" s="10"/>
      <c r="G142" s="11"/>
      <c r="H142" s="11"/>
      <c r="I142" s="11"/>
      <c r="J142" s="10"/>
      <c r="K142" s="10"/>
      <c r="L142" s="10"/>
      <c r="M142" s="11"/>
    </row>
    <row r="143" spans="1:13">
      <c r="A143" s="10"/>
      <c r="B143" s="10"/>
      <c r="C143" s="10"/>
      <c r="D143" s="10"/>
      <c r="E143" s="11"/>
      <c r="F143" s="10"/>
      <c r="G143" s="11"/>
      <c r="H143" s="11"/>
      <c r="I143" s="11"/>
      <c r="J143" s="10"/>
      <c r="K143" s="10"/>
      <c r="L143" s="10"/>
      <c r="M143" s="11"/>
    </row>
    <row r="144" spans="1:13">
      <c r="A144" s="10"/>
      <c r="B144" s="10"/>
      <c r="C144" s="10"/>
      <c r="D144" s="10"/>
      <c r="E144" s="11"/>
      <c r="F144" s="10"/>
      <c r="G144" s="11"/>
      <c r="H144" s="11"/>
      <c r="I144" s="11"/>
      <c r="J144" s="10"/>
      <c r="K144" s="10"/>
      <c r="L144" s="10"/>
      <c r="M144" s="11"/>
    </row>
    <row r="145" spans="1:13">
      <c r="A145" s="10"/>
      <c r="B145" s="10"/>
      <c r="C145" s="10"/>
      <c r="D145" s="10"/>
      <c r="E145" s="11"/>
      <c r="F145" s="10"/>
      <c r="G145" s="11"/>
      <c r="H145" s="11"/>
      <c r="I145" s="11"/>
      <c r="J145" s="10"/>
      <c r="K145" s="10"/>
      <c r="L145" s="10"/>
      <c r="M145" s="11"/>
    </row>
    <row r="146" spans="1:13">
      <c r="A146" s="10"/>
      <c r="B146" s="10"/>
      <c r="C146" s="10"/>
      <c r="D146" s="10"/>
      <c r="E146" s="11"/>
      <c r="F146" s="10"/>
      <c r="G146" s="11"/>
      <c r="H146" s="11"/>
      <c r="I146" s="11"/>
      <c r="J146" s="10"/>
      <c r="K146" s="10"/>
      <c r="L146" s="10"/>
      <c r="M146" s="11"/>
    </row>
    <row r="147" spans="1:13">
      <c r="A147" s="10"/>
      <c r="B147" s="10"/>
      <c r="C147" s="10"/>
      <c r="D147" s="10"/>
      <c r="E147" s="11"/>
      <c r="F147" s="10"/>
      <c r="G147" s="11"/>
      <c r="H147" s="11"/>
      <c r="I147" s="11"/>
      <c r="J147" s="10"/>
      <c r="K147" s="10"/>
      <c r="L147" s="10"/>
      <c r="M147" s="11"/>
    </row>
    <row r="148" spans="1:13">
      <c r="A148" s="10"/>
      <c r="B148" s="10"/>
      <c r="C148" s="10"/>
      <c r="D148" s="10"/>
      <c r="E148" s="11"/>
      <c r="F148" s="10"/>
      <c r="G148" s="11"/>
      <c r="H148" s="11"/>
      <c r="I148" s="11"/>
      <c r="J148" s="10"/>
      <c r="K148" s="10"/>
      <c r="L148" s="10"/>
      <c r="M148" s="11"/>
    </row>
    <row r="149" spans="1:13">
      <c r="A149" s="10"/>
      <c r="B149" s="10"/>
      <c r="C149" s="10"/>
      <c r="D149" s="10"/>
      <c r="E149" s="11"/>
      <c r="F149" s="10"/>
      <c r="G149" s="11"/>
      <c r="H149" s="11"/>
      <c r="I149" s="11"/>
      <c r="J149" s="10"/>
      <c r="K149" s="10"/>
      <c r="L149" s="10"/>
      <c r="M149" s="11"/>
    </row>
    <row r="150" spans="1:13">
      <c r="A150" s="10"/>
      <c r="B150" s="10"/>
      <c r="C150" s="10"/>
      <c r="D150" s="10"/>
      <c r="E150" s="11"/>
      <c r="F150" s="10"/>
      <c r="G150" s="11"/>
      <c r="H150" s="11"/>
      <c r="I150" s="11"/>
      <c r="J150" s="10"/>
      <c r="K150" s="10"/>
      <c r="L150" s="10"/>
      <c r="M150" s="11"/>
    </row>
    <row r="151" spans="1:13">
      <c r="A151" s="10"/>
      <c r="B151" s="10"/>
      <c r="C151" s="10"/>
      <c r="D151" s="10"/>
      <c r="E151" s="11"/>
      <c r="F151" s="10"/>
      <c r="G151" s="11"/>
      <c r="H151" s="11"/>
      <c r="I151" s="11"/>
      <c r="J151" s="10"/>
      <c r="K151" s="10"/>
      <c r="L151" s="10"/>
      <c r="M151" s="11"/>
    </row>
    <row r="152" spans="1:13">
      <c r="A152" s="10"/>
      <c r="B152" s="10"/>
      <c r="C152" s="10"/>
      <c r="D152" s="10"/>
      <c r="E152" s="11"/>
      <c r="F152" s="10"/>
      <c r="G152" s="11"/>
      <c r="H152" s="11"/>
      <c r="I152" s="11"/>
      <c r="J152" s="10"/>
      <c r="K152" s="10"/>
      <c r="L152" s="10"/>
      <c r="M152" s="11"/>
    </row>
    <row r="153" spans="1:13">
      <c r="A153" s="10"/>
      <c r="B153" s="10"/>
      <c r="C153" s="10"/>
      <c r="D153" s="10"/>
      <c r="E153" s="11"/>
      <c r="F153" s="10"/>
      <c r="G153" s="11"/>
      <c r="H153" s="11"/>
      <c r="I153" s="11"/>
      <c r="J153" s="10"/>
      <c r="K153" s="10"/>
      <c r="L153" s="10"/>
      <c r="M153" s="11"/>
    </row>
    <row r="154" spans="1:13">
      <c r="A154" s="10"/>
      <c r="B154" s="10"/>
      <c r="C154" s="10"/>
      <c r="D154" s="10"/>
      <c r="E154" s="11"/>
      <c r="F154" s="10"/>
      <c r="G154" s="11"/>
      <c r="H154" s="11"/>
      <c r="I154" s="11"/>
      <c r="J154" s="10"/>
      <c r="K154" s="10"/>
      <c r="L154" s="10"/>
      <c r="M154" s="11"/>
    </row>
    <row r="155" spans="1:13">
      <c r="A155" s="10"/>
      <c r="B155" s="10"/>
      <c r="C155" s="10"/>
      <c r="D155" s="10"/>
      <c r="E155" s="11"/>
      <c r="F155" s="10"/>
      <c r="G155" s="11"/>
      <c r="H155" s="11"/>
      <c r="I155" s="11"/>
      <c r="J155" s="10"/>
      <c r="K155" s="10"/>
      <c r="L155" s="10"/>
      <c r="M155" s="11"/>
    </row>
    <row r="156" spans="1:13">
      <c r="A156" s="10"/>
      <c r="B156" s="10"/>
      <c r="C156" s="10"/>
      <c r="D156" s="10"/>
      <c r="E156" s="11"/>
      <c r="F156" s="10"/>
      <c r="G156" s="11"/>
      <c r="H156" s="11"/>
      <c r="I156" s="11"/>
      <c r="J156" s="10"/>
      <c r="K156" s="10"/>
      <c r="L156" s="10"/>
      <c r="M156" s="11"/>
    </row>
    <row r="157" spans="1:13">
      <c r="A157" s="10"/>
      <c r="B157" s="10"/>
      <c r="C157" s="10"/>
      <c r="D157" s="10"/>
      <c r="E157" s="11"/>
      <c r="F157" s="10"/>
      <c r="G157" s="11"/>
      <c r="H157" s="11"/>
      <c r="I157" s="11"/>
      <c r="J157" s="10"/>
      <c r="K157" s="10"/>
      <c r="L157" s="10"/>
      <c r="M157" s="11"/>
    </row>
    <row r="158" spans="1:13">
      <c r="A158" s="10"/>
      <c r="B158" s="10"/>
      <c r="C158" s="10"/>
      <c r="D158" s="10"/>
      <c r="E158" s="11"/>
      <c r="F158" s="10"/>
      <c r="G158" s="11"/>
      <c r="H158" s="11"/>
      <c r="I158" s="11"/>
      <c r="J158" s="10"/>
      <c r="K158" s="10"/>
      <c r="L158" s="10"/>
      <c r="M158" s="11"/>
    </row>
    <row r="159" spans="1:13">
      <c r="A159" s="10"/>
      <c r="B159" s="10"/>
      <c r="C159" s="10"/>
      <c r="D159" s="10"/>
      <c r="E159" s="11"/>
      <c r="F159" s="10"/>
      <c r="G159" s="11"/>
      <c r="H159" s="11"/>
      <c r="I159" s="11"/>
      <c r="J159" s="10"/>
      <c r="K159" s="10"/>
      <c r="L159" s="10"/>
      <c r="M159" s="11"/>
    </row>
    <row r="160" spans="1:13">
      <c r="A160" s="10"/>
      <c r="B160" s="10"/>
      <c r="C160" s="10"/>
      <c r="D160" s="10"/>
      <c r="E160" s="11"/>
      <c r="F160" s="10"/>
      <c r="G160" s="11"/>
      <c r="H160" s="11"/>
      <c r="I160" s="11"/>
      <c r="J160" s="10"/>
      <c r="K160" s="10"/>
      <c r="L160" s="10"/>
      <c r="M160" s="11"/>
    </row>
    <row r="161" spans="1:13">
      <c r="A161" s="10"/>
      <c r="B161" s="10"/>
      <c r="C161" s="10"/>
      <c r="D161" s="10"/>
      <c r="E161" s="11"/>
      <c r="F161" s="10"/>
      <c r="G161" s="11"/>
      <c r="H161" s="11"/>
      <c r="I161" s="11"/>
      <c r="J161" s="10"/>
      <c r="K161" s="10"/>
      <c r="L161" s="10"/>
      <c r="M161" s="11"/>
    </row>
    <row r="162" spans="1:13">
      <c r="A162" s="10"/>
      <c r="B162" s="10"/>
      <c r="C162" s="10"/>
      <c r="D162" s="10"/>
      <c r="E162" s="11"/>
      <c r="F162" s="10"/>
      <c r="G162" s="11"/>
      <c r="H162" s="11"/>
      <c r="I162" s="11"/>
      <c r="J162" s="10"/>
      <c r="K162" s="10"/>
      <c r="L162" s="10"/>
      <c r="M162" s="11"/>
    </row>
    <row r="163" spans="1:13">
      <c r="A163" s="10"/>
      <c r="B163" s="10"/>
      <c r="C163" s="10"/>
      <c r="D163" s="10"/>
      <c r="E163" s="11"/>
      <c r="F163" s="10"/>
      <c r="G163" s="11"/>
      <c r="H163" s="11"/>
      <c r="I163" s="11"/>
      <c r="J163" s="10"/>
      <c r="K163" s="10"/>
      <c r="L163" s="10"/>
      <c r="M163" s="11"/>
    </row>
    <row r="164" spans="1:13">
      <c r="A164" s="10"/>
      <c r="B164" s="10"/>
      <c r="C164" s="10"/>
      <c r="D164" s="10"/>
      <c r="E164" s="11"/>
      <c r="F164" s="10"/>
      <c r="G164" s="11"/>
      <c r="H164" s="11"/>
      <c r="I164" s="11"/>
      <c r="J164" s="10"/>
      <c r="K164" s="10"/>
      <c r="L164" s="10"/>
      <c r="M164" s="11"/>
    </row>
    <row r="165" spans="1:13">
      <c r="A165" s="10"/>
      <c r="B165" s="10"/>
      <c r="C165" s="10"/>
      <c r="D165" s="10"/>
      <c r="E165" s="11"/>
      <c r="F165" s="10"/>
      <c r="G165" s="11"/>
      <c r="H165" s="11"/>
      <c r="I165" s="11"/>
      <c r="J165" s="10"/>
      <c r="K165" s="10"/>
      <c r="L165" s="10"/>
      <c r="M165" s="11"/>
    </row>
    <row r="166" spans="1:13">
      <c r="A166" s="10"/>
      <c r="B166" s="10"/>
      <c r="C166" s="10"/>
      <c r="D166" s="10"/>
      <c r="E166" s="11"/>
      <c r="F166" s="10"/>
      <c r="G166" s="11"/>
      <c r="H166" s="11"/>
      <c r="I166" s="11"/>
      <c r="J166" s="10"/>
      <c r="K166" s="10"/>
      <c r="L166" s="10"/>
      <c r="M166" s="11"/>
    </row>
    <row r="167" spans="1:13">
      <c r="A167" s="10"/>
      <c r="B167" s="10"/>
      <c r="C167" s="10"/>
      <c r="D167" s="10"/>
      <c r="E167" s="11"/>
      <c r="F167" s="10"/>
      <c r="G167" s="11"/>
      <c r="H167" s="11"/>
      <c r="I167" s="11"/>
      <c r="J167" s="10"/>
      <c r="K167" s="10"/>
      <c r="L167" s="10"/>
      <c r="M167" s="11"/>
    </row>
    <row r="168" spans="1:13">
      <c r="A168" s="10"/>
      <c r="B168" s="10"/>
      <c r="C168" s="10"/>
      <c r="D168" s="10"/>
      <c r="E168" s="11"/>
      <c r="F168" s="10"/>
      <c r="G168" s="11"/>
      <c r="H168" s="11"/>
      <c r="I168" s="11"/>
      <c r="J168" s="10"/>
      <c r="K168" s="10"/>
      <c r="L168" s="10"/>
      <c r="M168" s="11"/>
    </row>
    <row r="169" spans="1:13">
      <c r="A169" s="10"/>
      <c r="B169" s="10"/>
      <c r="C169" s="10"/>
      <c r="D169" s="10"/>
      <c r="E169" s="11"/>
      <c r="F169" s="10"/>
      <c r="G169" s="11"/>
      <c r="H169" s="11"/>
      <c r="I169" s="11"/>
      <c r="J169" s="10"/>
      <c r="K169" s="10"/>
      <c r="L169" s="10"/>
      <c r="M169" s="11"/>
    </row>
    <row r="170" spans="1:13">
      <c r="A170" s="10"/>
      <c r="B170" s="10"/>
      <c r="C170" s="10"/>
      <c r="D170" s="10"/>
      <c r="E170" s="11"/>
      <c r="F170" s="10"/>
      <c r="G170" s="11"/>
      <c r="H170" s="11"/>
      <c r="I170" s="11"/>
      <c r="J170" s="10"/>
      <c r="K170" s="10"/>
      <c r="L170" s="10"/>
      <c r="M170" s="11"/>
    </row>
    <row r="171" spans="1:13">
      <c r="A171" s="10"/>
      <c r="B171" s="10"/>
      <c r="C171" s="10"/>
      <c r="D171" s="10"/>
      <c r="E171" s="11"/>
      <c r="F171" s="10"/>
      <c r="G171" s="11"/>
      <c r="H171" s="11"/>
      <c r="I171" s="11"/>
      <c r="J171" s="10"/>
      <c r="K171" s="10"/>
      <c r="L171" s="10"/>
      <c r="M171" s="11"/>
    </row>
    <row r="172" spans="1:13">
      <c r="A172" s="10"/>
      <c r="B172" s="10"/>
      <c r="C172" s="10"/>
      <c r="D172" s="10"/>
      <c r="E172" s="11"/>
      <c r="F172" s="10"/>
      <c r="G172" s="11"/>
      <c r="H172" s="11"/>
      <c r="I172" s="11"/>
      <c r="J172" s="10"/>
      <c r="K172" s="10"/>
      <c r="L172" s="10"/>
      <c r="M172" s="11"/>
    </row>
    <row r="173" spans="1:13">
      <c r="A173" s="10"/>
      <c r="B173" s="10"/>
      <c r="C173" s="10"/>
      <c r="D173" s="10"/>
      <c r="E173" s="11"/>
      <c r="F173" s="10"/>
      <c r="G173" s="11"/>
      <c r="H173" s="11"/>
      <c r="I173" s="11"/>
      <c r="J173" s="10"/>
      <c r="K173" s="10"/>
      <c r="L173" s="10"/>
      <c r="M173" s="11"/>
    </row>
    <row r="174" spans="1:13">
      <c r="A174" s="10"/>
      <c r="B174" s="10"/>
      <c r="C174" s="10"/>
      <c r="D174" s="10"/>
      <c r="E174" s="11"/>
      <c r="F174" s="10"/>
      <c r="G174" s="11"/>
      <c r="H174" s="11"/>
      <c r="I174" s="11"/>
      <c r="J174" s="10"/>
      <c r="K174" s="10"/>
      <c r="L174" s="10"/>
      <c r="M174" s="11"/>
    </row>
    <row r="175" spans="1:13">
      <c r="A175" s="10"/>
      <c r="B175" s="10"/>
      <c r="C175" s="10"/>
      <c r="D175" s="10"/>
      <c r="E175" s="11"/>
      <c r="F175" s="10"/>
      <c r="G175" s="11"/>
      <c r="H175" s="11"/>
      <c r="I175" s="11"/>
      <c r="J175" s="10"/>
      <c r="K175" s="10"/>
      <c r="L175" s="10"/>
      <c r="M175" s="11"/>
    </row>
    <row r="176" spans="1:13">
      <c r="A176" s="10"/>
      <c r="B176" s="10"/>
      <c r="C176" s="10"/>
      <c r="D176" s="10"/>
      <c r="E176" s="11"/>
      <c r="F176" s="10"/>
      <c r="G176" s="11"/>
      <c r="H176" s="11"/>
      <c r="I176" s="11"/>
      <c r="J176" s="10"/>
      <c r="K176" s="10"/>
      <c r="L176" s="10"/>
      <c r="M176" s="11"/>
    </row>
    <row r="177" spans="1:13">
      <c r="A177" s="10"/>
      <c r="B177" s="10"/>
      <c r="C177" s="10"/>
      <c r="D177" s="10"/>
      <c r="E177" s="11"/>
      <c r="F177" s="10"/>
      <c r="G177" s="11"/>
      <c r="H177" s="11"/>
      <c r="I177" s="11"/>
      <c r="J177" s="10"/>
      <c r="K177" s="10"/>
      <c r="L177" s="10"/>
      <c r="M177" s="11"/>
    </row>
    <row r="178" spans="1:13">
      <c r="A178" s="10"/>
      <c r="B178" s="10"/>
      <c r="C178" s="10"/>
      <c r="D178" s="10"/>
      <c r="E178" s="11"/>
      <c r="F178" s="10"/>
      <c r="G178" s="11"/>
      <c r="H178" s="11"/>
      <c r="I178" s="11"/>
      <c r="J178" s="10"/>
      <c r="K178" s="10"/>
      <c r="L178" s="10"/>
      <c r="M178" s="11"/>
    </row>
    <row r="179" spans="1:13">
      <c r="A179" s="10"/>
      <c r="B179" s="10"/>
      <c r="C179" s="10"/>
      <c r="D179" s="10"/>
      <c r="E179" s="11"/>
      <c r="F179" s="10"/>
      <c r="G179" s="11"/>
      <c r="H179" s="11"/>
      <c r="I179" s="11"/>
      <c r="J179" s="10"/>
      <c r="K179" s="10"/>
      <c r="L179" s="10"/>
      <c r="M179" s="11"/>
    </row>
    <row r="180" spans="1:13">
      <c r="A180" s="10"/>
      <c r="B180" s="10"/>
      <c r="C180" s="10"/>
      <c r="D180" s="10"/>
      <c r="E180" s="11"/>
      <c r="F180" s="10"/>
      <c r="G180" s="11"/>
      <c r="H180" s="11"/>
      <c r="I180" s="11"/>
      <c r="J180" s="10"/>
      <c r="K180" s="10"/>
      <c r="L180" s="10"/>
      <c r="M180" s="11"/>
    </row>
    <row r="181" spans="1:13">
      <c r="A181" s="10"/>
      <c r="B181" s="10"/>
      <c r="C181" s="10"/>
      <c r="D181" s="10"/>
      <c r="E181" s="11"/>
      <c r="F181" s="10"/>
      <c r="G181" s="11"/>
      <c r="H181" s="11"/>
      <c r="I181" s="11"/>
      <c r="J181" s="10"/>
      <c r="K181" s="10"/>
      <c r="L181" s="10"/>
      <c r="M181" s="11"/>
    </row>
    <row r="182" spans="1:13">
      <c r="A182" s="10"/>
      <c r="B182" s="10"/>
      <c r="C182" s="10"/>
      <c r="D182" s="10"/>
      <c r="E182" s="11"/>
      <c r="F182" s="10"/>
      <c r="G182" s="11"/>
      <c r="H182" s="11"/>
      <c r="I182" s="11"/>
      <c r="J182" s="10"/>
      <c r="K182" s="10"/>
      <c r="L182" s="10"/>
      <c r="M182" s="11"/>
    </row>
    <row r="183" spans="1:13">
      <c r="A183" s="10"/>
      <c r="B183" s="10"/>
      <c r="C183" s="10"/>
      <c r="D183" s="10"/>
      <c r="E183" s="11"/>
      <c r="F183" s="10"/>
      <c r="G183" s="11"/>
      <c r="H183" s="11"/>
      <c r="I183" s="11"/>
      <c r="J183" s="10"/>
      <c r="K183" s="10"/>
      <c r="L183" s="10"/>
      <c r="M183" s="11"/>
    </row>
    <row r="184" spans="1:13">
      <c r="A184" s="10"/>
      <c r="B184" s="10"/>
      <c r="C184" s="10"/>
      <c r="D184" s="10"/>
      <c r="E184" s="11"/>
      <c r="F184" s="10"/>
      <c r="G184" s="11"/>
      <c r="H184" s="11"/>
      <c r="I184" s="11"/>
      <c r="J184" s="10"/>
      <c r="K184" s="10"/>
      <c r="L184" s="10"/>
      <c r="M184" s="11"/>
    </row>
    <row r="185" spans="1:13">
      <c r="A185" s="10"/>
      <c r="B185" s="10"/>
      <c r="C185" s="10"/>
      <c r="D185" s="10"/>
      <c r="E185" s="11"/>
      <c r="F185" s="10"/>
      <c r="G185" s="11"/>
      <c r="H185" s="11"/>
      <c r="I185" s="11"/>
      <c r="J185" s="10"/>
      <c r="K185" s="10"/>
      <c r="L185" s="10"/>
      <c r="M185" s="11"/>
    </row>
    <row r="186" spans="1:13">
      <c r="A186" s="10"/>
      <c r="B186" s="10"/>
      <c r="C186" s="10"/>
      <c r="D186" s="10"/>
      <c r="E186" s="11"/>
      <c r="F186" s="10"/>
      <c r="G186" s="11"/>
      <c r="H186" s="11"/>
      <c r="I186" s="11"/>
      <c r="J186" s="10"/>
      <c r="K186" s="10"/>
      <c r="L186" s="10"/>
      <c r="M186" s="11"/>
    </row>
    <row r="187" spans="1:13">
      <c r="A187" s="10"/>
      <c r="B187" s="10"/>
      <c r="C187" s="10"/>
      <c r="D187" s="10"/>
      <c r="E187" s="11"/>
      <c r="F187" s="10"/>
      <c r="G187" s="11"/>
      <c r="H187" s="11"/>
      <c r="I187" s="11"/>
      <c r="J187" s="10"/>
      <c r="K187" s="10"/>
      <c r="L187" s="10"/>
      <c r="M187" s="11"/>
    </row>
    <row r="188" spans="1:13">
      <c r="A188" s="10"/>
      <c r="B188" s="10"/>
      <c r="C188" s="10"/>
      <c r="D188" s="10"/>
      <c r="E188" s="11"/>
      <c r="F188" s="10"/>
      <c r="G188" s="11"/>
      <c r="H188" s="11"/>
      <c r="I188" s="11"/>
      <c r="J188" s="10"/>
      <c r="K188" s="10"/>
      <c r="L188" s="10"/>
      <c r="M188" s="11"/>
    </row>
    <row r="189" spans="1:13">
      <c r="A189" s="10"/>
      <c r="B189" s="10"/>
      <c r="C189" s="10"/>
      <c r="D189" s="10"/>
      <c r="E189" s="11"/>
      <c r="F189" s="10"/>
      <c r="G189" s="11"/>
      <c r="H189" s="11"/>
      <c r="I189" s="11"/>
      <c r="J189" s="10"/>
      <c r="K189" s="10"/>
      <c r="L189" s="10"/>
      <c r="M189" s="11"/>
    </row>
    <row r="190" spans="1:13">
      <c r="A190" s="10"/>
      <c r="B190" s="10"/>
      <c r="C190" s="10"/>
      <c r="D190" s="10"/>
      <c r="E190" s="11"/>
      <c r="F190" s="10"/>
      <c r="G190" s="11"/>
      <c r="H190" s="11"/>
      <c r="I190" s="11"/>
      <c r="J190" s="10"/>
      <c r="K190" s="10"/>
      <c r="L190" s="10"/>
      <c r="M190" s="11"/>
    </row>
    <row r="191" spans="1:13">
      <c r="A191" s="10"/>
      <c r="B191" s="10"/>
      <c r="C191" s="10"/>
      <c r="D191" s="10"/>
      <c r="E191" s="11"/>
      <c r="F191" s="10"/>
      <c r="G191" s="11"/>
      <c r="H191" s="11"/>
      <c r="I191" s="11"/>
      <c r="J191" s="10"/>
      <c r="K191" s="10"/>
      <c r="L191" s="10"/>
      <c r="M191" s="11"/>
    </row>
    <row r="192" spans="1:13">
      <c r="A192" s="10"/>
      <c r="B192" s="10"/>
      <c r="C192" s="10"/>
      <c r="D192" s="10"/>
      <c r="E192" s="11"/>
      <c r="F192" s="10"/>
      <c r="G192" s="11"/>
      <c r="H192" s="11"/>
      <c r="I192" s="11"/>
      <c r="J192" s="10"/>
      <c r="K192" s="10"/>
      <c r="L192" s="10"/>
      <c r="M192" s="11"/>
    </row>
    <row r="193" spans="1:13">
      <c r="A193" s="10"/>
      <c r="B193" s="10"/>
      <c r="C193" s="10"/>
      <c r="D193" s="10"/>
      <c r="E193" s="11"/>
      <c r="F193" s="10"/>
      <c r="G193" s="11"/>
      <c r="H193" s="11"/>
      <c r="I193" s="11"/>
      <c r="J193" s="10"/>
      <c r="K193" s="10"/>
      <c r="L193" s="10"/>
      <c r="M193" s="11"/>
    </row>
    <row r="194" spans="1:13">
      <c r="A194" s="10"/>
      <c r="B194" s="10"/>
      <c r="C194" s="10"/>
      <c r="D194" s="10"/>
      <c r="E194" s="11"/>
      <c r="F194" s="10"/>
      <c r="G194" s="11"/>
      <c r="H194" s="11"/>
      <c r="I194" s="11"/>
      <c r="J194" s="10"/>
      <c r="K194" s="10"/>
      <c r="L194" s="10"/>
      <c r="M194" s="11"/>
    </row>
    <row r="195" spans="1:13">
      <c r="A195" s="10"/>
      <c r="B195" s="10"/>
      <c r="C195" s="10"/>
      <c r="D195" s="10"/>
      <c r="E195" s="11"/>
      <c r="F195" s="10"/>
      <c r="G195" s="11"/>
      <c r="H195" s="11"/>
      <c r="I195" s="11"/>
      <c r="J195" s="10"/>
      <c r="K195" s="10"/>
      <c r="L195" s="10"/>
      <c r="M195" s="11"/>
    </row>
    <row r="196" spans="1:13">
      <c r="A196" s="10"/>
      <c r="B196" s="10"/>
      <c r="C196" s="10"/>
      <c r="D196" s="10"/>
      <c r="E196" s="11"/>
      <c r="F196" s="10"/>
      <c r="G196" s="11"/>
      <c r="H196" s="11"/>
      <c r="I196" s="11"/>
      <c r="J196" s="10"/>
      <c r="K196" s="10"/>
      <c r="L196" s="10"/>
      <c r="M196" s="11"/>
    </row>
    <row r="197" spans="1:13">
      <c r="A197" s="10"/>
      <c r="B197" s="10"/>
      <c r="C197" s="10"/>
      <c r="D197" s="10"/>
      <c r="E197" s="11"/>
      <c r="F197" s="10"/>
      <c r="G197" s="11"/>
      <c r="H197" s="11"/>
      <c r="I197" s="11"/>
      <c r="J197" s="10"/>
      <c r="K197" s="10"/>
      <c r="L197" s="10"/>
      <c r="M197" s="11"/>
    </row>
    <row r="198" spans="1:13">
      <c r="A198" s="10"/>
      <c r="B198" s="10"/>
      <c r="C198" s="10"/>
      <c r="D198" s="10"/>
      <c r="E198" s="11"/>
      <c r="F198" s="10"/>
      <c r="G198" s="11"/>
      <c r="H198" s="11"/>
      <c r="I198" s="11"/>
      <c r="J198" s="10"/>
      <c r="K198" s="10"/>
      <c r="L198" s="10"/>
      <c r="M198" s="11"/>
    </row>
    <row r="199" spans="1:13">
      <c r="A199" s="10"/>
      <c r="B199" s="10"/>
      <c r="C199" s="10"/>
      <c r="D199" s="10"/>
      <c r="E199" s="11"/>
      <c r="F199" s="10"/>
      <c r="G199" s="11"/>
      <c r="H199" s="11"/>
      <c r="I199" s="11"/>
      <c r="J199" s="10"/>
      <c r="K199" s="10"/>
      <c r="L199" s="10"/>
      <c r="M199" s="11"/>
    </row>
    <row r="200" spans="1:13">
      <c r="A200" s="10"/>
      <c r="B200" s="10"/>
      <c r="C200" s="10"/>
      <c r="D200" s="10"/>
      <c r="E200" s="11"/>
      <c r="F200" s="10"/>
      <c r="G200" s="11"/>
      <c r="H200" s="11"/>
      <c r="I200" s="11"/>
      <c r="J200" s="10"/>
      <c r="K200" s="10"/>
      <c r="L200" s="10"/>
      <c r="M200" s="11"/>
    </row>
    <row r="201" spans="1:13">
      <c r="A201" s="10"/>
      <c r="B201" s="10"/>
      <c r="C201" s="10"/>
      <c r="D201" s="10"/>
      <c r="E201" s="11"/>
      <c r="F201" s="10"/>
      <c r="G201" s="11"/>
      <c r="H201" s="11"/>
      <c r="I201" s="11"/>
      <c r="J201" s="10"/>
      <c r="K201" s="10"/>
      <c r="L201" s="10"/>
      <c r="M201" s="11"/>
    </row>
    <row r="202" spans="1:13">
      <c r="A202" s="10"/>
      <c r="B202" s="10"/>
      <c r="C202" s="10"/>
      <c r="D202" s="10"/>
      <c r="E202" s="11"/>
      <c r="F202" s="10"/>
      <c r="G202" s="11"/>
      <c r="H202" s="11"/>
      <c r="I202" s="11"/>
      <c r="J202" s="10"/>
      <c r="K202" s="10"/>
      <c r="L202" s="10"/>
      <c r="M202" s="11"/>
    </row>
    <row r="203" spans="1:13">
      <c r="A203" s="10"/>
      <c r="B203" s="10"/>
      <c r="C203" s="10"/>
      <c r="D203" s="10"/>
      <c r="E203" s="11"/>
      <c r="F203" s="10"/>
      <c r="G203" s="11"/>
      <c r="H203" s="11"/>
      <c r="I203" s="11"/>
      <c r="J203" s="10"/>
      <c r="K203" s="10"/>
      <c r="L203" s="10"/>
      <c r="M203" s="11"/>
    </row>
    <row r="204" spans="1:13">
      <c r="A204" s="10"/>
      <c r="B204" s="10"/>
      <c r="C204" s="10"/>
      <c r="D204" s="10"/>
      <c r="E204" s="11"/>
      <c r="F204" s="10"/>
      <c r="G204" s="11"/>
      <c r="H204" s="11"/>
      <c r="I204" s="11"/>
      <c r="J204" s="10"/>
      <c r="K204" s="10"/>
      <c r="L204" s="10"/>
      <c r="M204" s="11"/>
    </row>
    <row r="205" spans="1:13">
      <c r="A205" s="10"/>
      <c r="B205" s="10"/>
      <c r="C205" s="10"/>
      <c r="D205" s="10"/>
      <c r="E205" s="11"/>
      <c r="F205" s="10"/>
      <c r="G205" s="11"/>
      <c r="H205" s="11"/>
      <c r="I205" s="11"/>
      <c r="J205" s="10"/>
      <c r="K205" s="10"/>
      <c r="L205" s="10"/>
      <c r="M205" s="11"/>
    </row>
    <row r="206" spans="1:13">
      <c r="A206" s="10"/>
      <c r="B206" s="10"/>
      <c r="C206" s="10"/>
      <c r="D206" s="10"/>
      <c r="E206" s="11"/>
      <c r="F206" s="10"/>
      <c r="G206" s="11"/>
      <c r="H206" s="11"/>
      <c r="I206" s="11"/>
      <c r="J206" s="10"/>
      <c r="K206" s="10"/>
      <c r="L206" s="10"/>
      <c r="M206" s="11"/>
    </row>
    <row r="207" spans="1:13">
      <c r="A207" s="10"/>
      <c r="B207" s="10"/>
      <c r="C207" s="10"/>
      <c r="D207" s="10"/>
      <c r="E207" s="11"/>
      <c r="F207" s="10"/>
      <c r="G207" s="11"/>
      <c r="H207" s="11"/>
      <c r="I207" s="11"/>
      <c r="J207" s="10"/>
      <c r="K207" s="10"/>
      <c r="L207" s="10"/>
      <c r="M207" s="11"/>
    </row>
    <row r="208" spans="1:13">
      <c r="A208" s="10"/>
      <c r="B208" s="10"/>
      <c r="C208" s="10"/>
      <c r="D208" s="10"/>
      <c r="E208" s="11"/>
      <c r="F208" s="10"/>
      <c r="G208" s="11"/>
      <c r="H208" s="11"/>
      <c r="I208" s="11"/>
      <c r="J208" s="10"/>
      <c r="K208" s="10"/>
      <c r="L208" s="10"/>
      <c r="M208" s="11"/>
    </row>
    <row r="209" spans="1:13">
      <c r="A209" s="10"/>
      <c r="B209" s="10"/>
      <c r="C209" s="10"/>
      <c r="D209" s="10"/>
      <c r="E209" s="11"/>
      <c r="F209" s="10"/>
      <c r="G209" s="11"/>
      <c r="H209" s="11"/>
      <c r="I209" s="11"/>
      <c r="J209" s="10"/>
      <c r="K209" s="10"/>
      <c r="L209" s="10"/>
      <c r="M209" s="11"/>
    </row>
    <row r="210" spans="1:13">
      <c r="A210" s="10"/>
      <c r="B210" s="10"/>
      <c r="C210" s="10"/>
      <c r="D210" s="10"/>
      <c r="E210" s="11"/>
      <c r="F210" s="10"/>
      <c r="G210" s="11"/>
      <c r="H210" s="11"/>
      <c r="I210" s="11"/>
      <c r="J210" s="10"/>
      <c r="K210" s="10"/>
      <c r="L210" s="10"/>
      <c r="M210" s="11"/>
    </row>
    <row r="211" spans="1:13">
      <c r="A211" s="10"/>
      <c r="B211" s="10"/>
      <c r="C211" s="10"/>
      <c r="D211" s="10"/>
      <c r="E211" s="11"/>
      <c r="F211" s="10"/>
      <c r="G211" s="11"/>
      <c r="H211" s="11"/>
      <c r="I211" s="11"/>
      <c r="J211" s="10"/>
      <c r="K211" s="10"/>
      <c r="L211" s="10"/>
      <c r="M211" s="11"/>
    </row>
    <row r="212" spans="1:13">
      <c r="A212" s="10"/>
      <c r="B212" s="10"/>
      <c r="C212" s="10"/>
      <c r="D212" s="10"/>
      <c r="E212" s="11"/>
      <c r="F212" s="10"/>
      <c r="G212" s="11"/>
      <c r="H212" s="11"/>
      <c r="I212" s="11"/>
      <c r="J212" s="10"/>
      <c r="K212" s="10"/>
      <c r="L212" s="10"/>
      <c r="M212" s="11"/>
    </row>
    <row r="213" spans="1:13">
      <c r="A213" s="10"/>
      <c r="B213" s="10"/>
      <c r="C213" s="10"/>
      <c r="D213" s="10"/>
      <c r="E213" s="11"/>
      <c r="F213" s="10"/>
      <c r="G213" s="11"/>
      <c r="H213" s="11"/>
      <c r="I213" s="11"/>
      <c r="J213" s="10"/>
      <c r="K213" s="10"/>
      <c r="L213" s="10"/>
      <c r="M213" s="11"/>
    </row>
    <row r="214" spans="1:13">
      <c r="A214" s="10"/>
      <c r="B214" s="10"/>
      <c r="C214" s="10"/>
      <c r="D214" s="10"/>
      <c r="E214" s="11"/>
      <c r="F214" s="10"/>
      <c r="G214" s="11"/>
      <c r="H214" s="11"/>
      <c r="I214" s="11"/>
      <c r="J214" s="10"/>
      <c r="K214" s="10"/>
      <c r="L214" s="10"/>
      <c r="M214" s="11"/>
    </row>
    <row r="215" spans="1:13">
      <c r="A215" s="10"/>
      <c r="B215" s="10"/>
      <c r="C215" s="10"/>
      <c r="D215" s="10"/>
      <c r="E215" s="11"/>
      <c r="F215" s="10"/>
      <c r="G215" s="11"/>
      <c r="H215" s="11"/>
      <c r="I215" s="11"/>
      <c r="J215" s="10"/>
      <c r="K215" s="10"/>
      <c r="L215" s="10"/>
      <c r="M215" s="11"/>
    </row>
    <row r="216" spans="1:13">
      <c r="A216" s="10"/>
      <c r="B216" s="10"/>
      <c r="C216" s="10"/>
      <c r="D216" s="10"/>
      <c r="E216" s="11"/>
      <c r="F216" s="10"/>
      <c r="G216" s="11"/>
      <c r="H216" s="11"/>
      <c r="I216" s="11"/>
      <c r="J216" s="10"/>
      <c r="K216" s="10"/>
      <c r="L216" s="10"/>
      <c r="M216" s="11"/>
    </row>
    <row r="217" spans="1:13">
      <c r="A217" s="10"/>
      <c r="B217" s="10"/>
      <c r="C217" s="10"/>
      <c r="D217" s="10"/>
      <c r="E217" s="11"/>
      <c r="F217" s="10"/>
      <c r="G217" s="11"/>
      <c r="H217" s="11"/>
      <c r="I217" s="11"/>
      <c r="J217" s="10"/>
      <c r="K217" s="10"/>
      <c r="L217" s="10"/>
      <c r="M217" s="11"/>
    </row>
    <row r="218" spans="1:13">
      <c r="A218" s="10"/>
      <c r="B218" s="10"/>
      <c r="C218" s="10"/>
      <c r="D218" s="10"/>
      <c r="E218" s="11"/>
      <c r="F218" s="10"/>
      <c r="G218" s="11"/>
      <c r="H218" s="11"/>
      <c r="I218" s="11"/>
      <c r="J218" s="10"/>
      <c r="K218" s="10"/>
      <c r="L218" s="10"/>
      <c r="M218" s="11"/>
    </row>
    <row r="219" spans="1:13">
      <c r="A219" s="10"/>
      <c r="B219" s="10"/>
      <c r="C219" s="10"/>
      <c r="D219" s="10"/>
      <c r="E219" s="11"/>
      <c r="F219" s="10"/>
      <c r="G219" s="11"/>
      <c r="H219" s="11"/>
      <c r="I219" s="11"/>
      <c r="J219" s="10"/>
      <c r="K219" s="10"/>
      <c r="L219" s="10"/>
      <c r="M219" s="11"/>
    </row>
    <row r="220" spans="1:13">
      <c r="A220" s="10"/>
      <c r="B220" s="10"/>
      <c r="C220" s="10"/>
      <c r="D220" s="10"/>
      <c r="E220" s="11"/>
      <c r="F220" s="10"/>
      <c r="G220" s="11"/>
      <c r="H220" s="11"/>
      <c r="I220" s="11"/>
      <c r="J220" s="10"/>
      <c r="K220" s="10"/>
      <c r="L220" s="10"/>
      <c r="M220" s="11"/>
    </row>
    <row r="221" spans="1:13">
      <c r="A221" s="10"/>
      <c r="B221" s="10"/>
      <c r="C221" s="10"/>
      <c r="D221" s="10"/>
      <c r="E221" s="11"/>
      <c r="F221" s="10"/>
      <c r="G221" s="11"/>
      <c r="H221" s="11"/>
      <c r="I221" s="11"/>
      <c r="J221" s="10"/>
      <c r="K221" s="10"/>
      <c r="L221" s="10"/>
      <c r="M221" s="11"/>
    </row>
    <row r="222" spans="1:13">
      <c r="A222" s="10"/>
      <c r="B222" s="10"/>
      <c r="C222" s="10"/>
      <c r="D222" s="10"/>
      <c r="E222" s="11"/>
      <c r="F222" s="10"/>
      <c r="G222" s="11"/>
      <c r="H222" s="11"/>
      <c r="I222" s="11"/>
      <c r="J222" s="10"/>
      <c r="K222" s="10"/>
      <c r="L222" s="10"/>
      <c r="M222" s="11"/>
    </row>
    <row r="223" spans="1:13">
      <c r="A223" s="10"/>
      <c r="B223" s="10"/>
      <c r="C223" s="10"/>
      <c r="D223" s="10"/>
      <c r="E223" s="11"/>
      <c r="F223" s="10"/>
      <c r="G223" s="11"/>
      <c r="H223" s="11"/>
      <c r="I223" s="11"/>
      <c r="J223" s="10"/>
      <c r="K223" s="10"/>
      <c r="L223" s="10"/>
      <c r="M223" s="11"/>
    </row>
    <row r="224" spans="1:13">
      <c r="A224" s="10"/>
      <c r="B224" s="10"/>
      <c r="C224" s="10"/>
      <c r="D224" s="10"/>
      <c r="E224" s="11"/>
      <c r="F224" s="10"/>
      <c r="G224" s="11"/>
      <c r="H224" s="11"/>
      <c r="I224" s="11"/>
      <c r="J224" s="10"/>
      <c r="K224" s="10"/>
      <c r="L224" s="10"/>
      <c r="M224" s="11"/>
    </row>
    <row r="225" spans="1:13">
      <c r="A225" s="10"/>
      <c r="B225" s="10"/>
      <c r="C225" s="10"/>
      <c r="D225" s="10"/>
      <c r="E225" s="11"/>
      <c r="F225" s="10"/>
      <c r="G225" s="11"/>
      <c r="H225" s="11"/>
      <c r="I225" s="11"/>
      <c r="J225" s="10"/>
      <c r="K225" s="10"/>
      <c r="L225" s="10"/>
      <c r="M225" s="11"/>
    </row>
    <row r="226" spans="1:13">
      <c r="A226" s="10"/>
      <c r="B226" s="10"/>
      <c r="C226" s="10"/>
      <c r="D226" s="10"/>
      <c r="E226" s="11"/>
      <c r="F226" s="10"/>
      <c r="G226" s="11"/>
      <c r="H226" s="11"/>
      <c r="I226" s="11"/>
      <c r="J226" s="10"/>
      <c r="K226" s="10"/>
      <c r="L226" s="10"/>
      <c r="M226" s="11"/>
    </row>
    <row r="227" spans="1:13">
      <c r="A227" s="10"/>
      <c r="B227" s="10"/>
      <c r="C227" s="10"/>
      <c r="D227" s="10"/>
      <c r="E227" s="11"/>
      <c r="F227" s="10"/>
      <c r="G227" s="11"/>
      <c r="H227" s="11"/>
      <c r="I227" s="11"/>
      <c r="J227" s="10"/>
      <c r="K227" s="10"/>
      <c r="L227" s="10"/>
      <c r="M227" s="11"/>
    </row>
    <row r="228" spans="1:13">
      <c r="A228" s="10"/>
      <c r="B228" s="10"/>
      <c r="C228" s="10"/>
      <c r="D228" s="10"/>
      <c r="E228" s="11"/>
      <c r="F228" s="10"/>
      <c r="G228" s="11"/>
      <c r="H228" s="11"/>
      <c r="I228" s="11"/>
      <c r="J228" s="10"/>
      <c r="K228" s="10"/>
      <c r="L228" s="10"/>
      <c r="M228" s="11"/>
    </row>
    <row r="229" spans="1:13">
      <c r="A229" s="10"/>
      <c r="B229" s="10"/>
      <c r="C229" s="10"/>
      <c r="D229" s="10"/>
      <c r="E229" s="11"/>
      <c r="F229" s="10"/>
      <c r="G229" s="11"/>
      <c r="H229" s="11"/>
      <c r="I229" s="11"/>
      <c r="J229" s="10"/>
      <c r="K229" s="10"/>
      <c r="L229" s="10"/>
      <c r="M229" s="11"/>
    </row>
    <row r="230" spans="1:13">
      <c r="A230" s="10"/>
      <c r="B230" s="10"/>
      <c r="C230" s="10"/>
      <c r="D230" s="10"/>
      <c r="E230" s="11"/>
      <c r="F230" s="10"/>
      <c r="G230" s="11"/>
      <c r="H230" s="11"/>
      <c r="I230" s="11"/>
      <c r="J230" s="10"/>
      <c r="K230" s="10"/>
      <c r="L230" s="10"/>
      <c r="M230" s="11"/>
    </row>
    <row r="231" spans="1:13">
      <c r="A231" s="10"/>
      <c r="B231" s="10"/>
      <c r="C231" s="10"/>
      <c r="D231" s="10"/>
      <c r="E231" s="11"/>
      <c r="F231" s="10"/>
      <c r="G231" s="11"/>
      <c r="H231" s="11"/>
      <c r="I231" s="11"/>
      <c r="J231" s="10"/>
      <c r="K231" s="10"/>
      <c r="L231" s="10"/>
      <c r="M231" s="11"/>
    </row>
    <row r="232" spans="1:13">
      <c r="A232" s="10"/>
      <c r="B232" s="10"/>
      <c r="C232" s="10"/>
      <c r="D232" s="10"/>
      <c r="E232" s="11"/>
      <c r="F232" s="10"/>
      <c r="G232" s="11"/>
      <c r="H232" s="11"/>
      <c r="I232" s="11"/>
      <c r="J232" s="10"/>
      <c r="K232" s="10"/>
      <c r="L232" s="10"/>
      <c r="M232" s="11"/>
    </row>
    <row r="233" spans="1:13">
      <c r="A233" s="10"/>
      <c r="B233" s="10"/>
      <c r="C233" s="10"/>
      <c r="D233" s="10"/>
      <c r="E233" s="11"/>
      <c r="F233" s="10"/>
      <c r="G233" s="11"/>
      <c r="H233" s="11"/>
      <c r="I233" s="11"/>
      <c r="J233" s="10"/>
      <c r="K233" s="10"/>
      <c r="L233" s="10"/>
      <c r="M233" s="11"/>
    </row>
    <row r="234" spans="1:13">
      <c r="A234" s="10"/>
      <c r="B234" s="10"/>
      <c r="C234" s="10"/>
      <c r="D234" s="10"/>
      <c r="E234" s="11"/>
      <c r="F234" s="10"/>
      <c r="G234" s="11"/>
      <c r="H234" s="11"/>
      <c r="I234" s="11"/>
      <c r="J234" s="10"/>
      <c r="K234" s="10"/>
      <c r="L234" s="10"/>
      <c r="M234" s="11"/>
    </row>
    <row r="235" spans="1:13">
      <c r="A235" s="10"/>
      <c r="B235" s="10"/>
      <c r="C235" s="10"/>
      <c r="D235" s="10"/>
      <c r="E235" s="11"/>
      <c r="F235" s="10"/>
      <c r="G235" s="11"/>
      <c r="H235" s="11"/>
      <c r="I235" s="11"/>
      <c r="J235" s="10"/>
      <c r="K235" s="10"/>
      <c r="L235" s="10"/>
      <c r="M235" s="11"/>
    </row>
    <row r="236" spans="1:13">
      <c r="A236" s="10"/>
      <c r="B236" s="10"/>
      <c r="C236" s="10"/>
      <c r="D236" s="10"/>
      <c r="E236" s="11"/>
      <c r="F236" s="10"/>
      <c r="G236" s="11"/>
      <c r="H236" s="11"/>
      <c r="I236" s="11"/>
      <c r="J236" s="10"/>
      <c r="K236" s="10"/>
      <c r="L236" s="10"/>
      <c r="M236" s="11"/>
    </row>
    <row r="237" spans="1:13">
      <c r="A237" s="10"/>
      <c r="B237" s="10"/>
      <c r="C237" s="10"/>
      <c r="D237" s="10"/>
      <c r="E237" s="11"/>
      <c r="F237" s="10"/>
      <c r="G237" s="11"/>
      <c r="H237" s="11"/>
      <c r="I237" s="11"/>
      <c r="J237" s="10"/>
      <c r="K237" s="10"/>
      <c r="L237" s="10"/>
      <c r="M237" s="11"/>
    </row>
    <row r="238" spans="1:13">
      <c r="A238" s="10"/>
      <c r="B238" s="10"/>
      <c r="C238" s="10"/>
      <c r="D238" s="10"/>
      <c r="E238" s="11"/>
      <c r="F238" s="10"/>
      <c r="G238" s="11"/>
      <c r="H238" s="11"/>
      <c r="I238" s="11"/>
      <c r="J238" s="10"/>
      <c r="K238" s="10"/>
      <c r="L238" s="10"/>
      <c r="M238" s="11"/>
    </row>
    <row r="239" spans="1:13">
      <c r="A239" s="10"/>
      <c r="B239" s="10"/>
      <c r="C239" s="10"/>
      <c r="D239" s="10"/>
      <c r="E239" s="11"/>
      <c r="F239" s="10"/>
      <c r="G239" s="11"/>
      <c r="H239" s="11"/>
      <c r="I239" s="11"/>
      <c r="J239" s="10"/>
      <c r="K239" s="10"/>
      <c r="L239" s="10"/>
      <c r="M239" s="11"/>
    </row>
    <row r="240" spans="1:13">
      <c r="A240" s="10"/>
      <c r="B240" s="10"/>
      <c r="C240" s="10"/>
      <c r="D240" s="10"/>
      <c r="E240" s="11"/>
      <c r="F240" s="10"/>
      <c r="G240" s="11"/>
      <c r="H240" s="11"/>
      <c r="I240" s="11"/>
      <c r="J240" s="10"/>
      <c r="K240" s="10"/>
      <c r="L240" s="10"/>
      <c r="M240" s="11"/>
    </row>
    <row r="241" spans="1:13">
      <c r="A241" s="10"/>
      <c r="B241" s="10"/>
      <c r="C241" s="10"/>
      <c r="D241" s="10"/>
      <c r="E241" s="11"/>
      <c r="F241" s="10"/>
      <c r="G241" s="11"/>
      <c r="H241" s="11"/>
      <c r="I241" s="11"/>
      <c r="J241" s="10"/>
      <c r="K241" s="10"/>
      <c r="L241" s="10"/>
      <c r="M241" s="11"/>
    </row>
    <row r="242" spans="1:13">
      <c r="A242" s="10"/>
      <c r="B242" s="10"/>
      <c r="C242" s="10"/>
      <c r="D242" s="10"/>
      <c r="E242" s="11"/>
      <c r="F242" s="10"/>
      <c r="G242" s="11"/>
      <c r="H242" s="11"/>
      <c r="I242" s="11"/>
      <c r="J242" s="10"/>
      <c r="K242" s="10"/>
      <c r="L242" s="10"/>
      <c r="M242" s="11"/>
    </row>
    <row r="243" spans="1:13">
      <c r="A243" s="10"/>
      <c r="B243" s="10"/>
      <c r="C243" s="10"/>
      <c r="D243" s="10"/>
      <c r="E243" s="11"/>
      <c r="F243" s="10"/>
      <c r="G243" s="11"/>
      <c r="H243" s="11"/>
      <c r="I243" s="11"/>
      <c r="J243" s="10"/>
      <c r="K243" s="10"/>
      <c r="L243" s="10"/>
      <c r="M243" s="11"/>
    </row>
    <row r="244" spans="1:13">
      <c r="A244" s="10"/>
      <c r="B244" s="10"/>
      <c r="C244" s="10"/>
      <c r="D244" s="10"/>
      <c r="E244" s="11"/>
      <c r="F244" s="10"/>
      <c r="G244" s="11"/>
      <c r="H244" s="11"/>
      <c r="I244" s="11"/>
      <c r="J244" s="10"/>
      <c r="K244" s="10"/>
      <c r="L244" s="10"/>
      <c r="M244" s="11"/>
    </row>
    <row r="245" spans="1:13">
      <c r="A245" s="10"/>
      <c r="B245" s="10"/>
      <c r="C245" s="10"/>
      <c r="D245" s="10"/>
      <c r="E245" s="11"/>
      <c r="F245" s="10"/>
      <c r="G245" s="11"/>
      <c r="H245" s="11"/>
      <c r="I245" s="11"/>
      <c r="J245" s="10"/>
      <c r="K245" s="10"/>
      <c r="L245" s="10"/>
      <c r="M245" s="11"/>
    </row>
    <row r="246" spans="1:13">
      <c r="A246" s="10"/>
      <c r="B246" s="10"/>
      <c r="C246" s="10"/>
      <c r="D246" s="10"/>
      <c r="E246" s="11"/>
      <c r="F246" s="10"/>
      <c r="G246" s="11"/>
      <c r="H246" s="11"/>
      <c r="I246" s="11"/>
      <c r="J246" s="10"/>
      <c r="K246" s="10"/>
      <c r="L246" s="10"/>
      <c r="M246" s="11"/>
    </row>
    <row r="247" spans="1:13">
      <c r="A247" s="10"/>
      <c r="B247" s="10"/>
      <c r="C247" s="10"/>
      <c r="D247" s="10"/>
      <c r="E247" s="11"/>
      <c r="F247" s="10"/>
      <c r="G247" s="11"/>
      <c r="H247" s="11"/>
      <c r="I247" s="11"/>
      <c r="J247" s="10"/>
      <c r="K247" s="10"/>
      <c r="L247" s="10"/>
      <c r="M247" s="11"/>
    </row>
    <row r="248" spans="1:13">
      <c r="A248" s="10"/>
      <c r="B248" s="10"/>
      <c r="C248" s="10"/>
      <c r="D248" s="10"/>
      <c r="E248" s="11"/>
      <c r="F248" s="10"/>
      <c r="G248" s="11"/>
      <c r="H248" s="11"/>
      <c r="I248" s="11"/>
      <c r="J248" s="10"/>
      <c r="K248" s="10"/>
      <c r="L248" s="10"/>
      <c r="M248" s="11"/>
    </row>
    <row r="249" spans="1:13">
      <c r="A249" s="10"/>
      <c r="B249" s="10"/>
      <c r="C249" s="10"/>
      <c r="D249" s="10"/>
      <c r="E249" s="11"/>
      <c r="F249" s="10"/>
      <c r="G249" s="11"/>
      <c r="H249" s="11"/>
      <c r="I249" s="11"/>
      <c r="J249" s="10"/>
      <c r="K249" s="10"/>
      <c r="L249" s="10"/>
      <c r="M249" s="11"/>
    </row>
    <row r="250" spans="1:13">
      <c r="A250" s="10"/>
      <c r="B250" s="10"/>
      <c r="C250" s="10"/>
      <c r="D250" s="10"/>
      <c r="E250" s="11"/>
      <c r="F250" s="10"/>
      <c r="G250" s="11"/>
      <c r="H250" s="11"/>
      <c r="I250" s="11"/>
      <c r="J250" s="10"/>
      <c r="K250" s="10"/>
      <c r="L250" s="10"/>
      <c r="M250" s="11"/>
    </row>
  </sheetData>
  <autoFilter ref="A3:M69" xr:uid="{00000000-0001-0000-0A00-000000000000}"/>
  <mergeCells count="2">
    <mergeCell ref="A2:M2"/>
    <mergeCell ref="A1:M1"/>
  </mergeCells>
  <conditionalFormatting sqref="B4:B250">
    <cfRule type="expression" dxfId="10" priority="1">
      <formula>LEN($B4)=0</formula>
    </cfRule>
  </conditionalFormatting>
  <dataValidations count="4">
    <dataValidation type="list" allowBlank="1" sqref="B4:B250" xr:uid="{00000000-0002-0000-0A00-000000000000}">
      <formula1>TechIDs</formula1>
    </dataValidation>
    <dataValidation type="list" allowBlank="1" sqref="F4:F250" xr:uid="{00000000-0002-0000-0A00-000001000000}">
      <formula1>FaseSviluppo</formula1>
    </dataValidation>
    <dataValidation type="list" allowBlank="1" sqref="J4:J250" xr:uid="{00000000-0002-0000-0A00-000002000000}">
      <formula1>Geografie</formula1>
    </dataValidation>
    <dataValidation type="list" allowBlank="1" sqref="K4:K250" xr:uid="{00000000-0002-0000-0A00-000003000000}">
      <formula1>SourceIDs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F766E"/>
  </sheetPr>
  <dimension ref="A1:L250"/>
  <sheetViews>
    <sheetView showGridLines="0" workbookViewId="0">
      <selection activeCell="H10" sqref="H10"/>
    </sheetView>
  </sheetViews>
  <sheetFormatPr defaultRowHeight="14.45"/>
  <cols>
    <col min="1" max="1" width="14" customWidth="1"/>
    <col min="2" max="2" width="10" customWidth="1"/>
    <col min="3" max="3" width="22" customWidth="1"/>
    <col min="4" max="4" width="16" customWidth="1"/>
    <col min="5" max="5" width="26" customWidth="1"/>
    <col min="6" max="6" width="14" customWidth="1"/>
    <col min="7" max="7" width="24" customWidth="1"/>
    <col min="8" max="8" width="38" customWidth="1"/>
    <col min="9" max="10" width="14" customWidth="1"/>
    <col min="11" max="11" width="12" customWidth="1"/>
    <col min="12" max="12" width="26" customWidth="1"/>
  </cols>
  <sheetData>
    <row r="1" spans="1:12" ht="24" customHeight="1">
      <c r="A1" s="28" t="s">
        <v>1766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36" customHeight="1">
      <c r="A2" s="29" t="s">
        <v>1767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27.95" customHeight="1">
      <c r="A3" s="9" t="s">
        <v>203</v>
      </c>
      <c r="B3" s="9" t="s">
        <v>64</v>
      </c>
      <c r="C3" s="9" t="s">
        <v>23</v>
      </c>
      <c r="D3" s="9" t="s">
        <v>199</v>
      </c>
      <c r="E3" s="9" t="s">
        <v>1549</v>
      </c>
      <c r="F3" s="9" t="s">
        <v>1768</v>
      </c>
      <c r="G3" s="9" t="s">
        <v>1769</v>
      </c>
      <c r="H3" s="9" t="s">
        <v>1770</v>
      </c>
      <c r="I3" s="9" t="s">
        <v>1771</v>
      </c>
      <c r="J3" s="9" t="s">
        <v>1554</v>
      </c>
      <c r="K3" s="9" t="s">
        <v>1061</v>
      </c>
      <c r="L3" s="9" t="s">
        <v>1062</v>
      </c>
    </row>
    <row r="4" spans="1:12" ht="29.1" customHeight="1">
      <c r="A4" s="10" t="s">
        <v>1772</v>
      </c>
      <c r="B4" s="10" t="s">
        <v>117</v>
      </c>
      <c r="C4" s="10" t="s">
        <v>118</v>
      </c>
      <c r="D4" s="10" t="s">
        <v>200</v>
      </c>
      <c r="E4" s="11" t="s">
        <v>201</v>
      </c>
      <c r="F4" s="10">
        <v>9</v>
      </c>
      <c r="G4" s="11" t="s">
        <v>1676</v>
      </c>
      <c r="H4" s="11" t="s">
        <v>1773</v>
      </c>
      <c r="I4" s="10" t="s">
        <v>1774</v>
      </c>
      <c r="J4" s="10" t="s">
        <v>338</v>
      </c>
      <c r="K4" s="10" t="s">
        <v>1775</v>
      </c>
      <c r="L4" s="11" t="s">
        <v>1776</v>
      </c>
    </row>
    <row r="5" spans="1:12" ht="29.1" customHeight="1">
      <c r="A5" s="10" t="s">
        <v>1777</v>
      </c>
      <c r="B5" s="10" t="s">
        <v>117</v>
      </c>
      <c r="C5" s="10" t="s">
        <v>118</v>
      </c>
      <c r="D5" s="10" t="s">
        <v>1067</v>
      </c>
      <c r="E5" s="11" t="s">
        <v>1069</v>
      </c>
      <c r="F5" s="10">
        <v>9</v>
      </c>
      <c r="G5" s="11" t="s">
        <v>1676</v>
      </c>
      <c r="H5" s="11" t="s">
        <v>1778</v>
      </c>
      <c r="I5" s="10" t="s">
        <v>1774</v>
      </c>
      <c r="J5" s="10" t="s">
        <v>338</v>
      </c>
      <c r="K5" s="10" t="s">
        <v>511</v>
      </c>
      <c r="L5" s="11" t="s">
        <v>1779</v>
      </c>
    </row>
    <row r="6" spans="1:12" ht="29.1" customHeight="1">
      <c r="A6" s="10" t="s">
        <v>1780</v>
      </c>
      <c r="B6" s="10" t="s">
        <v>117</v>
      </c>
      <c r="C6" s="10" t="s">
        <v>118</v>
      </c>
      <c r="D6" s="10" t="s">
        <v>1091</v>
      </c>
      <c r="E6" s="11" t="s">
        <v>1093</v>
      </c>
      <c r="F6" s="10">
        <v>9</v>
      </c>
      <c r="G6" s="11" t="s">
        <v>1676</v>
      </c>
      <c r="H6" s="11" t="s">
        <v>1781</v>
      </c>
      <c r="I6" s="10" t="s">
        <v>1782</v>
      </c>
      <c r="J6" s="10" t="s">
        <v>1575</v>
      </c>
      <c r="K6" s="10" t="s">
        <v>435</v>
      </c>
      <c r="L6" s="11" t="s">
        <v>1783</v>
      </c>
    </row>
    <row r="7" spans="1:12" ht="43.5" customHeight="1">
      <c r="A7" s="10" t="s">
        <v>1784</v>
      </c>
      <c r="B7" s="10" t="s">
        <v>117</v>
      </c>
      <c r="C7" s="10" t="s">
        <v>118</v>
      </c>
      <c r="D7" s="10" t="s">
        <v>1073</v>
      </c>
      <c r="E7" s="11" t="s">
        <v>1075</v>
      </c>
      <c r="F7" s="10">
        <v>8</v>
      </c>
      <c r="G7" s="11" t="s">
        <v>1641</v>
      </c>
      <c r="H7" s="11" t="s">
        <v>1785</v>
      </c>
      <c r="I7" s="10" t="s">
        <v>1782</v>
      </c>
      <c r="J7" s="10" t="s">
        <v>1581</v>
      </c>
      <c r="K7" s="10" t="s">
        <v>435</v>
      </c>
      <c r="L7" s="11" t="s">
        <v>1786</v>
      </c>
    </row>
    <row r="8" spans="1:12" ht="43.5" customHeight="1">
      <c r="A8" s="10" t="s">
        <v>1787</v>
      </c>
      <c r="B8" s="10" t="s">
        <v>117</v>
      </c>
      <c r="C8" s="10" t="s">
        <v>118</v>
      </c>
      <c r="D8" s="10" t="s">
        <v>1110</v>
      </c>
      <c r="E8" s="11" t="s">
        <v>1112</v>
      </c>
      <c r="F8" s="10">
        <v>7</v>
      </c>
      <c r="G8" s="11" t="s">
        <v>304</v>
      </c>
      <c r="H8" s="11" t="s">
        <v>1788</v>
      </c>
      <c r="I8" s="10" t="s">
        <v>1774</v>
      </c>
      <c r="J8" s="10" t="s">
        <v>1048</v>
      </c>
      <c r="K8" s="10" t="s">
        <v>1587</v>
      </c>
      <c r="L8" s="11" t="s">
        <v>1789</v>
      </c>
    </row>
    <row r="9" spans="1:12" ht="43.5" customHeight="1">
      <c r="A9" s="10" t="s">
        <v>1790</v>
      </c>
      <c r="B9" s="10" t="s">
        <v>117</v>
      </c>
      <c r="C9" s="10" t="s">
        <v>118</v>
      </c>
      <c r="D9" s="10" t="s">
        <v>1103</v>
      </c>
      <c r="E9" s="11" t="s">
        <v>1105</v>
      </c>
      <c r="F9" s="10">
        <v>6</v>
      </c>
      <c r="G9" s="11" t="s">
        <v>1791</v>
      </c>
      <c r="H9" s="11" t="s">
        <v>1792</v>
      </c>
      <c r="I9" s="10" t="s">
        <v>1774</v>
      </c>
      <c r="J9" s="10" t="s">
        <v>338</v>
      </c>
      <c r="K9" s="10" t="s">
        <v>451</v>
      </c>
      <c r="L9" s="11" t="s">
        <v>1634</v>
      </c>
    </row>
    <row r="10" spans="1:12" ht="29.1" customHeight="1">
      <c r="A10" s="10" t="s">
        <v>1793</v>
      </c>
      <c r="B10" s="10" t="s">
        <v>131</v>
      </c>
      <c r="C10" s="10" t="s">
        <v>132</v>
      </c>
      <c r="D10" s="10" t="s">
        <v>1144</v>
      </c>
      <c r="E10" s="11" t="s">
        <v>1146</v>
      </c>
      <c r="F10" s="10">
        <v>9</v>
      </c>
      <c r="G10" s="11" t="s">
        <v>1676</v>
      </c>
      <c r="H10" s="11" t="s">
        <v>1794</v>
      </c>
      <c r="I10" s="10" t="s">
        <v>1774</v>
      </c>
      <c r="J10" s="10" t="s">
        <v>338</v>
      </c>
      <c r="K10" s="10" t="s">
        <v>623</v>
      </c>
      <c r="L10" s="11" t="s">
        <v>1779</v>
      </c>
    </row>
    <row r="11" spans="1:12" ht="29.1" customHeight="1">
      <c r="A11" s="10" t="s">
        <v>1795</v>
      </c>
      <c r="B11" s="10" t="s">
        <v>131</v>
      </c>
      <c r="C11" s="10" t="s">
        <v>132</v>
      </c>
      <c r="D11" s="10" t="s">
        <v>1150</v>
      </c>
      <c r="E11" s="11" t="s">
        <v>1152</v>
      </c>
      <c r="F11" s="10">
        <v>9</v>
      </c>
      <c r="G11" s="11" t="s">
        <v>1676</v>
      </c>
      <c r="H11" s="11" t="s">
        <v>1796</v>
      </c>
      <c r="I11" s="10" t="s">
        <v>1774</v>
      </c>
      <c r="J11" s="10" t="s">
        <v>338</v>
      </c>
      <c r="K11" s="10" t="s">
        <v>1593</v>
      </c>
      <c r="L11" s="11" t="s">
        <v>1797</v>
      </c>
    </row>
    <row r="12" spans="1:12" ht="29.1" customHeight="1">
      <c r="A12" s="10" t="s">
        <v>1798</v>
      </c>
      <c r="B12" s="10" t="s">
        <v>131</v>
      </c>
      <c r="C12" s="10" t="s">
        <v>132</v>
      </c>
      <c r="D12" s="10" t="s">
        <v>1162</v>
      </c>
      <c r="E12" s="11" t="s">
        <v>1164</v>
      </c>
      <c r="F12" s="10">
        <v>9</v>
      </c>
      <c r="G12" s="11" t="s">
        <v>1676</v>
      </c>
      <c r="H12" s="11" t="s">
        <v>1799</v>
      </c>
      <c r="I12" s="10" t="s">
        <v>1782</v>
      </c>
      <c r="J12" s="10" t="s">
        <v>1051</v>
      </c>
      <c r="K12" s="10" t="s">
        <v>566</v>
      </c>
      <c r="L12" s="11" t="s">
        <v>1783</v>
      </c>
    </row>
    <row r="13" spans="1:12" ht="43.5" customHeight="1">
      <c r="A13" s="10" t="s">
        <v>1800</v>
      </c>
      <c r="B13" s="10" t="s">
        <v>131</v>
      </c>
      <c r="C13" s="10" t="s">
        <v>132</v>
      </c>
      <c r="D13" s="10" t="s">
        <v>1168</v>
      </c>
      <c r="E13" s="11" t="s">
        <v>1170</v>
      </c>
      <c r="F13" s="10">
        <v>7</v>
      </c>
      <c r="G13" s="11" t="s">
        <v>304</v>
      </c>
      <c r="H13" s="11" t="s">
        <v>1801</v>
      </c>
      <c r="I13" s="10" t="s">
        <v>1774</v>
      </c>
      <c r="J13" s="10" t="s">
        <v>338</v>
      </c>
      <c r="K13" s="10" t="s">
        <v>1605</v>
      </c>
      <c r="L13" s="11" t="s">
        <v>1802</v>
      </c>
    </row>
    <row r="14" spans="1:12" ht="29.1" customHeight="1">
      <c r="A14" s="10" t="s">
        <v>1803</v>
      </c>
      <c r="B14" s="10" t="s">
        <v>131</v>
      </c>
      <c r="C14" s="10" t="s">
        <v>132</v>
      </c>
      <c r="D14" s="10" t="s">
        <v>1174</v>
      </c>
      <c r="E14" s="11" t="s">
        <v>1176</v>
      </c>
      <c r="F14" s="10">
        <v>9</v>
      </c>
      <c r="G14" s="11" t="s">
        <v>1676</v>
      </c>
      <c r="H14" s="11" t="s">
        <v>1804</v>
      </c>
      <c r="I14" s="10" t="s">
        <v>1782</v>
      </c>
      <c r="J14" s="10" t="s">
        <v>338</v>
      </c>
      <c r="K14" s="10" t="s">
        <v>560</v>
      </c>
      <c r="L14" s="11" t="s">
        <v>1805</v>
      </c>
    </row>
    <row r="15" spans="1:12" ht="29.1" customHeight="1">
      <c r="A15" s="10" t="s">
        <v>1806</v>
      </c>
      <c r="B15" s="10" t="s">
        <v>131</v>
      </c>
      <c r="C15" s="10" t="s">
        <v>132</v>
      </c>
      <c r="D15" s="10" t="s">
        <v>1180</v>
      </c>
      <c r="E15" s="11" t="s">
        <v>1182</v>
      </c>
      <c r="F15" s="10">
        <v>9</v>
      </c>
      <c r="G15" s="11" t="s">
        <v>1676</v>
      </c>
      <c r="H15" s="11" t="s">
        <v>1807</v>
      </c>
      <c r="I15" s="10" t="s">
        <v>1782</v>
      </c>
      <c r="J15" s="10" t="s">
        <v>1051</v>
      </c>
      <c r="K15" s="10" t="s">
        <v>1615</v>
      </c>
      <c r="L15" s="11" t="s">
        <v>1808</v>
      </c>
    </row>
    <row r="16" spans="1:12" ht="29.1" customHeight="1">
      <c r="A16" s="10" t="s">
        <v>1809</v>
      </c>
      <c r="B16" s="10" t="s">
        <v>161</v>
      </c>
      <c r="C16" s="10" t="s">
        <v>162</v>
      </c>
      <c r="D16" s="10" t="s">
        <v>1126</v>
      </c>
      <c r="E16" s="11" t="s">
        <v>1128</v>
      </c>
      <c r="F16" s="10">
        <v>9</v>
      </c>
      <c r="G16" s="11" t="s">
        <v>1676</v>
      </c>
      <c r="H16" s="11" t="s">
        <v>1810</v>
      </c>
      <c r="I16" s="10" t="s">
        <v>1774</v>
      </c>
      <c r="J16" s="10" t="s">
        <v>338</v>
      </c>
      <c r="K16" s="10" t="s">
        <v>1622</v>
      </c>
      <c r="L16" s="11" t="s">
        <v>1811</v>
      </c>
    </row>
    <row r="17" spans="1:12" ht="43.5" customHeight="1">
      <c r="A17" s="10" t="s">
        <v>1812</v>
      </c>
      <c r="B17" s="10" t="s">
        <v>161</v>
      </c>
      <c r="C17" s="10" t="s">
        <v>162</v>
      </c>
      <c r="D17" s="10" t="s">
        <v>1132</v>
      </c>
      <c r="E17" s="11" t="s">
        <v>1133</v>
      </c>
      <c r="F17" s="10">
        <v>8</v>
      </c>
      <c r="G17" s="11" t="s">
        <v>1641</v>
      </c>
      <c r="H17" s="11" t="s">
        <v>1813</v>
      </c>
      <c r="I17" s="10" t="s">
        <v>1774</v>
      </c>
      <c r="J17" s="10" t="s">
        <v>1051</v>
      </c>
      <c r="K17" s="10" t="s">
        <v>1628</v>
      </c>
      <c r="L17" s="11" t="s">
        <v>1786</v>
      </c>
    </row>
    <row r="18" spans="1:12" ht="43.5" customHeight="1">
      <c r="A18" s="10" t="s">
        <v>1814</v>
      </c>
      <c r="B18" s="10" t="s">
        <v>161</v>
      </c>
      <c r="C18" s="10" t="s">
        <v>162</v>
      </c>
      <c r="D18" s="10" t="s">
        <v>1137</v>
      </c>
      <c r="E18" s="11" t="s">
        <v>1139</v>
      </c>
      <c r="F18" s="10">
        <v>6</v>
      </c>
      <c r="G18" s="11" t="s">
        <v>1791</v>
      </c>
      <c r="H18" s="11" t="s">
        <v>1815</v>
      </c>
      <c r="I18" s="10" t="s">
        <v>1774</v>
      </c>
      <c r="J18" s="10" t="s">
        <v>1051</v>
      </c>
      <c r="K18" s="10" t="s">
        <v>666</v>
      </c>
      <c r="L18" s="11" t="s">
        <v>1816</v>
      </c>
    </row>
    <row r="19" spans="1:12" ht="43.5" customHeight="1">
      <c r="A19" s="10" t="s">
        <v>1817</v>
      </c>
      <c r="B19" s="10" t="s">
        <v>161</v>
      </c>
      <c r="C19" s="10" t="s">
        <v>162</v>
      </c>
      <c r="D19" s="10" t="s">
        <v>1207</v>
      </c>
      <c r="E19" s="11" t="s">
        <v>1209</v>
      </c>
      <c r="F19" s="10">
        <v>8</v>
      </c>
      <c r="G19" s="11" t="s">
        <v>1641</v>
      </c>
      <c r="H19" s="11" t="s">
        <v>1818</v>
      </c>
      <c r="I19" s="10" t="s">
        <v>1774</v>
      </c>
      <c r="J19" s="10" t="s">
        <v>338</v>
      </c>
      <c r="K19" s="10" t="s">
        <v>634</v>
      </c>
      <c r="L19" s="11" t="s">
        <v>1819</v>
      </c>
    </row>
    <row r="20" spans="1:12" ht="43.5" customHeight="1">
      <c r="A20" s="10" t="s">
        <v>1820</v>
      </c>
      <c r="B20" s="10" t="s">
        <v>161</v>
      </c>
      <c r="C20" s="10" t="s">
        <v>162</v>
      </c>
      <c r="D20" s="10" t="s">
        <v>1213</v>
      </c>
      <c r="E20" s="11" t="s">
        <v>1215</v>
      </c>
      <c r="F20" s="10">
        <v>7</v>
      </c>
      <c r="G20" s="11" t="s">
        <v>1641</v>
      </c>
      <c r="H20" s="11" t="s">
        <v>1821</v>
      </c>
      <c r="I20" s="10" t="s">
        <v>1774</v>
      </c>
      <c r="J20" s="10" t="s">
        <v>1051</v>
      </c>
      <c r="K20" s="10" t="s">
        <v>1645</v>
      </c>
      <c r="L20" s="11" t="s">
        <v>1822</v>
      </c>
    </row>
    <row r="21" spans="1:12" ht="43.5" customHeight="1">
      <c r="A21" s="10" t="s">
        <v>1823</v>
      </c>
      <c r="B21" s="10" t="s">
        <v>161</v>
      </c>
      <c r="C21" s="10" t="s">
        <v>162</v>
      </c>
      <c r="D21" s="10" t="s">
        <v>1219</v>
      </c>
      <c r="E21" s="11" t="s">
        <v>1221</v>
      </c>
      <c r="F21" s="10">
        <v>8</v>
      </c>
      <c r="G21" s="11" t="s">
        <v>1641</v>
      </c>
      <c r="H21" s="11" t="s">
        <v>1824</v>
      </c>
      <c r="I21" s="10" t="s">
        <v>1774</v>
      </c>
      <c r="J21" s="10" t="s">
        <v>338</v>
      </c>
      <c r="K21" s="10" t="s">
        <v>1825</v>
      </c>
      <c r="L21" s="11" t="s">
        <v>1826</v>
      </c>
    </row>
    <row r="22" spans="1:12">
      <c r="A22" s="10" t="s">
        <v>1827</v>
      </c>
      <c r="B22" s="10" t="s">
        <v>90</v>
      </c>
      <c r="C22" s="10" t="s">
        <v>91</v>
      </c>
      <c r="D22" s="10"/>
      <c r="E22" s="11" t="s">
        <v>91</v>
      </c>
      <c r="F22" s="10">
        <v>9</v>
      </c>
      <c r="G22" s="11" t="s">
        <v>96</v>
      </c>
      <c r="H22" s="11" t="s">
        <v>1828</v>
      </c>
      <c r="I22" s="10" t="s">
        <v>1829</v>
      </c>
      <c r="J22" s="10" t="s">
        <v>100</v>
      </c>
      <c r="K22" s="10"/>
      <c r="L22" s="11"/>
    </row>
    <row r="23" spans="1:12" ht="29.1" customHeight="1">
      <c r="A23" s="10" t="s">
        <v>1830</v>
      </c>
      <c r="B23" s="10" t="s">
        <v>90</v>
      </c>
      <c r="C23" s="10" t="s">
        <v>91</v>
      </c>
      <c r="D23" s="10" t="s">
        <v>1191</v>
      </c>
      <c r="E23" s="11" t="s">
        <v>1193</v>
      </c>
      <c r="F23" s="10">
        <v>9</v>
      </c>
      <c r="G23" s="11" t="s">
        <v>96</v>
      </c>
      <c r="H23" s="11" t="s">
        <v>1831</v>
      </c>
      <c r="I23" s="10" t="s">
        <v>1832</v>
      </c>
      <c r="J23" s="10" t="s">
        <v>769</v>
      </c>
      <c r="K23" s="10"/>
      <c r="L23" s="11"/>
    </row>
    <row r="24" spans="1:12">
      <c r="A24" s="10" t="s">
        <v>1833</v>
      </c>
      <c r="B24" s="10" t="s">
        <v>90</v>
      </c>
      <c r="C24" s="10" t="s">
        <v>91</v>
      </c>
      <c r="D24" s="10" t="s">
        <v>1225</v>
      </c>
      <c r="E24" s="11" t="s">
        <v>1227</v>
      </c>
      <c r="F24" s="10">
        <v>9</v>
      </c>
      <c r="G24" s="11" t="s">
        <v>1834</v>
      </c>
      <c r="H24" s="11" t="s">
        <v>1835</v>
      </c>
      <c r="I24" s="10" t="s">
        <v>1836</v>
      </c>
      <c r="J24" s="10" t="s">
        <v>769</v>
      </c>
      <c r="K24" s="10"/>
      <c r="L24" s="11"/>
    </row>
    <row r="25" spans="1:12" ht="29.1" customHeight="1">
      <c r="A25" s="10" t="s">
        <v>1837</v>
      </c>
      <c r="B25" s="10" t="s">
        <v>90</v>
      </c>
      <c r="C25" s="10" t="s">
        <v>91</v>
      </c>
      <c r="D25" s="10" t="s">
        <v>1230</v>
      </c>
      <c r="E25" s="11" t="s">
        <v>1232</v>
      </c>
      <c r="F25" s="10">
        <v>7</v>
      </c>
      <c r="G25" s="11" t="s">
        <v>1838</v>
      </c>
      <c r="H25" s="11" t="s">
        <v>1839</v>
      </c>
      <c r="I25" s="10" t="s">
        <v>1840</v>
      </c>
      <c r="J25" s="10" t="s">
        <v>1000</v>
      </c>
      <c r="K25" s="10"/>
      <c r="L25" s="11"/>
    </row>
    <row r="26" spans="1:12">
      <c r="A26" s="10" t="s">
        <v>1841</v>
      </c>
      <c r="B26" s="10" t="s">
        <v>90</v>
      </c>
      <c r="C26" s="10" t="s">
        <v>91</v>
      </c>
      <c r="D26" s="10" t="s">
        <v>1235</v>
      </c>
      <c r="E26" s="11" t="s">
        <v>1237</v>
      </c>
      <c r="F26" s="10">
        <v>6</v>
      </c>
      <c r="G26" s="11" t="s">
        <v>1838</v>
      </c>
      <c r="H26" s="11" t="s">
        <v>1842</v>
      </c>
      <c r="I26" s="10" t="s">
        <v>1843</v>
      </c>
      <c r="J26" s="10" t="s">
        <v>769</v>
      </c>
      <c r="K26" s="10"/>
      <c r="L26" s="11"/>
    </row>
    <row r="27" spans="1:12">
      <c r="A27" s="10" t="s">
        <v>1844</v>
      </c>
      <c r="B27" s="10" t="s">
        <v>90</v>
      </c>
      <c r="C27" s="10" t="s">
        <v>91</v>
      </c>
      <c r="D27" s="10"/>
      <c r="E27" s="11" t="s">
        <v>1676</v>
      </c>
      <c r="F27" s="10">
        <v>9</v>
      </c>
      <c r="G27" s="11" t="s">
        <v>96</v>
      </c>
      <c r="H27" s="11" t="s">
        <v>1845</v>
      </c>
      <c r="I27" s="10" t="s">
        <v>1846</v>
      </c>
      <c r="J27" s="10" t="s">
        <v>100</v>
      </c>
      <c r="K27" s="10"/>
      <c r="L27" s="11"/>
    </row>
    <row r="28" spans="1:12" ht="29.1" customHeight="1">
      <c r="A28" s="10" t="s">
        <v>1847</v>
      </c>
      <c r="B28" s="10" t="s">
        <v>102</v>
      </c>
      <c r="C28" s="10" t="s">
        <v>103</v>
      </c>
      <c r="D28" s="10"/>
      <c r="E28" s="11" t="s">
        <v>103</v>
      </c>
      <c r="F28" s="10">
        <v>9</v>
      </c>
      <c r="G28" s="11" t="s">
        <v>104</v>
      </c>
      <c r="H28" s="11" t="s">
        <v>1828</v>
      </c>
      <c r="I28" s="10" t="s">
        <v>1829</v>
      </c>
      <c r="J28" s="10" t="s">
        <v>107</v>
      </c>
      <c r="K28" s="10"/>
      <c r="L28" s="11"/>
    </row>
    <row r="29" spans="1:12" ht="29.1" customHeight="1">
      <c r="A29" s="10" t="s">
        <v>1848</v>
      </c>
      <c r="B29" s="10" t="s">
        <v>102</v>
      </c>
      <c r="C29" s="10" t="s">
        <v>103</v>
      </c>
      <c r="D29" s="10" t="s">
        <v>1249</v>
      </c>
      <c r="E29" s="11" t="s">
        <v>1251</v>
      </c>
      <c r="F29" s="10">
        <v>9</v>
      </c>
      <c r="G29" s="11" t="s">
        <v>275</v>
      </c>
      <c r="H29" s="11" t="s">
        <v>1849</v>
      </c>
      <c r="I29" s="10" t="s">
        <v>1850</v>
      </c>
      <c r="J29" s="10" t="s">
        <v>976</v>
      </c>
      <c r="K29" s="10"/>
      <c r="L29" s="11"/>
    </row>
    <row r="30" spans="1:12">
      <c r="A30" s="10" t="s">
        <v>1851</v>
      </c>
      <c r="B30" s="10" t="s">
        <v>102</v>
      </c>
      <c r="C30" s="10" t="s">
        <v>103</v>
      </c>
      <c r="D30" s="10" t="s">
        <v>1259</v>
      </c>
      <c r="E30" s="11" t="s">
        <v>1261</v>
      </c>
      <c r="F30" s="10">
        <v>9</v>
      </c>
      <c r="G30" s="11" t="s">
        <v>275</v>
      </c>
      <c r="H30" s="11" t="s">
        <v>1852</v>
      </c>
      <c r="I30" s="10" t="s">
        <v>1853</v>
      </c>
      <c r="J30" s="10" t="s">
        <v>982</v>
      </c>
      <c r="K30" s="10"/>
      <c r="L30" s="11"/>
    </row>
    <row r="31" spans="1:12" ht="29.1" customHeight="1">
      <c r="A31" s="10" t="s">
        <v>1854</v>
      </c>
      <c r="B31" s="10" t="s">
        <v>102</v>
      </c>
      <c r="C31" s="10" t="s">
        <v>103</v>
      </c>
      <c r="D31" s="10" t="s">
        <v>1264</v>
      </c>
      <c r="E31" s="11" t="s">
        <v>1266</v>
      </c>
      <c r="F31" s="10">
        <v>8</v>
      </c>
      <c r="G31" s="11" t="s">
        <v>165</v>
      </c>
      <c r="H31" s="11" t="s">
        <v>1855</v>
      </c>
      <c r="I31" s="10" t="s">
        <v>1856</v>
      </c>
      <c r="J31" s="10" t="s">
        <v>988</v>
      </c>
      <c r="K31" s="10"/>
      <c r="L31" s="11"/>
    </row>
    <row r="32" spans="1:12">
      <c r="A32" s="10" t="s">
        <v>1857</v>
      </c>
      <c r="B32" s="10" t="s">
        <v>102</v>
      </c>
      <c r="C32" s="10" t="s">
        <v>103</v>
      </c>
      <c r="D32" s="10" t="s">
        <v>1254</v>
      </c>
      <c r="E32" s="11" t="s">
        <v>1256</v>
      </c>
      <c r="F32" s="10">
        <v>9</v>
      </c>
      <c r="G32" s="11" t="s">
        <v>251</v>
      </c>
      <c r="H32" s="11" t="s">
        <v>1858</v>
      </c>
      <c r="I32" s="10" t="s">
        <v>1859</v>
      </c>
      <c r="J32" s="10" t="s">
        <v>107</v>
      </c>
      <c r="K32" s="10"/>
      <c r="L32" s="11"/>
    </row>
    <row r="33" spans="1:12" ht="29.1" customHeight="1">
      <c r="A33" s="10" t="s">
        <v>1860</v>
      </c>
      <c r="B33" s="10" t="s">
        <v>102</v>
      </c>
      <c r="C33" s="10" t="s">
        <v>103</v>
      </c>
      <c r="D33" s="10"/>
      <c r="E33" s="11" t="s">
        <v>1676</v>
      </c>
      <c r="F33" s="10">
        <v>9</v>
      </c>
      <c r="G33" s="11" t="s">
        <v>104</v>
      </c>
      <c r="H33" s="11" t="s">
        <v>1845</v>
      </c>
      <c r="I33" s="10" t="s">
        <v>1846</v>
      </c>
      <c r="J33" s="10" t="s">
        <v>107</v>
      </c>
      <c r="K33" s="10"/>
      <c r="L33" s="11"/>
    </row>
    <row r="34" spans="1:12" ht="29.1" customHeight="1">
      <c r="A34" s="10" t="s">
        <v>1861</v>
      </c>
      <c r="B34" s="10" t="s">
        <v>108</v>
      </c>
      <c r="C34" s="10" t="s">
        <v>109</v>
      </c>
      <c r="D34" s="10"/>
      <c r="E34" s="11" t="s">
        <v>109</v>
      </c>
      <c r="F34" s="10">
        <v>9</v>
      </c>
      <c r="G34" s="11" t="s">
        <v>112</v>
      </c>
      <c r="H34" s="11" t="s">
        <v>1828</v>
      </c>
      <c r="I34" s="10" t="s">
        <v>1829</v>
      </c>
      <c r="J34" s="10" t="s">
        <v>116</v>
      </c>
      <c r="K34" s="10"/>
      <c r="L34" s="11"/>
    </row>
    <row r="35" spans="1:12" ht="29.1" customHeight="1">
      <c r="A35" s="10" t="s">
        <v>1862</v>
      </c>
      <c r="B35" s="10" t="s">
        <v>108</v>
      </c>
      <c r="C35" s="10" t="s">
        <v>109</v>
      </c>
      <c r="D35" s="10" t="s">
        <v>1278</v>
      </c>
      <c r="E35" s="11" t="s">
        <v>1279</v>
      </c>
      <c r="F35" s="10">
        <v>9</v>
      </c>
      <c r="G35" s="11" t="s">
        <v>275</v>
      </c>
      <c r="H35" s="11" t="s">
        <v>1863</v>
      </c>
      <c r="I35" s="10" t="s">
        <v>1864</v>
      </c>
      <c r="J35" s="10" t="s">
        <v>769</v>
      </c>
      <c r="K35" s="10"/>
      <c r="L35" s="11"/>
    </row>
    <row r="36" spans="1:12">
      <c r="A36" s="10" t="s">
        <v>1865</v>
      </c>
      <c r="B36" s="10" t="s">
        <v>108</v>
      </c>
      <c r="C36" s="10" t="s">
        <v>109</v>
      </c>
      <c r="D36" s="10" t="s">
        <v>1274</v>
      </c>
      <c r="E36" s="11" t="s">
        <v>1275</v>
      </c>
      <c r="F36" s="10">
        <v>9</v>
      </c>
      <c r="G36" s="11" t="s">
        <v>275</v>
      </c>
      <c r="H36" s="11" t="s">
        <v>1866</v>
      </c>
      <c r="I36" s="10" t="s">
        <v>1867</v>
      </c>
      <c r="J36" s="10" t="s">
        <v>769</v>
      </c>
      <c r="K36" s="10"/>
      <c r="L36" s="11"/>
    </row>
    <row r="37" spans="1:12" ht="29.1" customHeight="1">
      <c r="A37" s="10" t="s">
        <v>1868</v>
      </c>
      <c r="B37" s="10" t="s">
        <v>108</v>
      </c>
      <c r="C37" s="10" t="s">
        <v>109</v>
      </c>
      <c r="D37" s="10" t="s">
        <v>1287</v>
      </c>
      <c r="E37" s="11" t="s">
        <v>1288</v>
      </c>
      <c r="F37" s="10">
        <v>7</v>
      </c>
      <c r="G37" s="11" t="s">
        <v>127</v>
      </c>
      <c r="H37" s="11" t="s">
        <v>1869</v>
      </c>
      <c r="I37" s="10" t="s">
        <v>1870</v>
      </c>
      <c r="J37" s="10" t="s">
        <v>965</v>
      </c>
      <c r="K37" s="10"/>
      <c r="L37" s="11"/>
    </row>
    <row r="38" spans="1:12" ht="29.1" customHeight="1">
      <c r="A38" s="10" t="s">
        <v>1871</v>
      </c>
      <c r="B38" s="10" t="s">
        <v>108</v>
      </c>
      <c r="C38" s="10" t="s">
        <v>109</v>
      </c>
      <c r="D38" s="10" t="s">
        <v>1291</v>
      </c>
      <c r="E38" s="11" t="s">
        <v>1293</v>
      </c>
      <c r="F38" s="10">
        <v>8</v>
      </c>
      <c r="G38" s="11" t="s">
        <v>165</v>
      </c>
      <c r="H38" s="11" t="s">
        <v>1872</v>
      </c>
      <c r="I38" s="10" t="s">
        <v>1873</v>
      </c>
      <c r="J38" s="10" t="s">
        <v>959</v>
      </c>
      <c r="K38" s="10"/>
      <c r="L38" s="11"/>
    </row>
    <row r="39" spans="1:12" ht="29.1" customHeight="1">
      <c r="A39" s="10" t="s">
        <v>1874</v>
      </c>
      <c r="B39" s="10" t="s">
        <v>108</v>
      </c>
      <c r="C39" s="10" t="s">
        <v>109</v>
      </c>
      <c r="D39" s="10"/>
      <c r="E39" s="11" t="s">
        <v>1676</v>
      </c>
      <c r="F39" s="10">
        <v>9</v>
      </c>
      <c r="G39" s="11" t="s">
        <v>112</v>
      </c>
      <c r="H39" s="11" t="s">
        <v>1845</v>
      </c>
      <c r="I39" s="10" t="s">
        <v>1846</v>
      </c>
      <c r="J39" s="10" t="s">
        <v>116</v>
      </c>
      <c r="K39" s="10"/>
      <c r="L39" s="11"/>
    </row>
    <row r="40" spans="1:12">
      <c r="A40" s="10" t="s">
        <v>1875</v>
      </c>
      <c r="B40" s="10" t="s">
        <v>124</v>
      </c>
      <c r="C40" s="10" t="s">
        <v>125</v>
      </c>
      <c r="D40" s="10"/>
      <c r="E40" s="11" t="s">
        <v>125</v>
      </c>
      <c r="F40" s="10">
        <v>8</v>
      </c>
      <c r="G40" s="11" t="s">
        <v>1876</v>
      </c>
      <c r="H40" s="11" t="s">
        <v>1828</v>
      </c>
      <c r="I40" s="10" t="s">
        <v>1829</v>
      </c>
      <c r="J40" s="10" t="s">
        <v>130</v>
      </c>
      <c r="K40" s="10"/>
      <c r="L40" s="11"/>
    </row>
    <row r="41" spans="1:12">
      <c r="A41" s="10" t="s">
        <v>1877</v>
      </c>
      <c r="B41" s="10" t="s">
        <v>124</v>
      </c>
      <c r="C41" s="10" t="s">
        <v>125</v>
      </c>
      <c r="D41" s="10" t="s">
        <v>1079</v>
      </c>
      <c r="E41" s="11" t="s">
        <v>1081</v>
      </c>
      <c r="F41" s="10">
        <v>8</v>
      </c>
      <c r="G41" s="11" t="s">
        <v>127</v>
      </c>
      <c r="H41" s="11" t="s">
        <v>1878</v>
      </c>
      <c r="I41" s="10" t="s">
        <v>1879</v>
      </c>
      <c r="J41" s="10" t="s">
        <v>130</v>
      </c>
      <c r="K41" s="10"/>
      <c r="L41" s="11"/>
    </row>
    <row r="42" spans="1:12">
      <c r="A42" s="10" t="s">
        <v>1880</v>
      </c>
      <c r="B42" s="10" t="s">
        <v>124</v>
      </c>
      <c r="C42" s="10" t="s">
        <v>125</v>
      </c>
      <c r="D42" s="10" t="s">
        <v>1086</v>
      </c>
      <c r="E42" s="11" t="s">
        <v>1088</v>
      </c>
      <c r="F42" s="10">
        <v>9</v>
      </c>
      <c r="G42" s="11" t="s">
        <v>127</v>
      </c>
      <c r="H42" s="11" t="s">
        <v>1881</v>
      </c>
      <c r="I42" s="10" t="s">
        <v>1882</v>
      </c>
      <c r="J42" s="10" t="s">
        <v>130</v>
      </c>
      <c r="K42" s="10"/>
      <c r="L42" s="11"/>
    </row>
    <row r="43" spans="1:12" ht="29.1" customHeight="1">
      <c r="A43" s="10" t="s">
        <v>1883</v>
      </c>
      <c r="B43" s="10" t="s">
        <v>124</v>
      </c>
      <c r="C43" s="10" t="s">
        <v>125</v>
      </c>
      <c r="D43" s="10" t="s">
        <v>1296</v>
      </c>
      <c r="E43" s="11" t="s">
        <v>1298</v>
      </c>
      <c r="F43" s="10">
        <v>8</v>
      </c>
      <c r="G43" s="11" t="s">
        <v>127</v>
      </c>
      <c r="H43" s="11" t="s">
        <v>1884</v>
      </c>
      <c r="I43" s="10" t="s">
        <v>1885</v>
      </c>
      <c r="J43" s="10" t="s">
        <v>130</v>
      </c>
      <c r="K43" s="10"/>
      <c r="L43" s="11"/>
    </row>
    <row r="44" spans="1:12">
      <c r="A44" s="10" t="s">
        <v>1886</v>
      </c>
      <c r="B44" s="10" t="s">
        <v>124</v>
      </c>
      <c r="C44" s="10" t="s">
        <v>125</v>
      </c>
      <c r="D44" s="10" t="s">
        <v>1301</v>
      </c>
      <c r="E44" s="11" t="s">
        <v>1303</v>
      </c>
      <c r="F44" s="10">
        <v>8</v>
      </c>
      <c r="G44" s="11" t="s">
        <v>127</v>
      </c>
      <c r="H44" s="11" t="s">
        <v>1887</v>
      </c>
      <c r="I44" s="10" t="s">
        <v>1888</v>
      </c>
      <c r="J44" s="10" t="s">
        <v>130</v>
      </c>
      <c r="K44" s="10"/>
      <c r="L44" s="11"/>
    </row>
    <row r="45" spans="1:12">
      <c r="A45" s="10" t="s">
        <v>1889</v>
      </c>
      <c r="B45" s="10" t="s">
        <v>124</v>
      </c>
      <c r="C45" s="10" t="s">
        <v>125</v>
      </c>
      <c r="D45" s="10"/>
      <c r="E45" s="11" t="s">
        <v>1676</v>
      </c>
      <c r="F45" s="10">
        <v>8</v>
      </c>
      <c r="G45" s="11" t="s">
        <v>1876</v>
      </c>
      <c r="H45" s="11" t="s">
        <v>1845</v>
      </c>
      <c r="I45" s="10" t="s">
        <v>1846</v>
      </c>
      <c r="J45" s="10" t="s">
        <v>130</v>
      </c>
      <c r="K45" s="10"/>
      <c r="L45" s="11"/>
    </row>
    <row r="46" spans="1:12" ht="29.1" customHeight="1">
      <c r="A46" s="10" t="s">
        <v>1890</v>
      </c>
      <c r="B46" s="10" t="s">
        <v>136</v>
      </c>
      <c r="C46" s="10" t="s">
        <v>137</v>
      </c>
      <c r="D46" s="10"/>
      <c r="E46" s="11" t="s">
        <v>137</v>
      </c>
      <c r="F46" s="10">
        <v>9</v>
      </c>
      <c r="G46" s="11" t="s">
        <v>1891</v>
      </c>
      <c r="H46" s="11" t="s">
        <v>1828</v>
      </c>
      <c r="I46" s="10" t="s">
        <v>1829</v>
      </c>
      <c r="J46" s="10" t="s">
        <v>142</v>
      </c>
      <c r="K46" s="10"/>
      <c r="L46" s="11"/>
    </row>
    <row r="47" spans="1:12" ht="29.1" customHeight="1">
      <c r="A47" s="10" t="s">
        <v>1892</v>
      </c>
      <c r="B47" s="10" t="s">
        <v>136</v>
      </c>
      <c r="C47" s="10" t="s">
        <v>137</v>
      </c>
      <c r="D47" s="10" t="s">
        <v>1320</v>
      </c>
      <c r="E47" s="11" t="s">
        <v>1322</v>
      </c>
      <c r="F47" s="10">
        <v>9</v>
      </c>
      <c r="G47" s="11" t="s">
        <v>1834</v>
      </c>
      <c r="H47" s="11" t="s">
        <v>1893</v>
      </c>
      <c r="I47" s="10" t="s">
        <v>1894</v>
      </c>
      <c r="J47" s="10" t="s">
        <v>738</v>
      </c>
      <c r="K47" s="10"/>
      <c r="L47" s="11"/>
    </row>
    <row r="48" spans="1:12">
      <c r="A48" s="10" t="s">
        <v>1895</v>
      </c>
      <c r="B48" s="10" t="s">
        <v>136</v>
      </c>
      <c r="C48" s="10" t="s">
        <v>137</v>
      </c>
      <c r="D48" s="10" t="s">
        <v>1330</v>
      </c>
      <c r="E48" s="11" t="s">
        <v>1332</v>
      </c>
      <c r="F48" s="10">
        <v>9</v>
      </c>
      <c r="G48" s="11" t="s">
        <v>165</v>
      </c>
      <c r="H48" s="11" t="s">
        <v>1896</v>
      </c>
      <c r="I48" s="10" t="s">
        <v>1897</v>
      </c>
      <c r="J48" s="10" t="s">
        <v>913</v>
      </c>
      <c r="K48" s="10"/>
      <c r="L48" s="11"/>
    </row>
    <row r="49" spans="1:12">
      <c r="A49" s="10" t="s">
        <v>1898</v>
      </c>
      <c r="B49" s="10" t="s">
        <v>136</v>
      </c>
      <c r="C49" s="10" t="s">
        <v>137</v>
      </c>
      <c r="D49" s="10" t="s">
        <v>1335</v>
      </c>
      <c r="E49" s="11" t="s">
        <v>1337</v>
      </c>
      <c r="F49" s="10">
        <v>9</v>
      </c>
      <c r="G49" s="11" t="s">
        <v>127</v>
      </c>
      <c r="H49" s="11" t="s">
        <v>1899</v>
      </c>
      <c r="I49" s="10" t="s">
        <v>1900</v>
      </c>
      <c r="J49" s="10" t="s">
        <v>738</v>
      </c>
      <c r="K49" s="10"/>
      <c r="L49" s="11"/>
    </row>
    <row r="50" spans="1:12">
      <c r="A50" s="10" t="s">
        <v>1901</v>
      </c>
      <c r="B50" s="10" t="s">
        <v>136</v>
      </c>
      <c r="C50" s="10" t="s">
        <v>137</v>
      </c>
      <c r="D50" s="10" t="s">
        <v>1340</v>
      </c>
      <c r="E50" s="11" t="s">
        <v>1342</v>
      </c>
      <c r="F50" s="10">
        <v>8</v>
      </c>
      <c r="G50" s="11" t="s">
        <v>165</v>
      </c>
      <c r="H50" s="11" t="s">
        <v>1902</v>
      </c>
      <c r="I50" s="10" t="s">
        <v>1843</v>
      </c>
      <c r="J50" s="10" t="s">
        <v>142</v>
      </c>
      <c r="K50" s="10"/>
      <c r="L50" s="11"/>
    </row>
    <row r="51" spans="1:12" ht="29.1" customHeight="1">
      <c r="A51" s="10" t="s">
        <v>1903</v>
      </c>
      <c r="B51" s="10" t="s">
        <v>136</v>
      </c>
      <c r="C51" s="10" t="s">
        <v>137</v>
      </c>
      <c r="D51" s="10"/>
      <c r="E51" s="11" t="s">
        <v>1676</v>
      </c>
      <c r="F51" s="10">
        <v>9</v>
      </c>
      <c r="G51" s="11" t="s">
        <v>1891</v>
      </c>
      <c r="H51" s="11" t="s">
        <v>1845</v>
      </c>
      <c r="I51" s="10" t="s">
        <v>1846</v>
      </c>
      <c r="J51" s="10" t="s">
        <v>142</v>
      </c>
      <c r="K51" s="10"/>
      <c r="L51" s="11"/>
    </row>
    <row r="52" spans="1:12" ht="29.1" customHeight="1">
      <c r="A52" s="10" t="s">
        <v>1904</v>
      </c>
      <c r="B52" s="10" t="s">
        <v>143</v>
      </c>
      <c r="C52" s="10" t="s">
        <v>144</v>
      </c>
      <c r="D52" s="10"/>
      <c r="E52" s="11" t="s">
        <v>144</v>
      </c>
      <c r="F52" s="10">
        <v>8</v>
      </c>
      <c r="G52" s="11" t="s">
        <v>1905</v>
      </c>
      <c r="H52" s="11" t="s">
        <v>1828</v>
      </c>
      <c r="I52" s="10" t="s">
        <v>1829</v>
      </c>
      <c r="J52" s="10" t="s">
        <v>149</v>
      </c>
      <c r="K52" s="10"/>
      <c r="L52" s="11"/>
    </row>
    <row r="53" spans="1:12">
      <c r="A53" s="10" t="s">
        <v>1906</v>
      </c>
      <c r="B53" s="10" t="s">
        <v>143</v>
      </c>
      <c r="C53" s="10" t="s">
        <v>144</v>
      </c>
      <c r="D53" s="10" t="s">
        <v>1350</v>
      </c>
      <c r="E53" s="11" t="s">
        <v>1352</v>
      </c>
      <c r="F53" s="10">
        <v>9</v>
      </c>
      <c r="G53" s="11" t="s">
        <v>275</v>
      </c>
      <c r="H53" s="11" t="s">
        <v>1907</v>
      </c>
      <c r="I53" s="10" t="s">
        <v>1908</v>
      </c>
      <c r="J53" s="10" t="s">
        <v>724</v>
      </c>
      <c r="K53" s="10"/>
      <c r="L53" s="11"/>
    </row>
    <row r="54" spans="1:12">
      <c r="A54" s="10" t="s">
        <v>1909</v>
      </c>
      <c r="B54" s="10" t="s">
        <v>143</v>
      </c>
      <c r="C54" s="10" t="s">
        <v>144</v>
      </c>
      <c r="D54" s="10" t="s">
        <v>1360</v>
      </c>
      <c r="E54" s="11" t="s">
        <v>1362</v>
      </c>
      <c r="F54" s="10">
        <v>9</v>
      </c>
      <c r="G54" s="11" t="s">
        <v>165</v>
      </c>
      <c r="H54" s="11" t="s">
        <v>1910</v>
      </c>
      <c r="I54" s="10" t="s">
        <v>1911</v>
      </c>
      <c r="J54" s="10" t="s">
        <v>800</v>
      </c>
      <c r="K54" s="10"/>
      <c r="L54" s="11"/>
    </row>
    <row r="55" spans="1:12">
      <c r="A55" s="10" t="s">
        <v>1912</v>
      </c>
      <c r="B55" s="10" t="s">
        <v>143</v>
      </c>
      <c r="C55" s="10" t="s">
        <v>144</v>
      </c>
      <c r="D55" s="10" t="s">
        <v>1365</v>
      </c>
      <c r="E55" s="11" t="s">
        <v>1367</v>
      </c>
      <c r="F55" s="10">
        <v>8</v>
      </c>
      <c r="G55" s="11" t="s">
        <v>165</v>
      </c>
      <c r="H55" s="11" t="s">
        <v>1913</v>
      </c>
      <c r="I55" s="10" t="s">
        <v>1914</v>
      </c>
      <c r="J55" s="10" t="s">
        <v>800</v>
      </c>
      <c r="K55" s="10"/>
      <c r="L55" s="11"/>
    </row>
    <row r="56" spans="1:12">
      <c r="A56" s="10" t="s">
        <v>1915</v>
      </c>
      <c r="B56" s="10" t="s">
        <v>143</v>
      </c>
      <c r="C56" s="10" t="s">
        <v>144</v>
      </c>
      <c r="D56" s="10" t="s">
        <v>1355</v>
      </c>
      <c r="E56" s="11" t="s">
        <v>1357</v>
      </c>
      <c r="F56" s="10">
        <v>7</v>
      </c>
      <c r="G56" s="11" t="s">
        <v>127</v>
      </c>
      <c r="H56" s="11" t="s">
        <v>1916</v>
      </c>
      <c r="I56" s="10" t="s">
        <v>1917</v>
      </c>
      <c r="J56" s="10" t="s">
        <v>724</v>
      </c>
      <c r="K56" s="10"/>
      <c r="L56" s="11"/>
    </row>
    <row r="57" spans="1:12" ht="29.1" customHeight="1">
      <c r="A57" s="10" t="s">
        <v>1918</v>
      </c>
      <c r="B57" s="10" t="s">
        <v>143</v>
      </c>
      <c r="C57" s="10" t="s">
        <v>144</v>
      </c>
      <c r="D57" s="10"/>
      <c r="E57" s="11" t="s">
        <v>1676</v>
      </c>
      <c r="F57" s="10">
        <v>8</v>
      </c>
      <c r="G57" s="11" t="s">
        <v>1905</v>
      </c>
      <c r="H57" s="11" t="s">
        <v>1845</v>
      </c>
      <c r="I57" s="10" t="s">
        <v>1846</v>
      </c>
      <c r="J57" s="10" t="s">
        <v>149</v>
      </c>
      <c r="K57" s="10"/>
      <c r="L57" s="11"/>
    </row>
    <row r="58" spans="1:12" ht="29.1" customHeight="1">
      <c r="A58" s="10" t="s">
        <v>1919</v>
      </c>
      <c r="B58" s="10" t="s">
        <v>150</v>
      </c>
      <c r="C58" s="10" t="s">
        <v>151</v>
      </c>
      <c r="D58" s="10"/>
      <c r="E58" s="11" t="s">
        <v>151</v>
      </c>
      <c r="F58" s="10">
        <v>8</v>
      </c>
      <c r="G58" s="11" t="s">
        <v>1920</v>
      </c>
      <c r="H58" s="11" t="s">
        <v>1828</v>
      </c>
      <c r="I58" s="10" t="s">
        <v>1829</v>
      </c>
      <c r="J58" s="10" t="s">
        <v>154</v>
      </c>
      <c r="K58" s="10"/>
      <c r="L58" s="11"/>
    </row>
    <row r="59" spans="1:12" ht="29.1" customHeight="1">
      <c r="A59" s="10" t="s">
        <v>1921</v>
      </c>
      <c r="B59" s="10" t="s">
        <v>150</v>
      </c>
      <c r="C59" s="10" t="s">
        <v>151</v>
      </c>
      <c r="D59" s="10" t="s">
        <v>1374</v>
      </c>
      <c r="E59" s="11" t="s">
        <v>1376</v>
      </c>
      <c r="F59" s="10">
        <v>8</v>
      </c>
      <c r="G59" s="11" t="s">
        <v>165</v>
      </c>
      <c r="H59" s="11" t="s">
        <v>1922</v>
      </c>
      <c r="I59" s="10" t="s">
        <v>1923</v>
      </c>
      <c r="J59" s="10" t="s">
        <v>791</v>
      </c>
      <c r="K59" s="10"/>
      <c r="L59" s="11"/>
    </row>
    <row r="60" spans="1:12">
      <c r="A60" s="10" t="s">
        <v>1924</v>
      </c>
      <c r="B60" s="10" t="s">
        <v>150</v>
      </c>
      <c r="C60" s="10" t="s">
        <v>151</v>
      </c>
      <c r="D60" s="10" t="s">
        <v>1379</v>
      </c>
      <c r="E60" s="11" t="s">
        <v>1380</v>
      </c>
      <c r="F60" s="10">
        <v>9</v>
      </c>
      <c r="G60" s="11" t="s">
        <v>275</v>
      </c>
      <c r="H60" s="11" t="s">
        <v>1925</v>
      </c>
      <c r="I60" s="10" t="s">
        <v>1926</v>
      </c>
      <c r="J60" s="10" t="s">
        <v>791</v>
      </c>
      <c r="K60" s="10"/>
      <c r="L60" s="11"/>
    </row>
    <row r="61" spans="1:12">
      <c r="A61" s="10" t="s">
        <v>1927</v>
      </c>
      <c r="B61" s="10" t="s">
        <v>150</v>
      </c>
      <c r="C61" s="10" t="s">
        <v>151</v>
      </c>
      <c r="D61" s="10" t="s">
        <v>1387</v>
      </c>
      <c r="E61" s="11" t="s">
        <v>1389</v>
      </c>
      <c r="F61" s="10">
        <v>6</v>
      </c>
      <c r="G61" s="11" t="s">
        <v>165</v>
      </c>
      <c r="H61" s="11" t="s">
        <v>1928</v>
      </c>
      <c r="I61" s="10" t="s">
        <v>1929</v>
      </c>
      <c r="J61" s="10" t="s">
        <v>896</v>
      </c>
      <c r="K61" s="10"/>
      <c r="L61" s="11"/>
    </row>
    <row r="62" spans="1:12">
      <c r="A62" s="10" t="s">
        <v>1930</v>
      </c>
      <c r="B62" s="10" t="s">
        <v>150</v>
      </c>
      <c r="C62" s="10" t="s">
        <v>151</v>
      </c>
      <c r="D62" s="10" t="s">
        <v>1392</v>
      </c>
      <c r="E62" s="11" t="s">
        <v>1393</v>
      </c>
      <c r="F62" s="10">
        <v>5</v>
      </c>
      <c r="G62" s="11" t="s">
        <v>165</v>
      </c>
      <c r="H62" s="11" t="s">
        <v>1931</v>
      </c>
      <c r="I62" s="10" t="s">
        <v>1843</v>
      </c>
      <c r="J62" s="10" t="s">
        <v>902</v>
      </c>
      <c r="K62" s="10"/>
      <c r="L62" s="11"/>
    </row>
    <row r="63" spans="1:12" ht="29.1" customHeight="1">
      <c r="A63" s="10" t="s">
        <v>1932</v>
      </c>
      <c r="B63" s="10" t="s">
        <v>150</v>
      </c>
      <c r="C63" s="10" t="s">
        <v>151</v>
      </c>
      <c r="D63" s="10"/>
      <c r="E63" s="11" t="s">
        <v>1676</v>
      </c>
      <c r="F63" s="10">
        <v>8</v>
      </c>
      <c r="G63" s="11" t="s">
        <v>1920</v>
      </c>
      <c r="H63" s="11" t="s">
        <v>1845</v>
      </c>
      <c r="I63" s="10" t="s">
        <v>1846</v>
      </c>
      <c r="J63" s="10" t="s">
        <v>154</v>
      </c>
      <c r="K63" s="10"/>
      <c r="L63" s="11"/>
    </row>
    <row r="64" spans="1:12" ht="43.5" customHeight="1">
      <c r="A64" s="10" t="s">
        <v>1933</v>
      </c>
      <c r="B64" s="10" t="s">
        <v>155</v>
      </c>
      <c r="C64" s="10" t="s">
        <v>156</v>
      </c>
      <c r="D64" s="10"/>
      <c r="E64" s="11" t="s">
        <v>156</v>
      </c>
      <c r="F64" s="10">
        <v>8</v>
      </c>
      <c r="G64" s="11" t="s">
        <v>1934</v>
      </c>
      <c r="H64" s="11" t="s">
        <v>1828</v>
      </c>
      <c r="I64" s="10" t="s">
        <v>1829</v>
      </c>
      <c r="J64" s="10" t="s">
        <v>160</v>
      </c>
      <c r="K64" s="10"/>
      <c r="L64" s="11"/>
    </row>
    <row r="65" spans="1:12" ht="29.1" customHeight="1">
      <c r="A65" s="10" t="s">
        <v>1935</v>
      </c>
      <c r="B65" s="10" t="s">
        <v>155</v>
      </c>
      <c r="C65" s="10" t="s">
        <v>156</v>
      </c>
      <c r="D65" s="10" t="s">
        <v>1121</v>
      </c>
      <c r="E65" s="11" t="s">
        <v>1123</v>
      </c>
      <c r="F65" s="10">
        <v>8</v>
      </c>
      <c r="G65" s="11" t="s">
        <v>127</v>
      </c>
      <c r="H65" s="11" t="s">
        <v>1936</v>
      </c>
      <c r="I65" s="10" t="s">
        <v>1937</v>
      </c>
      <c r="J65" s="10" t="s">
        <v>160</v>
      </c>
      <c r="K65" s="10"/>
      <c r="L65" s="11"/>
    </row>
    <row r="66" spans="1:12">
      <c r="A66" s="10" t="s">
        <v>1938</v>
      </c>
      <c r="B66" s="10" t="s">
        <v>155</v>
      </c>
      <c r="C66" s="10" t="s">
        <v>156</v>
      </c>
      <c r="D66" s="10" t="s">
        <v>1404</v>
      </c>
      <c r="E66" s="11" t="s">
        <v>1406</v>
      </c>
      <c r="F66" s="10">
        <v>9</v>
      </c>
      <c r="G66" s="11" t="s">
        <v>127</v>
      </c>
      <c r="H66" s="11" t="s">
        <v>1939</v>
      </c>
      <c r="I66" s="10" t="s">
        <v>1843</v>
      </c>
      <c r="J66" s="10" t="s">
        <v>759</v>
      </c>
      <c r="K66" s="10"/>
      <c r="L66" s="11"/>
    </row>
    <row r="67" spans="1:12" ht="29.1" customHeight="1">
      <c r="A67" s="10" t="s">
        <v>1940</v>
      </c>
      <c r="B67" s="10" t="s">
        <v>155</v>
      </c>
      <c r="C67" s="10" t="s">
        <v>156</v>
      </c>
      <c r="D67" s="10" t="s">
        <v>1409</v>
      </c>
      <c r="E67" s="11" t="s">
        <v>1760</v>
      </c>
      <c r="F67" s="10">
        <v>9</v>
      </c>
      <c r="G67" s="11" t="s">
        <v>275</v>
      </c>
      <c r="H67" s="11" t="s">
        <v>1941</v>
      </c>
      <c r="I67" s="10" t="s">
        <v>1843</v>
      </c>
      <c r="J67" s="10" t="s">
        <v>759</v>
      </c>
      <c r="K67" s="10"/>
      <c r="L67" s="11"/>
    </row>
    <row r="68" spans="1:12">
      <c r="A68" s="10" t="s">
        <v>1942</v>
      </c>
      <c r="B68" s="10" t="s">
        <v>155</v>
      </c>
      <c r="C68" s="10" t="s">
        <v>156</v>
      </c>
      <c r="D68" s="10" t="s">
        <v>1414</v>
      </c>
      <c r="E68" s="11" t="s">
        <v>1416</v>
      </c>
      <c r="F68" s="10">
        <v>6</v>
      </c>
      <c r="G68" s="11" t="s">
        <v>165</v>
      </c>
      <c r="H68" s="11" t="s">
        <v>1943</v>
      </c>
      <c r="I68" s="10" t="s">
        <v>1843</v>
      </c>
      <c r="J68" s="10" t="s">
        <v>819</v>
      </c>
      <c r="K68" s="10"/>
      <c r="L68" s="11"/>
    </row>
    <row r="69" spans="1:12" ht="43.5" customHeight="1">
      <c r="A69" s="10" t="s">
        <v>1944</v>
      </c>
      <c r="B69" s="10" t="s">
        <v>155</v>
      </c>
      <c r="C69" s="10" t="s">
        <v>156</v>
      </c>
      <c r="D69" s="10"/>
      <c r="E69" s="11" t="s">
        <v>1676</v>
      </c>
      <c r="F69" s="10">
        <v>8</v>
      </c>
      <c r="G69" s="11" t="s">
        <v>1934</v>
      </c>
      <c r="H69" s="11" t="s">
        <v>1845</v>
      </c>
      <c r="I69" s="10" t="s">
        <v>1846</v>
      </c>
      <c r="J69" s="10" t="s">
        <v>160</v>
      </c>
      <c r="K69" s="10"/>
      <c r="L69" s="11"/>
    </row>
    <row r="70" spans="1:12">
      <c r="A70" s="10"/>
      <c r="B70" s="10"/>
      <c r="C70" s="10"/>
      <c r="D70" s="10"/>
      <c r="E70" s="11"/>
      <c r="F70" s="10"/>
      <c r="G70" s="11"/>
      <c r="H70" s="11"/>
      <c r="I70" s="10"/>
      <c r="J70" s="10"/>
      <c r="K70" s="10"/>
      <c r="L70" s="11"/>
    </row>
    <row r="71" spans="1:12">
      <c r="A71" s="10"/>
      <c r="B71" s="10"/>
      <c r="C71" s="10"/>
      <c r="D71" s="10"/>
      <c r="E71" s="11"/>
      <c r="F71" s="10"/>
      <c r="G71" s="11"/>
      <c r="H71" s="11"/>
      <c r="I71" s="10"/>
      <c r="J71" s="10"/>
      <c r="K71" s="10"/>
      <c r="L71" s="11"/>
    </row>
    <row r="72" spans="1:12">
      <c r="A72" s="10"/>
      <c r="B72" s="10"/>
      <c r="C72" s="10"/>
      <c r="D72" s="10"/>
      <c r="E72" s="11"/>
      <c r="F72" s="10"/>
      <c r="G72" s="11"/>
      <c r="H72" s="11"/>
      <c r="I72" s="10"/>
      <c r="J72" s="10"/>
      <c r="K72" s="10"/>
      <c r="L72" s="11"/>
    </row>
    <row r="73" spans="1:12">
      <c r="A73" s="10"/>
      <c r="B73" s="10"/>
      <c r="C73" s="10"/>
      <c r="D73" s="10"/>
      <c r="E73" s="11"/>
      <c r="F73" s="10"/>
      <c r="G73" s="11"/>
      <c r="H73" s="11"/>
      <c r="I73" s="10"/>
      <c r="J73" s="10"/>
      <c r="K73" s="10"/>
      <c r="L73" s="11"/>
    </row>
    <row r="74" spans="1:12">
      <c r="A74" s="10"/>
      <c r="B74" s="10"/>
      <c r="C74" s="10"/>
      <c r="D74" s="10"/>
      <c r="E74" s="11"/>
      <c r="F74" s="10"/>
      <c r="G74" s="11"/>
      <c r="H74" s="11"/>
      <c r="I74" s="10"/>
      <c r="J74" s="10"/>
      <c r="K74" s="10"/>
      <c r="L74" s="11"/>
    </row>
    <row r="75" spans="1:12">
      <c r="A75" s="10"/>
      <c r="B75" s="10"/>
      <c r="C75" s="10"/>
      <c r="D75" s="10"/>
      <c r="E75" s="11"/>
      <c r="F75" s="10"/>
      <c r="G75" s="11"/>
      <c r="H75" s="11"/>
      <c r="I75" s="10"/>
      <c r="J75" s="10"/>
      <c r="K75" s="10"/>
      <c r="L75" s="11"/>
    </row>
    <row r="76" spans="1:12">
      <c r="A76" s="10"/>
      <c r="B76" s="10"/>
      <c r="C76" s="10"/>
      <c r="D76" s="10"/>
      <c r="E76" s="11"/>
      <c r="F76" s="10"/>
      <c r="G76" s="11"/>
      <c r="H76" s="11"/>
      <c r="I76" s="10"/>
      <c r="J76" s="10"/>
      <c r="K76" s="10"/>
      <c r="L76" s="11"/>
    </row>
    <row r="77" spans="1:12">
      <c r="A77" s="10"/>
      <c r="B77" s="10"/>
      <c r="C77" s="10"/>
      <c r="D77" s="10"/>
      <c r="E77" s="11"/>
      <c r="F77" s="10"/>
      <c r="G77" s="11"/>
      <c r="H77" s="11"/>
      <c r="I77" s="10"/>
      <c r="J77" s="10"/>
      <c r="K77" s="10"/>
      <c r="L77" s="11"/>
    </row>
    <row r="78" spans="1:12">
      <c r="A78" s="10"/>
      <c r="B78" s="10"/>
      <c r="C78" s="10"/>
      <c r="D78" s="10"/>
      <c r="E78" s="11"/>
      <c r="F78" s="10"/>
      <c r="G78" s="11"/>
      <c r="H78" s="11"/>
      <c r="I78" s="10"/>
      <c r="J78" s="10"/>
      <c r="K78" s="10"/>
      <c r="L78" s="11"/>
    </row>
    <row r="79" spans="1:12">
      <c r="A79" s="10"/>
      <c r="B79" s="10"/>
      <c r="C79" s="10"/>
      <c r="D79" s="10"/>
      <c r="E79" s="11"/>
      <c r="F79" s="10"/>
      <c r="G79" s="11"/>
      <c r="H79" s="11"/>
      <c r="I79" s="10"/>
      <c r="J79" s="10"/>
      <c r="K79" s="10"/>
      <c r="L79" s="11"/>
    </row>
    <row r="80" spans="1:12">
      <c r="A80" s="10"/>
      <c r="B80" s="10"/>
      <c r="C80" s="10"/>
      <c r="D80" s="10"/>
      <c r="E80" s="11"/>
      <c r="F80" s="10"/>
      <c r="G80" s="11"/>
      <c r="H80" s="11"/>
      <c r="I80" s="10"/>
      <c r="J80" s="10"/>
      <c r="K80" s="10"/>
      <c r="L80" s="11"/>
    </row>
    <row r="81" spans="1:12">
      <c r="A81" s="10"/>
      <c r="B81" s="10"/>
      <c r="C81" s="10"/>
      <c r="D81" s="10"/>
      <c r="E81" s="11"/>
      <c r="F81" s="10"/>
      <c r="G81" s="11"/>
      <c r="H81" s="11"/>
      <c r="I81" s="10"/>
      <c r="J81" s="10"/>
      <c r="K81" s="10"/>
      <c r="L81" s="11"/>
    </row>
    <row r="82" spans="1:12">
      <c r="A82" s="10"/>
      <c r="B82" s="10"/>
      <c r="C82" s="10"/>
      <c r="D82" s="10"/>
      <c r="E82" s="11"/>
      <c r="F82" s="10"/>
      <c r="G82" s="11"/>
      <c r="H82" s="11"/>
      <c r="I82" s="10"/>
      <c r="J82" s="10"/>
      <c r="K82" s="10"/>
      <c r="L82" s="11"/>
    </row>
    <row r="83" spans="1:12">
      <c r="A83" s="10"/>
      <c r="B83" s="10"/>
      <c r="C83" s="10"/>
      <c r="D83" s="10"/>
      <c r="E83" s="11"/>
      <c r="F83" s="10"/>
      <c r="G83" s="11"/>
      <c r="H83" s="11"/>
      <c r="I83" s="10"/>
      <c r="J83" s="10"/>
      <c r="K83" s="10"/>
      <c r="L83" s="11"/>
    </row>
    <row r="84" spans="1:12">
      <c r="A84" s="10"/>
      <c r="B84" s="10"/>
      <c r="C84" s="10"/>
      <c r="D84" s="10"/>
      <c r="E84" s="11"/>
      <c r="F84" s="10"/>
      <c r="G84" s="11"/>
      <c r="H84" s="11"/>
      <c r="I84" s="10"/>
      <c r="J84" s="10"/>
      <c r="K84" s="10"/>
      <c r="L84" s="11"/>
    </row>
    <row r="85" spans="1:12">
      <c r="A85" s="10"/>
      <c r="B85" s="10"/>
      <c r="C85" s="10"/>
      <c r="D85" s="10"/>
      <c r="E85" s="11"/>
      <c r="F85" s="10"/>
      <c r="G85" s="11"/>
      <c r="H85" s="11"/>
      <c r="I85" s="10"/>
      <c r="J85" s="10"/>
      <c r="K85" s="10"/>
      <c r="L85" s="11"/>
    </row>
    <row r="86" spans="1:12">
      <c r="A86" s="10"/>
      <c r="B86" s="10"/>
      <c r="C86" s="10"/>
      <c r="D86" s="10"/>
      <c r="E86" s="11"/>
      <c r="F86" s="10"/>
      <c r="G86" s="11"/>
      <c r="H86" s="11"/>
      <c r="I86" s="10"/>
      <c r="J86" s="10"/>
      <c r="K86" s="10"/>
      <c r="L86" s="11"/>
    </row>
    <row r="87" spans="1:12">
      <c r="A87" s="10"/>
      <c r="B87" s="10"/>
      <c r="C87" s="10"/>
      <c r="D87" s="10"/>
      <c r="E87" s="11"/>
      <c r="F87" s="10"/>
      <c r="G87" s="11"/>
      <c r="H87" s="11"/>
      <c r="I87" s="10"/>
      <c r="J87" s="10"/>
      <c r="K87" s="10"/>
      <c r="L87" s="11"/>
    </row>
    <row r="88" spans="1:12">
      <c r="A88" s="10"/>
      <c r="B88" s="10"/>
      <c r="C88" s="10"/>
      <c r="D88" s="10"/>
      <c r="E88" s="11"/>
      <c r="F88" s="10"/>
      <c r="G88" s="11"/>
      <c r="H88" s="11"/>
      <c r="I88" s="10"/>
      <c r="J88" s="10"/>
      <c r="K88" s="10"/>
      <c r="L88" s="11"/>
    </row>
    <row r="89" spans="1:12">
      <c r="A89" s="10"/>
      <c r="B89" s="10"/>
      <c r="C89" s="10"/>
      <c r="D89" s="10"/>
      <c r="E89" s="11"/>
      <c r="F89" s="10"/>
      <c r="G89" s="11"/>
      <c r="H89" s="11"/>
      <c r="I89" s="10"/>
      <c r="J89" s="10"/>
      <c r="K89" s="10"/>
      <c r="L89" s="11"/>
    </row>
    <row r="90" spans="1:12">
      <c r="A90" s="10"/>
      <c r="B90" s="10"/>
      <c r="C90" s="10"/>
      <c r="D90" s="10"/>
      <c r="E90" s="11"/>
      <c r="F90" s="10"/>
      <c r="G90" s="11"/>
      <c r="H90" s="11"/>
      <c r="I90" s="10"/>
      <c r="J90" s="10"/>
      <c r="K90" s="10"/>
      <c r="L90" s="11"/>
    </row>
    <row r="91" spans="1:12">
      <c r="A91" s="10"/>
      <c r="B91" s="10"/>
      <c r="C91" s="10"/>
      <c r="D91" s="10"/>
      <c r="E91" s="11"/>
      <c r="F91" s="10"/>
      <c r="G91" s="11"/>
      <c r="H91" s="11"/>
      <c r="I91" s="10"/>
      <c r="J91" s="10"/>
      <c r="K91" s="10"/>
      <c r="L91" s="11"/>
    </row>
    <row r="92" spans="1:12">
      <c r="A92" s="10"/>
      <c r="B92" s="10"/>
      <c r="C92" s="10"/>
      <c r="D92" s="10"/>
      <c r="E92" s="11"/>
      <c r="F92" s="10"/>
      <c r="G92" s="11"/>
      <c r="H92" s="11"/>
      <c r="I92" s="10"/>
      <c r="J92" s="10"/>
      <c r="K92" s="10"/>
      <c r="L92" s="11"/>
    </row>
    <row r="93" spans="1:12">
      <c r="A93" s="10"/>
      <c r="B93" s="10"/>
      <c r="C93" s="10"/>
      <c r="D93" s="10"/>
      <c r="E93" s="11"/>
      <c r="F93" s="10"/>
      <c r="G93" s="11"/>
      <c r="H93" s="11"/>
      <c r="I93" s="10"/>
      <c r="J93" s="10"/>
      <c r="K93" s="10"/>
      <c r="L93" s="11"/>
    </row>
    <row r="94" spans="1:12">
      <c r="A94" s="10"/>
      <c r="B94" s="10"/>
      <c r="C94" s="10"/>
      <c r="D94" s="10"/>
      <c r="E94" s="11"/>
      <c r="F94" s="10"/>
      <c r="G94" s="11"/>
      <c r="H94" s="11"/>
      <c r="I94" s="10"/>
      <c r="J94" s="10"/>
      <c r="K94" s="10"/>
      <c r="L94" s="11"/>
    </row>
    <row r="95" spans="1:12">
      <c r="A95" s="10"/>
      <c r="B95" s="10"/>
      <c r="C95" s="10"/>
      <c r="D95" s="10"/>
      <c r="E95" s="11"/>
      <c r="F95" s="10"/>
      <c r="G95" s="11"/>
      <c r="H95" s="11"/>
      <c r="I95" s="10"/>
      <c r="J95" s="10"/>
      <c r="K95" s="10"/>
      <c r="L95" s="11"/>
    </row>
    <row r="96" spans="1:12">
      <c r="A96" s="10"/>
      <c r="B96" s="10"/>
      <c r="C96" s="10"/>
      <c r="D96" s="10"/>
      <c r="E96" s="11"/>
      <c r="F96" s="10"/>
      <c r="G96" s="11"/>
      <c r="H96" s="11"/>
      <c r="I96" s="10"/>
      <c r="J96" s="10"/>
      <c r="K96" s="10"/>
      <c r="L96" s="11"/>
    </row>
    <row r="97" spans="1:12">
      <c r="A97" s="10"/>
      <c r="B97" s="10"/>
      <c r="C97" s="10"/>
      <c r="D97" s="10"/>
      <c r="E97" s="11"/>
      <c r="F97" s="10"/>
      <c r="G97" s="11"/>
      <c r="H97" s="11"/>
      <c r="I97" s="10"/>
      <c r="J97" s="10"/>
      <c r="K97" s="10"/>
      <c r="L97" s="11"/>
    </row>
    <row r="98" spans="1:12">
      <c r="A98" s="10"/>
      <c r="B98" s="10"/>
      <c r="C98" s="10"/>
      <c r="D98" s="10"/>
      <c r="E98" s="11"/>
      <c r="F98" s="10"/>
      <c r="G98" s="11"/>
      <c r="H98" s="11"/>
      <c r="I98" s="10"/>
      <c r="J98" s="10"/>
      <c r="K98" s="10"/>
      <c r="L98" s="11"/>
    </row>
    <row r="99" spans="1:12">
      <c r="A99" s="10"/>
      <c r="B99" s="10"/>
      <c r="C99" s="10"/>
      <c r="D99" s="10"/>
      <c r="E99" s="11"/>
      <c r="F99" s="10"/>
      <c r="G99" s="11"/>
      <c r="H99" s="11"/>
      <c r="I99" s="10"/>
      <c r="J99" s="10"/>
      <c r="K99" s="10"/>
      <c r="L99" s="11"/>
    </row>
    <row r="100" spans="1:12">
      <c r="A100" s="10"/>
      <c r="B100" s="10"/>
      <c r="C100" s="10"/>
      <c r="D100" s="10"/>
      <c r="E100" s="11"/>
      <c r="F100" s="10"/>
      <c r="G100" s="11"/>
      <c r="H100" s="11"/>
      <c r="I100" s="10"/>
      <c r="J100" s="10"/>
      <c r="K100" s="10"/>
      <c r="L100" s="11"/>
    </row>
    <row r="101" spans="1:12">
      <c r="A101" s="10"/>
      <c r="B101" s="10"/>
      <c r="C101" s="10"/>
      <c r="D101" s="10"/>
      <c r="E101" s="11"/>
      <c r="F101" s="10"/>
      <c r="G101" s="11"/>
      <c r="H101" s="11"/>
      <c r="I101" s="10"/>
      <c r="J101" s="10"/>
      <c r="K101" s="10"/>
      <c r="L101" s="11"/>
    </row>
    <row r="102" spans="1:12">
      <c r="A102" s="10"/>
      <c r="B102" s="10"/>
      <c r="C102" s="10"/>
      <c r="D102" s="10"/>
      <c r="E102" s="11"/>
      <c r="F102" s="10"/>
      <c r="G102" s="11"/>
      <c r="H102" s="11"/>
      <c r="I102" s="10"/>
      <c r="J102" s="10"/>
      <c r="K102" s="10"/>
      <c r="L102" s="11"/>
    </row>
    <row r="103" spans="1:12">
      <c r="A103" s="10"/>
      <c r="B103" s="10"/>
      <c r="C103" s="10"/>
      <c r="D103" s="10"/>
      <c r="E103" s="11"/>
      <c r="F103" s="10"/>
      <c r="G103" s="11"/>
      <c r="H103" s="11"/>
      <c r="I103" s="10"/>
      <c r="J103" s="10"/>
      <c r="K103" s="10"/>
      <c r="L103" s="11"/>
    </row>
    <row r="104" spans="1:12">
      <c r="A104" s="10"/>
      <c r="B104" s="10"/>
      <c r="C104" s="10"/>
      <c r="D104" s="10"/>
      <c r="E104" s="11"/>
      <c r="F104" s="10"/>
      <c r="G104" s="11"/>
      <c r="H104" s="11"/>
      <c r="I104" s="10"/>
      <c r="J104" s="10"/>
      <c r="K104" s="10"/>
      <c r="L104" s="11"/>
    </row>
    <row r="105" spans="1:12">
      <c r="A105" s="10"/>
      <c r="B105" s="10"/>
      <c r="C105" s="10"/>
      <c r="D105" s="10"/>
      <c r="E105" s="11"/>
      <c r="F105" s="10"/>
      <c r="G105" s="11"/>
      <c r="H105" s="11"/>
      <c r="I105" s="10"/>
      <c r="J105" s="10"/>
      <c r="K105" s="10"/>
      <c r="L105" s="11"/>
    </row>
    <row r="106" spans="1:12">
      <c r="A106" s="10"/>
      <c r="B106" s="10"/>
      <c r="C106" s="10"/>
      <c r="D106" s="10"/>
      <c r="E106" s="11"/>
      <c r="F106" s="10"/>
      <c r="G106" s="11"/>
      <c r="H106" s="11"/>
      <c r="I106" s="10"/>
      <c r="J106" s="10"/>
      <c r="K106" s="10"/>
      <c r="L106" s="11"/>
    </row>
    <row r="107" spans="1:12">
      <c r="A107" s="10"/>
      <c r="B107" s="10"/>
      <c r="C107" s="10"/>
      <c r="D107" s="10"/>
      <c r="E107" s="11"/>
      <c r="F107" s="10"/>
      <c r="G107" s="11"/>
      <c r="H107" s="11"/>
      <c r="I107" s="10"/>
      <c r="J107" s="10"/>
      <c r="K107" s="10"/>
      <c r="L107" s="11"/>
    </row>
    <row r="108" spans="1:12">
      <c r="A108" s="10"/>
      <c r="B108" s="10"/>
      <c r="C108" s="10"/>
      <c r="D108" s="10"/>
      <c r="E108" s="11"/>
      <c r="F108" s="10"/>
      <c r="G108" s="11"/>
      <c r="H108" s="11"/>
      <c r="I108" s="10"/>
      <c r="J108" s="10"/>
      <c r="K108" s="10"/>
      <c r="L108" s="11"/>
    </row>
    <row r="109" spans="1:12">
      <c r="A109" s="10"/>
      <c r="B109" s="10"/>
      <c r="C109" s="10"/>
      <c r="D109" s="10"/>
      <c r="E109" s="11"/>
      <c r="F109" s="10"/>
      <c r="G109" s="11"/>
      <c r="H109" s="11"/>
      <c r="I109" s="10"/>
      <c r="J109" s="10"/>
      <c r="K109" s="10"/>
      <c r="L109" s="11"/>
    </row>
    <row r="110" spans="1:12">
      <c r="A110" s="10"/>
      <c r="B110" s="10"/>
      <c r="C110" s="10"/>
      <c r="D110" s="10"/>
      <c r="E110" s="11"/>
      <c r="F110" s="10"/>
      <c r="G110" s="11"/>
      <c r="H110" s="11"/>
      <c r="I110" s="10"/>
      <c r="J110" s="10"/>
      <c r="K110" s="10"/>
      <c r="L110" s="11"/>
    </row>
    <row r="111" spans="1:12">
      <c r="A111" s="10"/>
      <c r="B111" s="10"/>
      <c r="C111" s="10"/>
      <c r="D111" s="10"/>
      <c r="E111" s="11"/>
      <c r="F111" s="10"/>
      <c r="G111" s="11"/>
      <c r="H111" s="11"/>
      <c r="I111" s="10"/>
      <c r="J111" s="10"/>
      <c r="K111" s="10"/>
      <c r="L111" s="11"/>
    </row>
    <row r="112" spans="1:12">
      <c r="A112" s="10"/>
      <c r="B112" s="10"/>
      <c r="C112" s="10"/>
      <c r="D112" s="10"/>
      <c r="E112" s="11"/>
      <c r="F112" s="10"/>
      <c r="G112" s="11"/>
      <c r="H112" s="11"/>
      <c r="I112" s="10"/>
      <c r="J112" s="10"/>
      <c r="K112" s="10"/>
      <c r="L112" s="11"/>
    </row>
    <row r="113" spans="1:12">
      <c r="A113" s="10"/>
      <c r="B113" s="10"/>
      <c r="C113" s="10"/>
      <c r="D113" s="10"/>
      <c r="E113" s="11"/>
      <c r="F113" s="10"/>
      <c r="G113" s="11"/>
      <c r="H113" s="11"/>
      <c r="I113" s="10"/>
      <c r="J113" s="10"/>
      <c r="K113" s="10"/>
      <c r="L113" s="11"/>
    </row>
    <row r="114" spans="1:12">
      <c r="A114" s="10"/>
      <c r="B114" s="10"/>
      <c r="C114" s="10"/>
      <c r="D114" s="10"/>
      <c r="E114" s="11"/>
      <c r="F114" s="10"/>
      <c r="G114" s="11"/>
      <c r="H114" s="11"/>
      <c r="I114" s="10"/>
      <c r="J114" s="10"/>
      <c r="K114" s="10"/>
      <c r="L114" s="11"/>
    </row>
    <row r="115" spans="1:12">
      <c r="A115" s="10"/>
      <c r="B115" s="10"/>
      <c r="C115" s="10"/>
      <c r="D115" s="10"/>
      <c r="E115" s="11"/>
      <c r="F115" s="10"/>
      <c r="G115" s="11"/>
      <c r="H115" s="11"/>
      <c r="I115" s="10"/>
      <c r="J115" s="10"/>
      <c r="K115" s="10"/>
      <c r="L115" s="11"/>
    </row>
    <row r="116" spans="1:12">
      <c r="A116" s="10"/>
      <c r="B116" s="10"/>
      <c r="C116" s="10"/>
      <c r="D116" s="10"/>
      <c r="E116" s="11"/>
      <c r="F116" s="10"/>
      <c r="G116" s="11"/>
      <c r="H116" s="11"/>
      <c r="I116" s="10"/>
      <c r="J116" s="10"/>
      <c r="K116" s="10"/>
      <c r="L116" s="11"/>
    </row>
    <row r="117" spans="1:12">
      <c r="A117" s="10"/>
      <c r="B117" s="10"/>
      <c r="C117" s="10"/>
      <c r="D117" s="10"/>
      <c r="E117" s="11"/>
      <c r="F117" s="10"/>
      <c r="G117" s="11"/>
      <c r="H117" s="11"/>
      <c r="I117" s="10"/>
      <c r="J117" s="10"/>
      <c r="K117" s="10"/>
      <c r="L117" s="11"/>
    </row>
    <row r="118" spans="1:12">
      <c r="A118" s="10"/>
      <c r="B118" s="10"/>
      <c r="C118" s="10"/>
      <c r="D118" s="10"/>
      <c r="E118" s="11"/>
      <c r="F118" s="10"/>
      <c r="G118" s="11"/>
      <c r="H118" s="11"/>
      <c r="I118" s="10"/>
      <c r="J118" s="10"/>
      <c r="K118" s="10"/>
      <c r="L118" s="11"/>
    </row>
    <row r="119" spans="1:12">
      <c r="A119" s="10"/>
      <c r="B119" s="10"/>
      <c r="C119" s="10"/>
      <c r="D119" s="10"/>
      <c r="E119" s="11"/>
      <c r="F119" s="10"/>
      <c r="G119" s="11"/>
      <c r="H119" s="11"/>
      <c r="I119" s="10"/>
      <c r="J119" s="10"/>
      <c r="K119" s="10"/>
      <c r="L119" s="11"/>
    </row>
    <row r="120" spans="1:12">
      <c r="A120" s="10"/>
      <c r="B120" s="10"/>
      <c r="C120" s="10"/>
      <c r="D120" s="10"/>
      <c r="E120" s="11"/>
      <c r="F120" s="10"/>
      <c r="G120" s="11"/>
      <c r="H120" s="11"/>
      <c r="I120" s="10"/>
      <c r="J120" s="10"/>
      <c r="K120" s="10"/>
      <c r="L120" s="11"/>
    </row>
    <row r="121" spans="1:12">
      <c r="A121" s="10"/>
      <c r="B121" s="10"/>
      <c r="C121" s="10"/>
      <c r="D121" s="10"/>
      <c r="E121" s="11"/>
      <c r="F121" s="10"/>
      <c r="G121" s="11"/>
      <c r="H121" s="11"/>
      <c r="I121" s="10"/>
      <c r="J121" s="10"/>
      <c r="K121" s="10"/>
      <c r="L121" s="11"/>
    </row>
    <row r="122" spans="1:12">
      <c r="A122" s="10"/>
      <c r="B122" s="10"/>
      <c r="C122" s="10"/>
      <c r="D122" s="10"/>
      <c r="E122" s="11"/>
      <c r="F122" s="10"/>
      <c r="G122" s="11"/>
      <c r="H122" s="11"/>
      <c r="I122" s="10"/>
      <c r="J122" s="10"/>
      <c r="K122" s="10"/>
      <c r="L122" s="11"/>
    </row>
    <row r="123" spans="1:12">
      <c r="A123" s="10"/>
      <c r="B123" s="10"/>
      <c r="C123" s="10"/>
      <c r="D123" s="10"/>
      <c r="E123" s="11"/>
      <c r="F123" s="10"/>
      <c r="G123" s="11"/>
      <c r="H123" s="11"/>
      <c r="I123" s="10"/>
      <c r="J123" s="10"/>
      <c r="K123" s="10"/>
      <c r="L123" s="11"/>
    </row>
    <row r="124" spans="1:12">
      <c r="A124" s="10"/>
      <c r="B124" s="10"/>
      <c r="C124" s="10"/>
      <c r="D124" s="10"/>
      <c r="E124" s="11"/>
      <c r="F124" s="10"/>
      <c r="G124" s="11"/>
      <c r="H124" s="11"/>
      <c r="I124" s="10"/>
      <c r="J124" s="10"/>
      <c r="K124" s="10"/>
      <c r="L124" s="11"/>
    </row>
    <row r="125" spans="1:12">
      <c r="A125" s="10"/>
      <c r="B125" s="10"/>
      <c r="C125" s="10"/>
      <c r="D125" s="10"/>
      <c r="E125" s="11"/>
      <c r="F125" s="10"/>
      <c r="G125" s="11"/>
      <c r="H125" s="11"/>
      <c r="I125" s="10"/>
      <c r="J125" s="10"/>
      <c r="K125" s="10"/>
      <c r="L125" s="11"/>
    </row>
    <row r="126" spans="1:12">
      <c r="A126" s="10"/>
      <c r="B126" s="10"/>
      <c r="C126" s="10"/>
      <c r="D126" s="10"/>
      <c r="E126" s="11"/>
      <c r="F126" s="10"/>
      <c r="G126" s="11"/>
      <c r="H126" s="11"/>
      <c r="I126" s="10"/>
      <c r="J126" s="10"/>
      <c r="K126" s="10"/>
      <c r="L126" s="11"/>
    </row>
    <row r="127" spans="1:12">
      <c r="A127" s="10"/>
      <c r="B127" s="10"/>
      <c r="C127" s="10"/>
      <c r="D127" s="10"/>
      <c r="E127" s="11"/>
      <c r="F127" s="10"/>
      <c r="G127" s="11"/>
      <c r="H127" s="11"/>
      <c r="I127" s="10"/>
      <c r="J127" s="10"/>
      <c r="K127" s="10"/>
      <c r="L127" s="11"/>
    </row>
    <row r="128" spans="1:12">
      <c r="A128" s="10"/>
      <c r="B128" s="10"/>
      <c r="C128" s="10"/>
      <c r="D128" s="10"/>
      <c r="E128" s="11"/>
      <c r="F128" s="10"/>
      <c r="G128" s="11"/>
      <c r="H128" s="11"/>
      <c r="I128" s="10"/>
      <c r="J128" s="10"/>
      <c r="K128" s="10"/>
      <c r="L128" s="11"/>
    </row>
    <row r="129" spans="1:12">
      <c r="A129" s="10"/>
      <c r="B129" s="10"/>
      <c r="C129" s="10"/>
      <c r="D129" s="10"/>
      <c r="E129" s="11"/>
      <c r="F129" s="10"/>
      <c r="G129" s="11"/>
      <c r="H129" s="11"/>
      <c r="I129" s="10"/>
      <c r="J129" s="10"/>
      <c r="K129" s="10"/>
      <c r="L129" s="11"/>
    </row>
    <row r="130" spans="1:12">
      <c r="A130" s="10"/>
      <c r="B130" s="10"/>
      <c r="C130" s="10"/>
      <c r="D130" s="10"/>
      <c r="E130" s="11"/>
      <c r="F130" s="10"/>
      <c r="G130" s="11"/>
      <c r="H130" s="11"/>
      <c r="I130" s="10"/>
      <c r="J130" s="10"/>
      <c r="K130" s="10"/>
      <c r="L130" s="11"/>
    </row>
    <row r="131" spans="1:12">
      <c r="A131" s="10"/>
      <c r="B131" s="10"/>
      <c r="C131" s="10"/>
      <c r="D131" s="10"/>
      <c r="E131" s="11"/>
      <c r="F131" s="10"/>
      <c r="G131" s="11"/>
      <c r="H131" s="11"/>
      <c r="I131" s="10"/>
      <c r="J131" s="10"/>
      <c r="K131" s="10"/>
      <c r="L131" s="11"/>
    </row>
    <row r="132" spans="1:12">
      <c r="A132" s="10"/>
      <c r="B132" s="10"/>
      <c r="C132" s="10"/>
      <c r="D132" s="10"/>
      <c r="E132" s="11"/>
      <c r="F132" s="10"/>
      <c r="G132" s="11"/>
      <c r="H132" s="11"/>
      <c r="I132" s="10"/>
      <c r="J132" s="10"/>
      <c r="K132" s="10"/>
      <c r="L132" s="11"/>
    </row>
    <row r="133" spans="1:12">
      <c r="A133" s="10"/>
      <c r="B133" s="10"/>
      <c r="C133" s="10"/>
      <c r="D133" s="10"/>
      <c r="E133" s="11"/>
      <c r="F133" s="10"/>
      <c r="G133" s="11"/>
      <c r="H133" s="11"/>
      <c r="I133" s="10"/>
      <c r="J133" s="10"/>
      <c r="K133" s="10"/>
      <c r="L133" s="11"/>
    </row>
    <row r="134" spans="1:12">
      <c r="A134" s="10"/>
      <c r="B134" s="10"/>
      <c r="C134" s="10"/>
      <c r="D134" s="10"/>
      <c r="E134" s="11"/>
      <c r="F134" s="10"/>
      <c r="G134" s="11"/>
      <c r="H134" s="11"/>
      <c r="I134" s="10"/>
      <c r="J134" s="10"/>
      <c r="K134" s="10"/>
      <c r="L134" s="11"/>
    </row>
    <row r="135" spans="1:12">
      <c r="A135" s="10"/>
      <c r="B135" s="10"/>
      <c r="C135" s="10"/>
      <c r="D135" s="10"/>
      <c r="E135" s="11"/>
      <c r="F135" s="10"/>
      <c r="G135" s="11"/>
      <c r="H135" s="11"/>
      <c r="I135" s="10"/>
      <c r="J135" s="10"/>
      <c r="K135" s="10"/>
      <c r="L135" s="11"/>
    </row>
    <row r="136" spans="1:12">
      <c r="A136" s="10"/>
      <c r="B136" s="10"/>
      <c r="C136" s="10"/>
      <c r="D136" s="10"/>
      <c r="E136" s="11"/>
      <c r="F136" s="10"/>
      <c r="G136" s="11"/>
      <c r="H136" s="11"/>
      <c r="I136" s="10"/>
      <c r="J136" s="10"/>
      <c r="K136" s="10"/>
      <c r="L136" s="11"/>
    </row>
    <row r="137" spans="1:12">
      <c r="A137" s="10"/>
      <c r="B137" s="10"/>
      <c r="C137" s="10"/>
      <c r="D137" s="10"/>
      <c r="E137" s="11"/>
      <c r="F137" s="10"/>
      <c r="G137" s="11"/>
      <c r="H137" s="11"/>
      <c r="I137" s="10"/>
      <c r="J137" s="10"/>
      <c r="K137" s="10"/>
      <c r="L137" s="11"/>
    </row>
    <row r="138" spans="1:12">
      <c r="A138" s="10"/>
      <c r="B138" s="10"/>
      <c r="C138" s="10"/>
      <c r="D138" s="10"/>
      <c r="E138" s="11"/>
      <c r="F138" s="10"/>
      <c r="G138" s="11"/>
      <c r="H138" s="11"/>
      <c r="I138" s="10"/>
      <c r="J138" s="10"/>
      <c r="K138" s="10"/>
      <c r="L138" s="11"/>
    </row>
    <row r="139" spans="1:12">
      <c r="A139" s="10"/>
      <c r="B139" s="10"/>
      <c r="C139" s="10"/>
      <c r="D139" s="10"/>
      <c r="E139" s="11"/>
      <c r="F139" s="10"/>
      <c r="G139" s="11"/>
      <c r="H139" s="11"/>
      <c r="I139" s="10"/>
      <c r="J139" s="10"/>
      <c r="K139" s="10"/>
      <c r="L139" s="11"/>
    </row>
    <row r="140" spans="1:12">
      <c r="A140" s="10"/>
      <c r="B140" s="10"/>
      <c r="C140" s="10"/>
      <c r="D140" s="10"/>
      <c r="E140" s="11"/>
      <c r="F140" s="10"/>
      <c r="G140" s="11"/>
      <c r="H140" s="11"/>
      <c r="I140" s="10"/>
      <c r="J140" s="10"/>
      <c r="K140" s="10"/>
      <c r="L140" s="11"/>
    </row>
    <row r="141" spans="1:12">
      <c r="A141" s="10"/>
      <c r="B141" s="10"/>
      <c r="C141" s="10"/>
      <c r="D141" s="10"/>
      <c r="E141" s="11"/>
      <c r="F141" s="10"/>
      <c r="G141" s="11"/>
      <c r="H141" s="11"/>
      <c r="I141" s="10"/>
      <c r="J141" s="10"/>
      <c r="K141" s="10"/>
      <c r="L141" s="11"/>
    </row>
    <row r="142" spans="1:12">
      <c r="A142" s="10"/>
      <c r="B142" s="10"/>
      <c r="C142" s="10"/>
      <c r="D142" s="10"/>
      <c r="E142" s="11"/>
      <c r="F142" s="10"/>
      <c r="G142" s="11"/>
      <c r="H142" s="11"/>
      <c r="I142" s="10"/>
      <c r="J142" s="10"/>
      <c r="K142" s="10"/>
      <c r="L142" s="11"/>
    </row>
    <row r="143" spans="1:12">
      <c r="A143" s="10"/>
      <c r="B143" s="10"/>
      <c r="C143" s="10"/>
      <c r="D143" s="10"/>
      <c r="E143" s="11"/>
      <c r="F143" s="10"/>
      <c r="G143" s="11"/>
      <c r="H143" s="11"/>
      <c r="I143" s="10"/>
      <c r="J143" s="10"/>
      <c r="K143" s="10"/>
      <c r="L143" s="11"/>
    </row>
    <row r="144" spans="1:12">
      <c r="A144" s="10"/>
      <c r="B144" s="10"/>
      <c r="C144" s="10"/>
      <c r="D144" s="10"/>
      <c r="E144" s="11"/>
      <c r="F144" s="10"/>
      <c r="G144" s="11"/>
      <c r="H144" s="11"/>
      <c r="I144" s="10"/>
      <c r="J144" s="10"/>
      <c r="K144" s="10"/>
      <c r="L144" s="11"/>
    </row>
    <row r="145" spans="1:12">
      <c r="A145" s="10"/>
      <c r="B145" s="10"/>
      <c r="C145" s="10"/>
      <c r="D145" s="10"/>
      <c r="E145" s="11"/>
      <c r="F145" s="10"/>
      <c r="G145" s="11"/>
      <c r="H145" s="11"/>
      <c r="I145" s="10"/>
      <c r="J145" s="10"/>
      <c r="K145" s="10"/>
      <c r="L145" s="11"/>
    </row>
    <row r="146" spans="1:12">
      <c r="A146" s="10"/>
      <c r="B146" s="10"/>
      <c r="C146" s="10"/>
      <c r="D146" s="10"/>
      <c r="E146" s="11"/>
      <c r="F146" s="10"/>
      <c r="G146" s="11"/>
      <c r="H146" s="11"/>
      <c r="I146" s="10"/>
      <c r="J146" s="10"/>
      <c r="K146" s="10"/>
      <c r="L146" s="11"/>
    </row>
    <row r="147" spans="1:12">
      <c r="A147" s="10"/>
      <c r="B147" s="10"/>
      <c r="C147" s="10"/>
      <c r="D147" s="10"/>
      <c r="E147" s="11"/>
      <c r="F147" s="10"/>
      <c r="G147" s="11"/>
      <c r="H147" s="11"/>
      <c r="I147" s="10"/>
      <c r="J147" s="10"/>
      <c r="K147" s="10"/>
      <c r="L147" s="11"/>
    </row>
    <row r="148" spans="1:12">
      <c r="A148" s="10"/>
      <c r="B148" s="10"/>
      <c r="C148" s="10"/>
      <c r="D148" s="10"/>
      <c r="E148" s="11"/>
      <c r="F148" s="10"/>
      <c r="G148" s="11"/>
      <c r="H148" s="11"/>
      <c r="I148" s="10"/>
      <c r="J148" s="10"/>
      <c r="K148" s="10"/>
      <c r="L148" s="11"/>
    </row>
    <row r="149" spans="1:12">
      <c r="A149" s="10"/>
      <c r="B149" s="10"/>
      <c r="C149" s="10"/>
      <c r="D149" s="10"/>
      <c r="E149" s="11"/>
      <c r="F149" s="10"/>
      <c r="G149" s="11"/>
      <c r="H149" s="11"/>
      <c r="I149" s="10"/>
      <c r="J149" s="10"/>
      <c r="K149" s="10"/>
      <c r="L149" s="11"/>
    </row>
    <row r="150" spans="1:12">
      <c r="A150" s="10"/>
      <c r="B150" s="10"/>
      <c r="C150" s="10"/>
      <c r="D150" s="10"/>
      <c r="E150" s="11"/>
      <c r="F150" s="10"/>
      <c r="G150" s="11"/>
      <c r="H150" s="11"/>
      <c r="I150" s="10"/>
      <c r="J150" s="10"/>
      <c r="K150" s="10"/>
      <c r="L150" s="11"/>
    </row>
    <row r="151" spans="1:12">
      <c r="A151" s="10"/>
      <c r="B151" s="10"/>
      <c r="C151" s="10"/>
      <c r="D151" s="10"/>
      <c r="E151" s="11"/>
      <c r="F151" s="10"/>
      <c r="G151" s="11"/>
      <c r="H151" s="11"/>
      <c r="I151" s="10"/>
      <c r="J151" s="10"/>
      <c r="K151" s="10"/>
      <c r="L151" s="11"/>
    </row>
    <row r="152" spans="1:12">
      <c r="A152" s="10"/>
      <c r="B152" s="10"/>
      <c r="C152" s="10"/>
      <c r="D152" s="10"/>
      <c r="E152" s="11"/>
      <c r="F152" s="10"/>
      <c r="G152" s="11"/>
      <c r="H152" s="11"/>
      <c r="I152" s="10"/>
      <c r="J152" s="10"/>
      <c r="K152" s="10"/>
      <c r="L152" s="11"/>
    </row>
    <row r="153" spans="1:12">
      <c r="A153" s="10"/>
      <c r="B153" s="10"/>
      <c r="C153" s="10"/>
      <c r="D153" s="10"/>
      <c r="E153" s="11"/>
      <c r="F153" s="10"/>
      <c r="G153" s="11"/>
      <c r="H153" s="11"/>
      <c r="I153" s="10"/>
      <c r="J153" s="10"/>
      <c r="K153" s="10"/>
      <c r="L153" s="11"/>
    </row>
    <row r="154" spans="1:12">
      <c r="A154" s="10"/>
      <c r="B154" s="10"/>
      <c r="C154" s="10"/>
      <c r="D154" s="10"/>
      <c r="E154" s="11"/>
      <c r="F154" s="10"/>
      <c r="G154" s="11"/>
      <c r="H154" s="11"/>
      <c r="I154" s="10"/>
      <c r="J154" s="10"/>
      <c r="K154" s="10"/>
      <c r="L154" s="11"/>
    </row>
    <row r="155" spans="1:12">
      <c r="A155" s="10"/>
      <c r="B155" s="10"/>
      <c r="C155" s="10"/>
      <c r="D155" s="10"/>
      <c r="E155" s="11"/>
      <c r="F155" s="10"/>
      <c r="G155" s="11"/>
      <c r="H155" s="11"/>
      <c r="I155" s="10"/>
      <c r="J155" s="10"/>
      <c r="K155" s="10"/>
      <c r="L155" s="11"/>
    </row>
    <row r="156" spans="1:12">
      <c r="A156" s="10"/>
      <c r="B156" s="10"/>
      <c r="C156" s="10"/>
      <c r="D156" s="10"/>
      <c r="E156" s="11"/>
      <c r="F156" s="10"/>
      <c r="G156" s="11"/>
      <c r="H156" s="11"/>
      <c r="I156" s="10"/>
      <c r="J156" s="10"/>
      <c r="K156" s="10"/>
      <c r="L156" s="11"/>
    </row>
    <row r="157" spans="1:12">
      <c r="A157" s="10"/>
      <c r="B157" s="10"/>
      <c r="C157" s="10"/>
      <c r="D157" s="10"/>
      <c r="E157" s="11"/>
      <c r="F157" s="10"/>
      <c r="G157" s="11"/>
      <c r="H157" s="11"/>
      <c r="I157" s="10"/>
      <c r="J157" s="10"/>
      <c r="K157" s="10"/>
      <c r="L157" s="11"/>
    </row>
    <row r="158" spans="1:12">
      <c r="A158" s="10"/>
      <c r="B158" s="10"/>
      <c r="C158" s="10"/>
      <c r="D158" s="10"/>
      <c r="E158" s="11"/>
      <c r="F158" s="10"/>
      <c r="G158" s="11"/>
      <c r="H158" s="11"/>
      <c r="I158" s="10"/>
      <c r="J158" s="10"/>
      <c r="K158" s="10"/>
      <c r="L158" s="11"/>
    </row>
    <row r="159" spans="1:12">
      <c r="A159" s="10"/>
      <c r="B159" s="10"/>
      <c r="C159" s="10"/>
      <c r="D159" s="10"/>
      <c r="E159" s="11"/>
      <c r="F159" s="10"/>
      <c r="G159" s="11"/>
      <c r="H159" s="11"/>
      <c r="I159" s="10"/>
      <c r="J159" s="10"/>
      <c r="K159" s="10"/>
      <c r="L159" s="11"/>
    </row>
    <row r="160" spans="1:12">
      <c r="A160" s="10"/>
      <c r="B160" s="10"/>
      <c r="C160" s="10"/>
      <c r="D160" s="10"/>
      <c r="E160" s="11"/>
      <c r="F160" s="10"/>
      <c r="G160" s="11"/>
      <c r="H160" s="11"/>
      <c r="I160" s="10"/>
      <c r="J160" s="10"/>
      <c r="K160" s="10"/>
      <c r="L160" s="11"/>
    </row>
    <row r="161" spans="1:12">
      <c r="A161" s="10"/>
      <c r="B161" s="10"/>
      <c r="C161" s="10"/>
      <c r="D161" s="10"/>
      <c r="E161" s="11"/>
      <c r="F161" s="10"/>
      <c r="G161" s="11"/>
      <c r="H161" s="11"/>
      <c r="I161" s="10"/>
      <c r="J161" s="10"/>
      <c r="K161" s="10"/>
      <c r="L161" s="11"/>
    </row>
    <row r="162" spans="1:12">
      <c r="A162" s="10"/>
      <c r="B162" s="10"/>
      <c r="C162" s="10"/>
      <c r="D162" s="10"/>
      <c r="E162" s="11"/>
      <c r="F162" s="10"/>
      <c r="G162" s="11"/>
      <c r="H162" s="11"/>
      <c r="I162" s="10"/>
      <c r="J162" s="10"/>
      <c r="K162" s="10"/>
      <c r="L162" s="11"/>
    </row>
    <row r="163" spans="1:12">
      <c r="A163" s="10"/>
      <c r="B163" s="10"/>
      <c r="C163" s="10"/>
      <c r="D163" s="10"/>
      <c r="E163" s="11"/>
      <c r="F163" s="10"/>
      <c r="G163" s="11"/>
      <c r="H163" s="11"/>
      <c r="I163" s="10"/>
      <c r="J163" s="10"/>
      <c r="K163" s="10"/>
      <c r="L163" s="11"/>
    </row>
    <row r="164" spans="1:12">
      <c r="A164" s="10"/>
      <c r="B164" s="10"/>
      <c r="C164" s="10"/>
      <c r="D164" s="10"/>
      <c r="E164" s="11"/>
      <c r="F164" s="10"/>
      <c r="G164" s="11"/>
      <c r="H164" s="11"/>
      <c r="I164" s="10"/>
      <c r="J164" s="10"/>
      <c r="K164" s="10"/>
      <c r="L164" s="11"/>
    </row>
    <row r="165" spans="1:12">
      <c r="A165" s="10"/>
      <c r="B165" s="10"/>
      <c r="C165" s="10"/>
      <c r="D165" s="10"/>
      <c r="E165" s="11"/>
      <c r="F165" s="10"/>
      <c r="G165" s="11"/>
      <c r="H165" s="11"/>
      <c r="I165" s="10"/>
      <c r="J165" s="10"/>
      <c r="K165" s="10"/>
      <c r="L165" s="11"/>
    </row>
    <row r="166" spans="1:12">
      <c r="A166" s="10"/>
      <c r="B166" s="10"/>
      <c r="C166" s="10"/>
      <c r="D166" s="10"/>
      <c r="E166" s="11"/>
      <c r="F166" s="10"/>
      <c r="G166" s="11"/>
      <c r="H166" s="11"/>
      <c r="I166" s="10"/>
      <c r="J166" s="10"/>
      <c r="K166" s="10"/>
      <c r="L166" s="11"/>
    </row>
    <row r="167" spans="1:12">
      <c r="A167" s="10"/>
      <c r="B167" s="10"/>
      <c r="C167" s="10"/>
      <c r="D167" s="10"/>
      <c r="E167" s="11"/>
      <c r="F167" s="10"/>
      <c r="G167" s="11"/>
      <c r="H167" s="11"/>
      <c r="I167" s="10"/>
      <c r="J167" s="10"/>
      <c r="K167" s="10"/>
      <c r="L167" s="11"/>
    </row>
    <row r="168" spans="1:12">
      <c r="A168" s="10"/>
      <c r="B168" s="10"/>
      <c r="C168" s="10"/>
      <c r="D168" s="10"/>
      <c r="E168" s="11"/>
      <c r="F168" s="10"/>
      <c r="G168" s="11"/>
      <c r="H168" s="11"/>
      <c r="I168" s="10"/>
      <c r="J168" s="10"/>
      <c r="K168" s="10"/>
      <c r="L168" s="11"/>
    </row>
    <row r="169" spans="1:12">
      <c r="A169" s="10"/>
      <c r="B169" s="10"/>
      <c r="C169" s="10"/>
      <c r="D169" s="10"/>
      <c r="E169" s="11"/>
      <c r="F169" s="10"/>
      <c r="G169" s="11"/>
      <c r="H169" s="11"/>
      <c r="I169" s="10"/>
      <c r="J169" s="10"/>
      <c r="K169" s="10"/>
      <c r="L169" s="11"/>
    </row>
    <row r="170" spans="1:12">
      <c r="A170" s="10"/>
      <c r="B170" s="10"/>
      <c r="C170" s="10"/>
      <c r="D170" s="10"/>
      <c r="E170" s="11"/>
      <c r="F170" s="10"/>
      <c r="G170" s="11"/>
      <c r="H170" s="11"/>
      <c r="I170" s="10"/>
      <c r="J170" s="10"/>
      <c r="K170" s="10"/>
      <c r="L170" s="11"/>
    </row>
    <row r="171" spans="1:12">
      <c r="A171" s="10"/>
      <c r="B171" s="10"/>
      <c r="C171" s="10"/>
      <c r="D171" s="10"/>
      <c r="E171" s="11"/>
      <c r="F171" s="10"/>
      <c r="G171" s="11"/>
      <c r="H171" s="11"/>
      <c r="I171" s="10"/>
      <c r="J171" s="10"/>
      <c r="K171" s="10"/>
      <c r="L171" s="11"/>
    </row>
    <row r="172" spans="1:12">
      <c r="A172" s="10"/>
      <c r="B172" s="10"/>
      <c r="C172" s="10"/>
      <c r="D172" s="10"/>
      <c r="E172" s="11"/>
      <c r="F172" s="10"/>
      <c r="G172" s="11"/>
      <c r="H172" s="11"/>
      <c r="I172" s="10"/>
      <c r="J172" s="10"/>
      <c r="K172" s="10"/>
      <c r="L172" s="11"/>
    </row>
    <row r="173" spans="1:12">
      <c r="A173" s="10"/>
      <c r="B173" s="10"/>
      <c r="C173" s="10"/>
      <c r="D173" s="10"/>
      <c r="E173" s="11"/>
      <c r="F173" s="10"/>
      <c r="G173" s="11"/>
      <c r="H173" s="11"/>
      <c r="I173" s="10"/>
      <c r="J173" s="10"/>
      <c r="K173" s="10"/>
      <c r="L173" s="11"/>
    </row>
    <row r="174" spans="1:12">
      <c r="A174" s="10"/>
      <c r="B174" s="10"/>
      <c r="C174" s="10"/>
      <c r="D174" s="10"/>
      <c r="E174" s="11"/>
      <c r="F174" s="10"/>
      <c r="G174" s="11"/>
      <c r="H174" s="11"/>
      <c r="I174" s="10"/>
      <c r="J174" s="10"/>
      <c r="K174" s="10"/>
      <c r="L174" s="11"/>
    </row>
    <row r="175" spans="1:12">
      <c r="A175" s="10"/>
      <c r="B175" s="10"/>
      <c r="C175" s="10"/>
      <c r="D175" s="10"/>
      <c r="E175" s="11"/>
      <c r="F175" s="10"/>
      <c r="G175" s="11"/>
      <c r="H175" s="11"/>
      <c r="I175" s="10"/>
      <c r="J175" s="10"/>
      <c r="K175" s="10"/>
      <c r="L175" s="11"/>
    </row>
    <row r="176" spans="1:12">
      <c r="A176" s="10"/>
      <c r="B176" s="10"/>
      <c r="C176" s="10"/>
      <c r="D176" s="10"/>
      <c r="E176" s="11"/>
      <c r="F176" s="10"/>
      <c r="G176" s="11"/>
      <c r="H176" s="11"/>
      <c r="I176" s="10"/>
      <c r="J176" s="10"/>
      <c r="K176" s="10"/>
      <c r="L176" s="11"/>
    </row>
    <row r="177" spans="1:12">
      <c r="A177" s="10"/>
      <c r="B177" s="10"/>
      <c r="C177" s="10"/>
      <c r="D177" s="10"/>
      <c r="E177" s="11"/>
      <c r="F177" s="10"/>
      <c r="G177" s="11"/>
      <c r="H177" s="11"/>
      <c r="I177" s="10"/>
      <c r="J177" s="10"/>
      <c r="K177" s="10"/>
      <c r="L177" s="11"/>
    </row>
    <row r="178" spans="1:12">
      <c r="A178" s="10"/>
      <c r="B178" s="10"/>
      <c r="C178" s="10"/>
      <c r="D178" s="10"/>
      <c r="E178" s="11"/>
      <c r="F178" s="10"/>
      <c r="G178" s="11"/>
      <c r="H178" s="11"/>
      <c r="I178" s="10"/>
      <c r="J178" s="10"/>
      <c r="K178" s="10"/>
      <c r="L178" s="11"/>
    </row>
    <row r="179" spans="1:12">
      <c r="A179" s="10"/>
      <c r="B179" s="10"/>
      <c r="C179" s="10"/>
      <c r="D179" s="10"/>
      <c r="E179" s="11"/>
      <c r="F179" s="10"/>
      <c r="G179" s="11"/>
      <c r="H179" s="11"/>
      <c r="I179" s="10"/>
      <c r="J179" s="10"/>
      <c r="K179" s="10"/>
      <c r="L179" s="11"/>
    </row>
    <row r="180" spans="1:12">
      <c r="A180" s="10"/>
      <c r="B180" s="10"/>
      <c r="C180" s="10"/>
      <c r="D180" s="10"/>
      <c r="E180" s="11"/>
      <c r="F180" s="10"/>
      <c r="G180" s="11"/>
      <c r="H180" s="11"/>
      <c r="I180" s="10"/>
      <c r="J180" s="10"/>
      <c r="K180" s="10"/>
      <c r="L180" s="11"/>
    </row>
    <row r="181" spans="1:12">
      <c r="A181" s="10"/>
      <c r="B181" s="10"/>
      <c r="C181" s="10"/>
      <c r="D181" s="10"/>
      <c r="E181" s="11"/>
      <c r="F181" s="10"/>
      <c r="G181" s="11"/>
      <c r="H181" s="11"/>
      <c r="I181" s="10"/>
      <c r="J181" s="10"/>
      <c r="K181" s="10"/>
      <c r="L181" s="11"/>
    </row>
    <row r="182" spans="1:12">
      <c r="A182" s="10"/>
      <c r="B182" s="10"/>
      <c r="C182" s="10"/>
      <c r="D182" s="10"/>
      <c r="E182" s="11"/>
      <c r="F182" s="10"/>
      <c r="G182" s="11"/>
      <c r="H182" s="11"/>
      <c r="I182" s="10"/>
      <c r="J182" s="10"/>
      <c r="K182" s="10"/>
      <c r="L182" s="11"/>
    </row>
    <row r="183" spans="1:12">
      <c r="A183" s="10"/>
      <c r="B183" s="10"/>
      <c r="C183" s="10"/>
      <c r="D183" s="10"/>
      <c r="E183" s="11"/>
      <c r="F183" s="10"/>
      <c r="G183" s="11"/>
      <c r="H183" s="11"/>
      <c r="I183" s="10"/>
      <c r="J183" s="10"/>
      <c r="K183" s="10"/>
      <c r="L183" s="11"/>
    </row>
    <row r="184" spans="1:12">
      <c r="A184" s="10"/>
      <c r="B184" s="10"/>
      <c r="C184" s="10"/>
      <c r="D184" s="10"/>
      <c r="E184" s="11"/>
      <c r="F184" s="10"/>
      <c r="G184" s="11"/>
      <c r="H184" s="11"/>
      <c r="I184" s="10"/>
      <c r="J184" s="10"/>
      <c r="K184" s="10"/>
      <c r="L184" s="11"/>
    </row>
    <row r="185" spans="1:12">
      <c r="A185" s="10"/>
      <c r="B185" s="10"/>
      <c r="C185" s="10"/>
      <c r="D185" s="10"/>
      <c r="E185" s="11"/>
      <c r="F185" s="10"/>
      <c r="G185" s="11"/>
      <c r="H185" s="11"/>
      <c r="I185" s="10"/>
      <c r="J185" s="10"/>
      <c r="K185" s="10"/>
      <c r="L185" s="11"/>
    </row>
    <row r="186" spans="1:12">
      <c r="A186" s="10"/>
      <c r="B186" s="10"/>
      <c r="C186" s="10"/>
      <c r="D186" s="10"/>
      <c r="E186" s="11"/>
      <c r="F186" s="10"/>
      <c r="G186" s="11"/>
      <c r="H186" s="11"/>
      <c r="I186" s="10"/>
      <c r="J186" s="10"/>
      <c r="K186" s="10"/>
      <c r="L186" s="11"/>
    </row>
    <row r="187" spans="1:12">
      <c r="A187" s="10"/>
      <c r="B187" s="10"/>
      <c r="C187" s="10"/>
      <c r="D187" s="10"/>
      <c r="E187" s="11"/>
      <c r="F187" s="10"/>
      <c r="G187" s="11"/>
      <c r="H187" s="11"/>
      <c r="I187" s="10"/>
      <c r="J187" s="10"/>
      <c r="K187" s="10"/>
      <c r="L187" s="11"/>
    </row>
    <row r="188" spans="1:12">
      <c r="A188" s="10"/>
      <c r="B188" s="10"/>
      <c r="C188" s="10"/>
      <c r="D188" s="10"/>
      <c r="E188" s="11"/>
      <c r="F188" s="10"/>
      <c r="G188" s="11"/>
      <c r="H188" s="11"/>
      <c r="I188" s="10"/>
      <c r="J188" s="10"/>
      <c r="K188" s="10"/>
      <c r="L188" s="11"/>
    </row>
    <row r="189" spans="1:12">
      <c r="A189" s="10"/>
      <c r="B189" s="10"/>
      <c r="C189" s="10"/>
      <c r="D189" s="10"/>
      <c r="E189" s="11"/>
      <c r="F189" s="10"/>
      <c r="G189" s="11"/>
      <c r="H189" s="11"/>
      <c r="I189" s="10"/>
      <c r="J189" s="10"/>
      <c r="K189" s="10"/>
      <c r="L189" s="11"/>
    </row>
    <row r="190" spans="1:12">
      <c r="A190" s="10"/>
      <c r="B190" s="10"/>
      <c r="C190" s="10"/>
      <c r="D190" s="10"/>
      <c r="E190" s="11"/>
      <c r="F190" s="10"/>
      <c r="G190" s="11"/>
      <c r="H190" s="11"/>
      <c r="I190" s="10"/>
      <c r="J190" s="10"/>
      <c r="K190" s="10"/>
      <c r="L190" s="11"/>
    </row>
    <row r="191" spans="1:12">
      <c r="A191" s="10"/>
      <c r="B191" s="10"/>
      <c r="C191" s="10"/>
      <c r="D191" s="10"/>
      <c r="E191" s="11"/>
      <c r="F191" s="10"/>
      <c r="G191" s="11"/>
      <c r="H191" s="11"/>
      <c r="I191" s="10"/>
      <c r="J191" s="10"/>
      <c r="K191" s="10"/>
      <c r="L191" s="11"/>
    </row>
    <row r="192" spans="1:12">
      <c r="A192" s="10"/>
      <c r="B192" s="10"/>
      <c r="C192" s="10"/>
      <c r="D192" s="10"/>
      <c r="E192" s="11"/>
      <c r="F192" s="10"/>
      <c r="G192" s="11"/>
      <c r="H192" s="11"/>
      <c r="I192" s="10"/>
      <c r="J192" s="10"/>
      <c r="K192" s="10"/>
      <c r="L192" s="11"/>
    </row>
    <row r="193" spans="1:12">
      <c r="A193" s="10"/>
      <c r="B193" s="10"/>
      <c r="C193" s="10"/>
      <c r="D193" s="10"/>
      <c r="E193" s="11"/>
      <c r="F193" s="10"/>
      <c r="G193" s="11"/>
      <c r="H193" s="11"/>
      <c r="I193" s="10"/>
      <c r="J193" s="10"/>
      <c r="K193" s="10"/>
      <c r="L193" s="11"/>
    </row>
    <row r="194" spans="1:12">
      <c r="A194" s="10"/>
      <c r="B194" s="10"/>
      <c r="C194" s="10"/>
      <c r="D194" s="10"/>
      <c r="E194" s="11"/>
      <c r="F194" s="10"/>
      <c r="G194" s="11"/>
      <c r="H194" s="11"/>
      <c r="I194" s="10"/>
      <c r="J194" s="10"/>
      <c r="K194" s="10"/>
      <c r="L194" s="11"/>
    </row>
    <row r="195" spans="1:12">
      <c r="A195" s="10"/>
      <c r="B195" s="10"/>
      <c r="C195" s="10"/>
      <c r="D195" s="10"/>
      <c r="E195" s="11"/>
      <c r="F195" s="10"/>
      <c r="G195" s="11"/>
      <c r="H195" s="11"/>
      <c r="I195" s="10"/>
      <c r="J195" s="10"/>
      <c r="K195" s="10"/>
      <c r="L195" s="11"/>
    </row>
    <row r="196" spans="1:12">
      <c r="A196" s="10"/>
      <c r="B196" s="10"/>
      <c r="C196" s="10"/>
      <c r="D196" s="10"/>
      <c r="E196" s="11"/>
      <c r="F196" s="10"/>
      <c r="G196" s="11"/>
      <c r="H196" s="11"/>
      <c r="I196" s="10"/>
      <c r="J196" s="10"/>
      <c r="K196" s="10"/>
      <c r="L196" s="11"/>
    </row>
    <row r="197" spans="1:12">
      <c r="A197" s="10"/>
      <c r="B197" s="10"/>
      <c r="C197" s="10"/>
      <c r="D197" s="10"/>
      <c r="E197" s="11"/>
      <c r="F197" s="10"/>
      <c r="G197" s="11"/>
      <c r="H197" s="11"/>
      <c r="I197" s="10"/>
      <c r="J197" s="10"/>
      <c r="K197" s="10"/>
      <c r="L197" s="11"/>
    </row>
    <row r="198" spans="1:12">
      <c r="A198" s="10"/>
      <c r="B198" s="10"/>
      <c r="C198" s="10"/>
      <c r="D198" s="10"/>
      <c r="E198" s="11"/>
      <c r="F198" s="10"/>
      <c r="G198" s="11"/>
      <c r="H198" s="11"/>
      <c r="I198" s="10"/>
      <c r="J198" s="10"/>
      <c r="K198" s="10"/>
      <c r="L198" s="11"/>
    </row>
    <row r="199" spans="1:12">
      <c r="A199" s="10"/>
      <c r="B199" s="10"/>
      <c r="C199" s="10"/>
      <c r="D199" s="10"/>
      <c r="E199" s="11"/>
      <c r="F199" s="10"/>
      <c r="G199" s="11"/>
      <c r="H199" s="11"/>
      <c r="I199" s="10"/>
      <c r="J199" s="10"/>
      <c r="K199" s="10"/>
      <c r="L199" s="11"/>
    </row>
    <row r="200" spans="1:12">
      <c r="A200" s="10"/>
      <c r="B200" s="10"/>
      <c r="C200" s="10"/>
      <c r="D200" s="10"/>
      <c r="E200" s="11"/>
      <c r="F200" s="10"/>
      <c r="G200" s="11"/>
      <c r="H200" s="11"/>
      <c r="I200" s="10"/>
      <c r="J200" s="10"/>
      <c r="K200" s="10"/>
      <c r="L200" s="11"/>
    </row>
    <row r="201" spans="1:12">
      <c r="A201" s="10"/>
      <c r="B201" s="10"/>
      <c r="C201" s="10"/>
      <c r="D201" s="10"/>
      <c r="E201" s="11"/>
      <c r="F201" s="10"/>
      <c r="G201" s="11"/>
      <c r="H201" s="11"/>
      <c r="I201" s="10"/>
      <c r="J201" s="10"/>
      <c r="K201" s="10"/>
      <c r="L201" s="11"/>
    </row>
    <row r="202" spans="1:12">
      <c r="A202" s="10"/>
      <c r="B202" s="10"/>
      <c r="C202" s="10"/>
      <c r="D202" s="10"/>
      <c r="E202" s="11"/>
      <c r="F202" s="10"/>
      <c r="G202" s="11"/>
      <c r="H202" s="11"/>
      <c r="I202" s="10"/>
      <c r="J202" s="10"/>
      <c r="K202" s="10"/>
      <c r="L202" s="11"/>
    </row>
    <row r="203" spans="1:12">
      <c r="A203" s="10"/>
      <c r="B203" s="10"/>
      <c r="C203" s="10"/>
      <c r="D203" s="10"/>
      <c r="E203" s="11"/>
      <c r="F203" s="10"/>
      <c r="G203" s="11"/>
      <c r="H203" s="11"/>
      <c r="I203" s="10"/>
      <c r="J203" s="10"/>
      <c r="K203" s="10"/>
      <c r="L203" s="11"/>
    </row>
    <row r="204" spans="1:12">
      <c r="A204" s="10"/>
      <c r="B204" s="10"/>
      <c r="C204" s="10"/>
      <c r="D204" s="10"/>
      <c r="E204" s="11"/>
      <c r="F204" s="10"/>
      <c r="G204" s="11"/>
      <c r="H204" s="11"/>
      <c r="I204" s="10"/>
      <c r="J204" s="10"/>
      <c r="K204" s="10"/>
      <c r="L204" s="11"/>
    </row>
    <row r="205" spans="1:12">
      <c r="A205" s="10"/>
      <c r="B205" s="10"/>
      <c r="C205" s="10"/>
      <c r="D205" s="10"/>
      <c r="E205" s="11"/>
      <c r="F205" s="10"/>
      <c r="G205" s="11"/>
      <c r="H205" s="11"/>
      <c r="I205" s="10"/>
      <c r="J205" s="10"/>
      <c r="K205" s="10"/>
      <c r="L205" s="11"/>
    </row>
    <row r="206" spans="1:12">
      <c r="A206" s="10"/>
      <c r="B206" s="10"/>
      <c r="C206" s="10"/>
      <c r="D206" s="10"/>
      <c r="E206" s="11"/>
      <c r="F206" s="10"/>
      <c r="G206" s="11"/>
      <c r="H206" s="11"/>
      <c r="I206" s="10"/>
      <c r="J206" s="10"/>
      <c r="K206" s="10"/>
      <c r="L206" s="11"/>
    </row>
    <row r="207" spans="1:12">
      <c r="A207" s="10"/>
      <c r="B207" s="10"/>
      <c r="C207" s="10"/>
      <c r="D207" s="10"/>
      <c r="E207" s="11"/>
      <c r="F207" s="10"/>
      <c r="G207" s="11"/>
      <c r="H207" s="11"/>
      <c r="I207" s="10"/>
      <c r="J207" s="10"/>
      <c r="K207" s="10"/>
      <c r="L207" s="11"/>
    </row>
    <row r="208" spans="1:12">
      <c r="A208" s="10"/>
      <c r="B208" s="10"/>
      <c r="C208" s="10"/>
      <c r="D208" s="10"/>
      <c r="E208" s="11"/>
      <c r="F208" s="10"/>
      <c r="G208" s="11"/>
      <c r="H208" s="11"/>
      <c r="I208" s="10"/>
      <c r="J208" s="10"/>
      <c r="K208" s="10"/>
      <c r="L208" s="11"/>
    </row>
    <row r="209" spans="1:12">
      <c r="A209" s="10"/>
      <c r="B209" s="10"/>
      <c r="C209" s="10"/>
      <c r="D209" s="10"/>
      <c r="E209" s="11"/>
      <c r="F209" s="10"/>
      <c r="G209" s="11"/>
      <c r="H209" s="11"/>
      <c r="I209" s="10"/>
      <c r="J209" s="10"/>
      <c r="K209" s="10"/>
      <c r="L209" s="11"/>
    </row>
    <row r="210" spans="1:12">
      <c r="A210" s="10"/>
      <c r="B210" s="10"/>
      <c r="C210" s="10"/>
      <c r="D210" s="10"/>
      <c r="E210" s="11"/>
      <c r="F210" s="10"/>
      <c r="G210" s="11"/>
      <c r="H210" s="11"/>
      <c r="I210" s="10"/>
      <c r="J210" s="10"/>
      <c r="K210" s="10"/>
      <c r="L210" s="11"/>
    </row>
    <row r="211" spans="1:12">
      <c r="A211" s="10"/>
      <c r="B211" s="10"/>
      <c r="C211" s="10"/>
      <c r="D211" s="10"/>
      <c r="E211" s="11"/>
      <c r="F211" s="10"/>
      <c r="G211" s="11"/>
      <c r="H211" s="11"/>
      <c r="I211" s="10"/>
      <c r="J211" s="10"/>
      <c r="K211" s="10"/>
      <c r="L211" s="11"/>
    </row>
    <row r="212" spans="1:12">
      <c r="A212" s="10"/>
      <c r="B212" s="10"/>
      <c r="C212" s="10"/>
      <c r="D212" s="10"/>
      <c r="E212" s="11"/>
      <c r="F212" s="10"/>
      <c r="G212" s="11"/>
      <c r="H212" s="11"/>
      <c r="I212" s="10"/>
      <c r="J212" s="10"/>
      <c r="K212" s="10"/>
      <c r="L212" s="11"/>
    </row>
    <row r="213" spans="1:12">
      <c r="A213" s="10"/>
      <c r="B213" s="10"/>
      <c r="C213" s="10"/>
      <c r="D213" s="10"/>
      <c r="E213" s="11"/>
      <c r="F213" s="10"/>
      <c r="G213" s="11"/>
      <c r="H213" s="11"/>
      <c r="I213" s="10"/>
      <c r="J213" s="10"/>
      <c r="K213" s="10"/>
      <c r="L213" s="11"/>
    </row>
    <row r="214" spans="1:12">
      <c r="A214" s="10"/>
      <c r="B214" s="10"/>
      <c r="C214" s="10"/>
      <c r="D214" s="10"/>
      <c r="E214" s="11"/>
      <c r="F214" s="10"/>
      <c r="G214" s="11"/>
      <c r="H214" s="11"/>
      <c r="I214" s="10"/>
      <c r="J214" s="10"/>
      <c r="K214" s="10"/>
      <c r="L214" s="11"/>
    </row>
    <row r="215" spans="1:12">
      <c r="A215" s="10"/>
      <c r="B215" s="10"/>
      <c r="C215" s="10"/>
      <c r="D215" s="10"/>
      <c r="E215" s="11"/>
      <c r="F215" s="10"/>
      <c r="G215" s="11"/>
      <c r="H215" s="11"/>
      <c r="I215" s="10"/>
      <c r="J215" s="10"/>
      <c r="K215" s="10"/>
      <c r="L215" s="11"/>
    </row>
    <row r="216" spans="1:12">
      <c r="A216" s="10"/>
      <c r="B216" s="10"/>
      <c r="C216" s="10"/>
      <c r="D216" s="10"/>
      <c r="E216" s="11"/>
      <c r="F216" s="10"/>
      <c r="G216" s="11"/>
      <c r="H216" s="11"/>
      <c r="I216" s="10"/>
      <c r="J216" s="10"/>
      <c r="K216" s="10"/>
      <c r="L216" s="11"/>
    </row>
    <row r="217" spans="1:12">
      <c r="A217" s="10"/>
      <c r="B217" s="10"/>
      <c r="C217" s="10"/>
      <c r="D217" s="10"/>
      <c r="E217" s="11"/>
      <c r="F217" s="10"/>
      <c r="G217" s="11"/>
      <c r="H217" s="11"/>
      <c r="I217" s="10"/>
      <c r="J217" s="10"/>
      <c r="K217" s="10"/>
      <c r="L217" s="11"/>
    </row>
    <row r="218" spans="1:12">
      <c r="A218" s="10"/>
      <c r="B218" s="10"/>
      <c r="C218" s="10"/>
      <c r="D218" s="10"/>
      <c r="E218" s="11"/>
      <c r="F218" s="10"/>
      <c r="G218" s="11"/>
      <c r="H218" s="11"/>
      <c r="I218" s="10"/>
      <c r="J218" s="10"/>
      <c r="K218" s="10"/>
      <c r="L218" s="11"/>
    </row>
    <row r="219" spans="1:12">
      <c r="A219" s="10"/>
      <c r="B219" s="10"/>
      <c r="C219" s="10"/>
      <c r="D219" s="10"/>
      <c r="E219" s="11"/>
      <c r="F219" s="10"/>
      <c r="G219" s="11"/>
      <c r="H219" s="11"/>
      <c r="I219" s="10"/>
      <c r="J219" s="10"/>
      <c r="K219" s="10"/>
      <c r="L219" s="11"/>
    </row>
    <row r="220" spans="1:12">
      <c r="A220" s="10"/>
      <c r="B220" s="10"/>
      <c r="C220" s="10"/>
      <c r="D220" s="10"/>
      <c r="E220" s="11"/>
      <c r="F220" s="10"/>
      <c r="G220" s="11"/>
      <c r="H220" s="11"/>
      <c r="I220" s="10"/>
      <c r="J220" s="10"/>
      <c r="K220" s="10"/>
      <c r="L220" s="11"/>
    </row>
    <row r="221" spans="1:12">
      <c r="A221" s="10"/>
      <c r="B221" s="10"/>
      <c r="C221" s="10"/>
      <c r="D221" s="10"/>
      <c r="E221" s="11"/>
      <c r="F221" s="10"/>
      <c r="G221" s="11"/>
      <c r="H221" s="11"/>
      <c r="I221" s="10"/>
      <c r="J221" s="10"/>
      <c r="K221" s="10"/>
      <c r="L221" s="11"/>
    </row>
    <row r="222" spans="1:12">
      <c r="A222" s="10"/>
      <c r="B222" s="10"/>
      <c r="C222" s="10"/>
      <c r="D222" s="10"/>
      <c r="E222" s="11"/>
      <c r="F222" s="10"/>
      <c r="G222" s="11"/>
      <c r="H222" s="11"/>
      <c r="I222" s="10"/>
      <c r="J222" s="10"/>
      <c r="K222" s="10"/>
      <c r="L222" s="11"/>
    </row>
    <row r="223" spans="1:12">
      <c r="A223" s="10"/>
      <c r="B223" s="10"/>
      <c r="C223" s="10"/>
      <c r="D223" s="10"/>
      <c r="E223" s="11"/>
      <c r="F223" s="10"/>
      <c r="G223" s="11"/>
      <c r="H223" s="11"/>
      <c r="I223" s="10"/>
      <c r="J223" s="10"/>
      <c r="K223" s="10"/>
      <c r="L223" s="11"/>
    </row>
    <row r="224" spans="1:12">
      <c r="A224" s="10"/>
      <c r="B224" s="10"/>
      <c r="C224" s="10"/>
      <c r="D224" s="10"/>
      <c r="E224" s="11"/>
      <c r="F224" s="10"/>
      <c r="G224" s="11"/>
      <c r="H224" s="11"/>
      <c r="I224" s="10"/>
      <c r="J224" s="10"/>
      <c r="K224" s="10"/>
      <c r="L224" s="11"/>
    </row>
    <row r="225" spans="1:12">
      <c r="A225" s="10"/>
      <c r="B225" s="10"/>
      <c r="C225" s="10"/>
      <c r="D225" s="10"/>
      <c r="E225" s="11"/>
      <c r="F225" s="10"/>
      <c r="G225" s="11"/>
      <c r="H225" s="11"/>
      <c r="I225" s="10"/>
      <c r="J225" s="10"/>
      <c r="K225" s="10"/>
      <c r="L225" s="11"/>
    </row>
    <row r="226" spans="1:12">
      <c r="A226" s="10"/>
      <c r="B226" s="10"/>
      <c r="C226" s="10"/>
      <c r="D226" s="10"/>
      <c r="E226" s="11"/>
      <c r="F226" s="10"/>
      <c r="G226" s="11"/>
      <c r="H226" s="11"/>
      <c r="I226" s="10"/>
      <c r="J226" s="10"/>
      <c r="K226" s="10"/>
      <c r="L226" s="11"/>
    </row>
    <row r="227" spans="1:12">
      <c r="A227" s="10"/>
      <c r="B227" s="10"/>
      <c r="C227" s="10"/>
      <c r="D227" s="10"/>
      <c r="E227" s="11"/>
      <c r="F227" s="10"/>
      <c r="G227" s="11"/>
      <c r="H227" s="11"/>
      <c r="I227" s="10"/>
      <c r="J227" s="10"/>
      <c r="K227" s="10"/>
      <c r="L227" s="11"/>
    </row>
    <row r="228" spans="1:12">
      <c r="A228" s="10"/>
      <c r="B228" s="10"/>
      <c r="C228" s="10"/>
      <c r="D228" s="10"/>
      <c r="E228" s="11"/>
      <c r="F228" s="10"/>
      <c r="G228" s="11"/>
      <c r="H228" s="11"/>
      <c r="I228" s="10"/>
      <c r="J228" s="10"/>
      <c r="K228" s="10"/>
      <c r="L228" s="11"/>
    </row>
    <row r="229" spans="1:12">
      <c r="A229" s="10"/>
      <c r="B229" s="10"/>
      <c r="C229" s="10"/>
      <c r="D229" s="10"/>
      <c r="E229" s="11"/>
      <c r="F229" s="10"/>
      <c r="G229" s="11"/>
      <c r="H229" s="11"/>
      <c r="I229" s="10"/>
      <c r="J229" s="10"/>
      <c r="K229" s="10"/>
      <c r="L229" s="11"/>
    </row>
    <row r="230" spans="1:12">
      <c r="A230" s="10"/>
      <c r="B230" s="10"/>
      <c r="C230" s="10"/>
      <c r="D230" s="10"/>
      <c r="E230" s="11"/>
      <c r="F230" s="10"/>
      <c r="G230" s="11"/>
      <c r="H230" s="11"/>
      <c r="I230" s="10"/>
      <c r="J230" s="10"/>
      <c r="K230" s="10"/>
      <c r="L230" s="11"/>
    </row>
    <row r="231" spans="1:12">
      <c r="A231" s="10"/>
      <c r="B231" s="10"/>
      <c r="C231" s="10"/>
      <c r="D231" s="10"/>
      <c r="E231" s="11"/>
      <c r="F231" s="10"/>
      <c r="G231" s="11"/>
      <c r="H231" s="11"/>
      <c r="I231" s="10"/>
      <c r="J231" s="10"/>
      <c r="K231" s="10"/>
      <c r="L231" s="11"/>
    </row>
    <row r="232" spans="1:12">
      <c r="A232" s="10"/>
      <c r="B232" s="10"/>
      <c r="C232" s="10"/>
      <c r="D232" s="10"/>
      <c r="E232" s="11"/>
      <c r="F232" s="10"/>
      <c r="G232" s="11"/>
      <c r="H232" s="11"/>
      <c r="I232" s="10"/>
      <c r="J232" s="10"/>
      <c r="K232" s="10"/>
      <c r="L232" s="11"/>
    </row>
    <row r="233" spans="1:12">
      <c r="A233" s="10"/>
      <c r="B233" s="10"/>
      <c r="C233" s="10"/>
      <c r="D233" s="10"/>
      <c r="E233" s="11"/>
      <c r="F233" s="10"/>
      <c r="G233" s="11"/>
      <c r="H233" s="11"/>
      <c r="I233" s="10"/>
      <c r="J233" s="10"/>
      <c r="K233" s="10"/>
      <c r="L233" s="11"/>
    </row>
    <row r="234" spans="1:12">
      <c r="A234" s="10"/>
      <c r="B234" s="10"/>
      <c r="C234" s="10"/>
      <c r="D234" s="10"/>
      <c r="E234" s="11"/>
      <c r="F234" s="10"/>
      <c r="G234" s="11"/>
      <c r="H234" s="11"/>
      <c r="I234" s="10"/>
      <c r="J234" s="10"/>
      <c r="K234" s="10"/>
      <c r="L234" s="11"/>
    </row>
    <row r="235" spans="1:12">
      <c r="A235" s="10"/>
      <c r="B235" s="10"/>
      <c r="C235" s="10"/>
      <c r="D235" s="10"/>
      <c r="E235" s="11"/>
      <c r="F235" s="10"/>
      <c r="G235" s="11"/>
      <c r="H235" s="11"/>
      <c r="I235" s="10"/>
      <c r="J235" s="10"/>
      <c r="K235" s="10"/>
      <c r="L235" s="11"/>
    </row>
    <row r="236" spans="1:12">
      <c r="A236" s="10"/>
      <c r="B236" s="10"/>
      <c r="C236" s="10"/>
      <c r="D236" s="10"/>
      <c r="E236" s="11"/>
      <c r="F236" s="10"/>
      <c r="G236" s="11"/>
      <c r="H236" s="11"/>
      <c r="I236" s="10"/>
      <c r="J236" s="10"/>
      <c r="K236" s="10"/>
      <c r="L236" s="11"/>
    </row>
    <row r="237" spans="1:12">
      <c r="A237" s="10"/>
      <c r="B237" s="10"/>
      <c r="C237" s="10"/>
      <c r="D237" s="10"/>
      <c r="E237" s="11"/>
      <c r="F237" s="10"/>
      <c r="G237" s="11"/>
      <c r="H237" s="11"/>
      <c r="I237" s="10"/>
      <c r="J237" s="10"/>
      <c r="K237" s="10"/>
      <c r="L237" s="11"/>
    </row>
    <row r="238" spans="1:12">
      <c r="A238" s="10"/>
      <c r="B238" s="10"/>
      <c r="C238" s="10"/>
      <c r="D238" s="10"/>
      <c r="E238" s="11"/>
      <c r="F238" s="10"/>
      <c r="G238" s="11"/>
      <c r="H238" s="11"/>
      <c r="I238" s="10"/>
      <c r="J238" s="10"/>
      <c r="K238" s="10"/>
      <c r="L238" s="11"/>
    </row>
    <row r="239" spans="1:12">
      <c r="A239" s="10"/>
      <c r="B239" s="10"/>
      <c r="C239" s="10"/>
      <c r="D239" s="10"/>
      <c r="E239" s="11"/>
      <c r="F239" s="10"/>
      <c r="G239" s="11"/>
      <c r="H239" s="11"/>
      <c r="I239" s="10"/>
      <c r="J239" s="10"/>
      <c r="K239" s="10"/>
      <c r="L239" s="11"/>
    </row>
    <row r="240" spans="1:12">
      <c r="A240" s="10"/>
      <c r="B240" s="10"/>
      <c r="C240" s="10"/>
      <c r="D240" s="10"/>
      <c r="E240" s="11"/>
      <c r="F240" s="10"/>
      <c r="G240" s="11"/>
      <c r="H240" s="11"/>
      <c r="I240" s="10"/>
      <c r="J240" s="10"/>
      <c r="K240" s="10"/>
      <c r="L240" s="11"/>
    </row>
    <row r="241" spans="1:12">
      <c r="A241" s="10"/>
      <c r="B241" s="10"/>
      <c r="C241" s="10"/>
      <c r="D241" s="10"/>
      <c r="E241" s="11"/>
      <c r="F241" s="10"/>
      <c r="G241" s="11"/>
      <c r="H241" s="11"/>
      <c r="I241" s="10"/>
      <c r="J241" s="10"/>
      <c r="K241" s="10"/>
      <c r="L241" s="11"/>
    </row>
    <row r="242" spans="1:12">
      <c r="A242" s="10"/>
      <c r="B242" s="10"/>
      <c r="C242" s="10"/>
      <c r="D242" s="10"/>
      <c r="E242" s="11"/>
      <c r="F242" s="10"/>
      <c r="G242" s="11"/>
      <c r="H242" s="11"/>
      <c r="I242" s="10"/>
      <c r="J242" s="10"/>
      <c r="K242" s="10"/>
      <c r="L242" s="11"/>
    </row>
    <row r="243" spans="1:12">
      <c r="A243" s="10"/>
      <c r="B243" s="10"/>
      <c r="C243" s="10"/>
      <c r="D243" s="10"/>
      <c r="E243" s="11"/>
      <c r="F243" s="10"/>
      <c r="G243" s="11"/>
      <c r="H243" s="11"/>
      <c r="I243" s="10"/>
      <c r="J243" s="10"/>
      <c r="K243" s="10"/>
      <c r="L243" s="11"/>
    </row>
    <row r="244" spans="1:12">
      <c r="A244" s="10"/>
      <c r="B244" s="10"/>
      <c r="C244" s="10"/>
      <c r="D244" s="10"/>
      <c r="E244" s="11"/>
      <c r="F244" s="10"/>
      <c r="G244" s="11"/>
      <c r="H244" s="11"/>
      <c r="I244" s="10"/>
      <c r="J244" s="10"/>
      <c r="K244" s="10"/>
      <c r="L244" s="11"/>
    </row>
    <row r="245" spans="1:12">
      <c r="A245" s="10"/>
      <c r="B245" s="10"/>
      <c r="C245" s="10"/>
      <c r="D245" s="10"/>
      <c r="E245" s="11"/>
      <c r="F245" s="10"/>
      <c r="G245" s="11"/>
      <c r="H245" s="11"/>
      <c r="I245" s="10"/>
      <c r="J245" s="10"/>
      <c r="K245" s="10"/>
      <c r="L245" s="11"/>
    </row>
    <row r="246" spans="1:12">
      <c r="A246" s="10"/>
      <c r="B246" s="10"/>
      <c r="C246" s="10"/>
      <c r="D246" s="10"/>
      <c r="E246" s="11"/>
      <c r="F246" s="10"/>
      <c r="G246" s="11"/>
      <c r="H246" s="11"/>
      <c r="I246" s="10"/>
      <c r="J246" s="10"/>
      <c r="K246" s="10"/>
      <c r="L246" s="11"/>
    </row>
    <row r="247" spans="1:12">
      <c r="A247" s="10"/>
      <c r="B247" s="10"/>
      <c r="C247" s="10"/>
      <c r="D247" s="10"/>
      <c r="E247" s="11"/>
      <c r="F247" s="10"/>
      <c r="G247" s="11"/>
      <c r="H247" s="11"/>
      <c r="I247" s="10"/>
      <c r="J247" s="10"/>
      <c r="K247" s="10"/>
      <c r="L247" s="11"/>
    </row>
    <row r="248" spans="1:12">
      <c r="A248" s="10"/>
      <c r="B248" s="10"/>
      <c r="C248" s="10"/>
      <c r="D248" s="10"/>
      <c r="E248" s="11"/>
      <c r="F248" s="10"/>
      <c r="G248" s="11"/>
      <c r="H248" s="11"/>
      <c r="I248" s="10"/>
      <c r="J248" s="10"/>
      <c r="K248" s="10"/>
      <c r="L248" s="11"/>
    </row>
    <row r="249" spans="1:12">
      <c r="A249" s="10"/>
      <c r="B249" s="10"/>
      <c r="C249" s="10"/>
      <c r="D249" s="10"/>
      <c r="E249" s="11"/>
      <c r="F249" s="10"/>
      <c r="G249" s="11"/>
      <c r="H249" s="11"/>
      <c r="I249" s="10"/>
      <c r="J249" s="10"/>
      <c r="K249" s="10"/>
      <c r="L249" s="11"/>
    </row>
    <row r="250" spans="1:12">
      <c r="A250" s="10"/>
      <c r="B250" s="10"/>
      <c r="C250" s="10"/>
      <c r="D250" s="10"/>
      <c r="E250" s="11"/>
      <c r="F250" s="10"/>
      <c r="G250" s="11"/>
      <c r="H250" s="11"/>
      <c r="I250" s="10"/>
      <c r="J250" s="10"/>
      <c r="K250" s="10"/>
      <c r="L250" s="11"/>
    </row>
  </sheetData>
  <mergeCells count="2">
    <mergeCell ref="A2:L2"/>
    <mergeCell ref="A1:L1"/>
  </mergeCells>
  <conditionalFormatting sqref="B4:B250">
    <cfRule type="expression" dxfId="9" priority="1">
      <formula>LEN($B4)=0</formula>
    </cfRule>
  </conditionalFormatting>
  <dataValidations count="5">
    <dataValidation type="list" allowBlank="1" sqref="B4:B250" xr:uid="{00000000-0002-0000-0B00-000000000000}">
      <formula1>TechIDs</formula1>
    </dataValidation>
    <dataValidation type="list" allowBlank="1" sqref="F4:F250" xr:uid="{00000000-0002-0000-0B00-000001000000}">
      <formula1>TRL</formula1>
    </dataValidation>
    <dataValidation type="list" allowBlank="1" sqref="G4:G250" xr:uid="{00000000-0002-0000-0B00-000002000000}">
      <formula1>FaseSviluppo</formula1>
    </dataValidation>
    <dataValidation type="list" allowBlank="1" sqref="J4:J250" xr:uid="{00000000-0002-0000-0B00-000003000000}">
      <formula1>Geografie</formula1>
    </dataValidation>
    <dataValidation type="list" allowBlank="1" sqref="K4:K250" xr:uid="{00000000-0002-0000-0B00-000004000000}">
      <formula1>SourceIDs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F766E"/>
  </sheetPr>
  <dimension ref="A1:N250"/>
  <sheetViews>
    <sheetView showGridLines="0" workbookViewId="0">
      <selection activeCell="L12" sqref="L12"/>
    </sheetView>
  </sheetViews>
  <sheetFormatPr defaultRowHeight="14.45"/>
  <cols>
    <col min="1" max="1" width="14" customWidth="1"/>
    <col min="2" max="2" width="10" customWidth="1"/>
    <col min="3" max="3" width="22" customWidth="1"/>
    <col min="4" max="4" width="16" customWidth="1"/>
    <col min="5" max="5" width="24" customWidth="1"/>
    <col min="6" max="6" width="12" customWidth="1"/>
    <col min="7" max="7" width="14" customWidth="1"/>
    <col min="8" max="9" width="10" customWidth="1"/>
    <col min="10" max="11" width="14" customWidth="1"/>
    <col min="12" max="12" width="24" customWidth="1"/>
    <col min="13" max="13" width="12" customWidth="1"/>
    <col min="14" max="14" width="24" customWidth="1"/>
  </cols>
  <sheetData>
    <row r="1" spans="1:14" ht="24" customHeight="1">
      <c r="A1" s="28" t="s">
        <v>1945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36" customHeight="1">
      <c r="A2" s="29" t="s">
        <v>1946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7.95" customHeight="1">
      <c r="A3" s="9" t="s">
        <v>203</v>
      </c>
      <c r="B3" s="9" t="s">
        <v>64</v>
      </c>
      <c r="C3" s="9" t="s">
        <v>23</v>
      </c>
      <c r="D3" s="9" t="s">
        <v>199</v>
      </c>
      <c r="E3" s="9" t="s">
        <v>1947</v>
      </c>
      <c r="F3" s="9" t="s">
        <v>1948</v>
      </c>
      <c r="G3" s="9" t="s">
        <v>1949</v>
      </c>
      <c r="H3" s="9" t="s">
        <v>1950</v>
      </c>
      <c r="I3" s="9" t="s">
        <v>1951</v>
      </c>
      <c r="J3" s="9" t="s">
        <v>1554</v>
      </c>
      <c r="K3" s="9" t="s">
        <v>229</v>
      </c>
      <c r="L3" s="9" t="s">
        <v>1952</v>
      </c>
      <c r="M3" s="9" t="s">
        <v>1061</v>
      </c>
      <c r="N3" s="9" t="s">
        <v>1062</v>
      </c>
    </row>
    <row r="4" spans="1:14" ht="29.1" customHeight="1">
      <c r="A4" s="10" t="s">
        <v>1953</v>
      </c>
      <c r="B4" s="10" t="s">
        <v>117</v>
      </c>
      <c r="C4" s="10" t="s">
        <v>118</v>
      </c>
      <c r="D4" s="10"/>
      <c r="E4" s="11" t="s">
        <v>1954</v>
      </c>
      <c r="F4" s="10">
        <v>1.1200000000000001</v>
      </c>
      <c r="G4" s="10" t="s">
        <v>1955</v>
      </c>
      <c r="H4" s="10" t="s">
        <v>274</v>
      </c>
      <c r="I4" s="10">
        <v>2024</v>
      </c>
      <c r="J4" s="10" t="s">
        <v>290</v>
      </c>
      <c r="K4" s="10" t="s">
        <v>1956</v>
      </c>
      <c r="L4" s="11" t="s">
        <v>1957</v>
      </c>
      <c r="M4" s="10" t="s">
        <v>435</v>
      </c>
      <c r="N4" s="11" t="s">
        <v>1958</v>
      </c>
    </row>
    <row r="5" spans="1:14" ht="29.1" customHeight="1">
      <c r="A5" s="10" t="s">
        <v>1959</v>
      </c>
      <c r="B5" s="10" t="s">
        <v>117</v>
      </c>
      <c r="C5" s="10" t="s">
        <v>118</v>
      </c>
      <c r="D5" s="10"/>
      <c r="E5" s="11" t="s">
        <v>1960</v>
      </c>
      <c r="F5" s="10">
        <v>3.15</v>
      </c>
      <c r="G5" s="10" t="s">
        <v>1955</v>
      </c>
      <c r="H5" s="10" t="s">
        <v>274</v>
      </c>
      <c r="I5" s="10">
        <v>2024</v>
      </c>
      <c r="J5" s="10" t="s">
        <v>290</v>
      </c>
      <c r="K5" s="10" t="s">
        <v>1961</v>
      </c>
      <c r="L5" s="11" t="s">
        <v>1962</v>
      </c>
      <c r="M5" s="10" t="s">
        <v>435</v>
      </c>
      <c r="N5" s="11" t="s">
        <v>1963</v>
      </c>
    </row>
    <row r="6" spans="1:14" ht="43.5" customHeight="1">
      <c r="A6" s="10" t="s">
        <v>1964</v>
      </c>
      <c r="B6" s="10" t="s">
        <v>117</v>
      </c>
      <c r="C6" s="10" t="s">
        <v>118</v>
      </c>
      <c r="D6" s="10" t="s">
        <v>1073</v>
      </c>
      <c r="E6" s="11" t="s">
        <v>1965</v>
      </c>
      <c r="F6" s="10">
        <v>1.99</v>
      </c>
      <c r="G6" s="10" t="s">
        <v>1955</v>
      </c>
      <c r="H6" s="10" t="s">
        <v>274</v>
      </c>
      <c r="I6" s="10">
        <v>2024</v>
      </c>
      <c r="J6" s="10" t="s">
        <v>290</v>
      </c>
      <c r="K6" s="10" t="s">
        <v>1966</v>
      </c>
      <c r="L6" s="11" t="s">
        <v>1967</v>
      </c>
      <c r="M6" s="10" t="s">
        <v>435</v>
      </c>
      <c r="N6" s="11" t="s">
        <v>1963</v>
      </c>
    </row>
    <row r="7" spans="1:14" ht="43.5" customHeight="1">
      <c r="A7" s="10" t="s">
        <v>1968</v>
      </c>
      <c r="B7" s="10" t="s">
        <v>117</v>
      </c>
      <c r="C7" s="10" t="s">
        <v>118</v>
      </c>
      <c r="D7" s="10"/>
      <c r="E7" s="11" t="s">
        <v>1969</v>
      </c>
      <c r="F7" s="10">
        <v>1.32</v>
      </c>
      <c r="G7" s="10" t="s">
        <v>1970</v>
      </c>
      <c r="H7" s="10" t="s">
        <v>274</v>
      </c>
      <c r="I7" s="10">
        <v>2020</v>
      </c>
      <c r="J7" s="10" t="s">
        <v>1971</v>
      </c>
      <c r="K7" s="10" t="s">
        <v>1972</v>
      </c>
      <c r="L7" s="11" t="s">
        <v>1973</v>
      </c>
      <c r="M7" s="10" t="s">
        <v>486</v>
      </c>
      <c r="N7" s="11" t="s">
        <v>1974</v>
      </c>
    </row>
    <row r="8" spans="1:14" ht="29.1" customHeight="1">
      <c r="A8" s="10" t="s">
        <v>1975</v>
      </c>
      <c r="B8" s="10" t="s">
        <v>117</v>
      </c>
      <c r="C8" s="10" t="s">
        <v>118</v>
      </c>
      <c r="D8" s="10" t="s">
        <v>200</v>
      </c>
      <c r="E8" s="11" t="s">
        <v>1976</v>
      </c>
      <c r="F8" s="10">
        <v>-33</v>
      </c>
      <c r="G8" s="10" t="s">
        <v>1977</v>
      </c>
      <c r="H8" s="10" t="s">
        <v>1978</v>
      </c>
      <c r="I8" s="10">
        <v>2024</v>
      </c>
      <c r="J8" s="10" t="s">
        <v>338</v>
      </c>
      <c r="K8" s="10" t="s">
        <v>1979</v>
      </c>
      <c r="L8" s="11" t="s">
        <v>1980</v>
      </c>
      <c r="M8" s="10" t="s">
        <v>451</v>
      </c>
      <c r="N8" s="11" t="s">
        <v>1981</v>
      </c>
    </row>
    <row r="9" spans="1:14" ht="43.5" customHeight="1">
      <c r="A9" s="10" t="s">
        <v>1982</v>
      </c>
      <c r="B9" s="10" t="s">
        <v>117</v>
      </c>
      <c r="C9" s="10" t="s">
        <v>118</v>
      </c>
      <c r="D9" s="10" t="s">
        <v>1110</v>
      </c>
      <c r="E9" s="11" t="s">
        <v>1983</v>
      </c>
      <c r="F9" s="10">
        <v>9.5000000000000001E-2</v>
      </c>
      <c r="G9" s="10" t="s">
        <v>1984</v>
      </c>
      <c r="H9" s="10" t="s">
        <v>250</v>
      </c>
      <c r="I9" s="10">
        <v>2024</v>
      </c>
      <c r="J9" s="10" t="s">
        <v>1985</v>
      </c>
      <c r="K9" s="10" t="s">
        <v>1986</v>
      </c>
      <c r="L9" s="11" t="s">
        <v>1987</v>
      </c>
      <c r="M9" s="10" t="s">
        <v>505</v>
      </c>
      <c r="N9" s="11" t="s">
        <v>1988</v>
      </c>
    </row>
    <row r="10" spans="1:14" ht="43.5" customHeight="1">
      <c r="A10" s="10" t="s">
        <v>1989</v>
      </c>
      <c r="B10" s="10" t="s">
        <v>131</v>
      </c>
      <c r="C10" s="10" t="s">
        <v>132</v>
      </c>
      <c r="D10" s="10"/>
      <c r="E10" s="11" t="s">
        <v>1990</v>
      </c>
      <c r="F10" s="10">
        <v>1.6</v>
      </c>
      <c r="G10" s="10" t="s">
        <v>1991</v>
      </c>
      <c r="H10" s="10" t="s">
        <v>274</v>
      </c>
      <c r="I10" s="10">
        <v>2024</v>
      </c>
      <c r="J10" s="10" t="s">
        <v>290</v>
      </c>
      <c r="K10" s="10" t="s">
        <v>1992</v>
      </c>
      <c r="L10" s="11" t="s">
        <v>1993</v>
      </c>
      <c r="M10" s="10" t="s">
        <v>550</v>
      </c>
      <c r="N10" s="11" t="s">
        <v>1994</v>
      </c>
    </row>
    <row r="11" spans="1:14" ht="29.1" customHeight="1">
      <c r="A11" s="10" t="s">
        <v>1995</v>
      </c>
      <c r="B11" s="10" t="s">
        <v>131</v>
      </c>
      <c r="C11" s="10" t="s">
        <v>132</v>
      </c>
      <c r="D11" s="10"/>
      <c r="E11" s="11" t="s">
        <v>1996</v>
      </c>
      <c r="F11" s="10">
        <v>4.8</v>
      </c>
      <c r="G11" s="10" t="s">
        <v>1991</v>
      </c>
      <c r="H11" s="10" t="s">
        <v>274</v>
      </c>
      <c r="I11" s="10">
        <v>2024</v>
      </c>
      <c r="J11" s="10" t="s">
        <v>1997</v>
      </c>
      <c r="K11" s="10" t="s">
        <v>1998</v>
      </c>
      <c r="L11" s="11" t="s">
        <v>1999</v>
      </c>
      <c r="M11" s="10" t="s">
        <v>2000</v>
      </c>
      <c r="N11" s="11" t="s">
        <v>2001</v>
      </c>
    </row>
    <row r="12" spans="1:14" ht="43.5" customHeight="1">
      <c r="A12" s="10" t="s">
        <v>2002</v>
      </c>
      <c r="B12" s="10" t="s">
        <v>131</v>
      </c>
      <c r="C12" s="10" t="s">
        <v>132</v>
      </c>
      <c r="D12" s="10" t="s">
        <v>1168</v>
      </c>
      <c r="E12" s="11" t="s">
        <v>2003</v>
      </c>
      <c r="F12" s="10">
        <v>6.6</v>
      </c>
      <c r="G12" s="10" t="s">
        <v>1991</v>
      </c>
      <c r="H12" s="10" t="s">
        <v>274</v>
      </c>
      <c r="I12" s="10">
        <v>2024</v>
      </c>
      <c r="J12" s="10" t="s">
        <v>338</v>
      </c>
      <c r="K12" s="10" t="s">
        <v>2004</v>
      </c>
      <c r="L12" s="11" t="s">
        <v>2005</v>
      </c>
      <c r="M12" s="10" t="s">
        <v>2006</v>
      </c>
      <c r="N12" s="11" t="s">
        <v>2007</v>
      </c>
    </row>
    <row r="13" spans="1:14" ht="43.5" customHeight="1">
      <c r="A13" s="10" t="s">
        <v>2008</v>
      </c>
      <c r="B13" s="10" t="s">
        <v>131</v>
      </c>
      <c r="C13" s="10" t="s">
        <v>132</v>
      </c>
      <c r="D13" s="10"/>
      <c r="E13" s="11" t="s">
        <v>2009</v>
      </c>
      <c r="F13" s="10">
        <v>44</v>
      </c>
      <c r="G13" s="10" t="s">
        <v>2010</v>
      </c>
      <c r="H13" s="10" t="s">
        <v>274</v>
      </c>
      <c r="I13" s="10">
        <v>2024</v>
      </c>
      <c r="J13" s="10" t="s">
        <v>290</v>
      </c>
      <c r="K13" s="10" t="s">
        <v>2011</v>
      </c>
      <c r="L13" s="11" t="s">
        <v>2012</v>
      </c>
      <c r="M13" s="10" t="s">
        <v>2013</v>
      </c>
      <c r="N13" s="11" t="s">
        <v>2014</v>
      </c>
    </row>
    <row r="14" spans="1:14" ht="43.5" customHeight="1">
      <c r="A14" s="10" t="s">
        <v>2015</v>
      </c>
      <c r="B14" s="10" t="s">
        <v>131</v>
      </c>
      <c r="C14" s="10" t="s">
        <v>132</v>
      </c>
      <c r="D14" s="10"/>
      <c r="E14" s="11" t="s">
        <v>2016</v>
      </c>
      <c r="F14" s="10">
        <v>0</v>
      </c>
      <c r="G14" s="10" t="s">
        <v>2017</v>
      </c>
      <c r="H14" s="10" t="s">
        <v>250</v>
      </c>
      <c r="I14" s="10">
        <v>2024</v>
      </c>
      <c r="J14" s="10" t="s">
        <v>2018</v>
      </c>
      <c r="K14" s="10" t="s">
        <v>2019</v>
      </c>
      <c r="L14" s="11" t="s">
        <v>2020</v>
      </c>
      <c r="M14" s="10" t="s">
        <v>611</v>
      </c>
      <c r="N14" s="11" t="s">
        <v>2021</v>
      </c>
    </row>
    <row r="15" spans="1:14" ht="43.5" customHeight="1">
      <c r="A15" s="10" t="s">
        <v>2022</v>
      </c>
      <c r="B15" s="10" t="s">
        <v>131</v>
      </c>
      <c r="C15" s="10" t="s">
        <v>132</v>
      </c>
      <c r="D15" s="10" t="s">
        <v>1144</v>
      </c>
      <c r="E15" s="11" t="s">
        <v>2023</v>
      </c>
      <c r="F15" s="10">
        <v>14.7</v>
      </c>
      <c r="G15" s="10" t="s">
        <v>2024</v>
      </c>
      <c r="H15" s="10" t="s">
        <v>1978</v>
      </c>
      <c r="I15" s="10">
        <v>2025</v>
      </c>
      <c r="J15" s="10" t="s">
        <v>338</v>
      </c>
      <c r="K15" s="10" t="s">
        <v>2025</v>
      </c>
      <c r="L15" s="11" t="s">
        <v>2026</v>
      </c>
      <c r="M15" s="10" t="s">
        <v>617</v>
      </c>
      <c r="N15" s="11" t="s">
        <v>2027</v>
      </c>
    </row>
    <row r="16" spans="1:14" ht="29.1" customHeight="1">
      <c r="A16" s="10" t="s">
        <v>2028</v>
      </c>
      <c r="B16" s="10" t="s">
        <v>161</v>
      </c>
      <c r="C16" s="10" t="s">
        <v>162</v>
      </c>
      <c r="D16" s="10" t="s">
        <v>1126</v>
      </c>
      <c r="E16" s="11" t="s">
        <v>2029</v>
      </c>
      <c r="F16" s="10">
        <v>700</v>
      </c>
      <c r="G16" s="10" t="s">
        <v>2030</v>
      </c>
      <c r="H16" s="10" t="s">
        <v>274</v>
      </c>
      <c r="I16" s="10">
        <v>2025</v>
      </c>
      <c r="J16" s="10" t="s">
        <v>338</v>
      </c>
      <c r="K16" s="10" t="s">
        <v>2031</v>
      </c>
      <c r="L16" s="11" t="s">
        <v>2032</v>
      </c>
      <c r="M16" s="10" t="s">
        <v>2033</v>
      </c>
      <c r="N16" s="11" t="s">
        <v>2034</v>
      </c>
    </row>
    <row r="17" spans="1:14" ht="29.1" customHeight="1">
      <c r="A17" s="10" t="s">
        <v>2035</v>
      </c>
      <c r="B17" s="10" t="s">
        <v>161</v>
      </c>
      <c r="C17" s="10" t="s">
        <v>162</v>
      </c>
      <c r="D17" s="10" t="s">
        <v>1132</v>
      </c>
      <c r="E17" s="11" t="s">
        <v>2036</v>
      </c>
      <c r="F17" s="10">
        <v>950</v>
      </c>
      <c r="G17" s="10" t="s">
        <v>2030</v>
      </c>
      <c r="H17" s="10" t="s">
        <v>274</v>
      </c>
      <c r="I17" s="10">
        <v>2025</v>
      </c>
      <c r="J17" s="10" t="s">
        <v>338</v>
      </c>
      <c r="K17" s="10" t="s">
        <v>2037</v>
      </c>
      <c r="L17" s="11" t="s">
        <v>2038</v>
      </c>
      <c r="M17" s="10" t="s">
        <v>2039</v>
      </c>
      <c r="N17" s="11" t="s">
        <v>2034</v>
      </c>
    </row>
    <row r="18" spans="1:14" ht="43.5" customHeight="1">
      <c r="A18" s="10" t="s">
        <v>2040</v>
      </c>
      <c r="B18" s="10" t="s">
        <v>161</v>
      </c>
      <c r="C18" s="10" t="s">
        <v>162</v>
      </c>
      <c r="D18" s="10" t="s">
        <v>1137</v>
      </c>
      <c r="E18" s="11" t="s">
        <v>2041</v>
      </c>
      <c r="F18" s="10">
        <v>1400</v>
      </c>
      <c r="G18" s="10" t="s">
        <v>2030</v>
      </c>
      <c r="H18" s="10" t="s">
        <v>274</v>
      </c>
      <c r="I18" s="10">
        <v>2025</v>
      </c>
      <c r="J18" s="10" t="s">
        <v>338</v>
      </c>
      <c r="K18" s="10" t="s">
        <v>2042</v>
      </c>
      <c r="L18" s="11" t="s">
        <v>2043</v>
      </c>
      <c r="M18" s="10" t="s">
        <v>666</v>
      </c>
      <c r="N18" s="11" t="s">
        <v>2044</v>
      </c>
    </row>
    <row r="19" spans="1:14" ht="43.5" customHeight="1">
      <c r="A19" s="10" t="s">
        <v>2045</v>
      </c>
      <c r="B19" s="10" t="s">
        <v>161</v>
      </c>
      <c r="C19" s="10" t="s">
        <v>162</v>
      </c>
      <c r="D19" s="10"/>
      <c r="E19" s="11" t="s">
        <v>2046</v>
      </c>
      <c r="F19" s="10">
        <v>4.5</v>
      </c>
      <c r="G19" s="10" t="s">
        <v>2047</v>
      </c>
      <c r="H19" s="10" t="s">
        <v>274</v>
      </c>
      <c r="I19" s="10">
        <v>2025</v>
      </c>
      <c r="J19" s="10" t="s">
        <v>338</v>
      </c>
      <c r="K19" s="10" t="s">
        <v>2048</v>
      </c>
      <c r="L19" s="11" t="s">
        <v>2049</v>
      </c>
      <c r="M19" s="10" t="s">
        <v>634</v>
      </c>
      <c r="N19" s="11" t="s">
        <v>2050</v>
      </c>
    </row>
    <row r="20" spans="1:14" ht="57.95" customHeight="1">
      <c r="A20" s="10" t="s">
        <v>2051</v>
      </c>
      <c r="B20" s="10" t="s">
        <v>161</v>
      </c>
      <c r="C20" s="10" t="s">
        <v>162</v>
      </c>
      <c r="D20" s="10"/>
      <c r="E20" s="11" t="s">
        <v>2052</v>
      </c>
      <c r="F20" s="10">
        <v>1</v>
      </c>
      <c r="G20" s="10" t="s">
        <v>2047</v>
      </c>
      <c r="H20" s="10" t="s">
        <v>274</v>
      </c>
      <c r="I20" s="10">
        <v>2031</v>
      </c>
      <c r="J20" s="10" t="s">
        <v>1575</v>
      </c>
      <c r="K20" s="10" t="s">
        <v>2053</v>
      </c>
      <c r="L20" s="11" t="s">
        <v>2054</v>
      </c>
      <c r="M20" s="10" t="s">
        <v>644</v>
      </c>
      <c r="N20" s="11" t="s">
        <v>2055</v>
      </c>
    </row>
    <row r="21" spans="1:14" ht="43.5" customHeight="1">
      <c r="A21" s="10" t="s">
        <v>2056</v>
      </c>
      <c r="B21" s="10" t="s">
        <v>161</v>
      </c>
      <c r="C21" s="10" t="s">
        <v>162</v>
      </c>
      <c r="D21" s="10"/>
      <c r="E21" s="11" t="s">
        <v>2057</v>
      </c>
      <c r="F21" s="10">
        <v>60</v>
      </c>
      <c r="G21" s="10" t="s">
        <v>1977</v>
      </c>
      <c r="H21" s="10" t="s">
        <v>1978</v>
      </c>
      <c r="I21" s="10">
        <v>2025</v>
      </c>
      <c r="J21" s="10" t="s">
        <v>338</v>
      </c>
      <c r="K21" s="10" t="s">
        <v>2058</v>
      </c>
      <c r="L21" s="11" t="s">
        <v>2059</v>
      </c>
      <c r="M21" s="10" t="s">
        <v>634</v>
      </c>
      <c r="N21" s="11" t="s">
        <v>2060</v>
      </c>
    </row>
    <row r="22" spans="1:14">
      <c r="A22" s="10" t="s">
        <v>2061</v>
      </c>
      <c r="B22" s="10" t="s">
        <v>90</v>
      </c>
      <c r="C22" s="10" t="s">
        <v>91</v>
      </c>
      <c r="D22" s="10"/>
      <c r="E22" s="11" t="s">
        <v>236</v>
      </c>
      <c r="F22" s="10" t="s">
        <v>2062</v>
      </c>
      <c r="G22" s="10" t="s">
        <v>2063</v>
      </c>
      <c r="H22" s="10" t="s">
        <v>2064</v>
      </c>
      <c r="I22" s="10" t="s">
        <v>2065</v>
      </c>
      <c r="J22" s="10" t="s">
        <v>100</v>
      </c>
      <c r="K22" s="10"/>
      <c r="L22" s="11"/>
      <c r="M22" s="10"/>
      <c r="N22" s="11"/>
    </row>
    <row r="23" spans="1:14">
      <c r="A23" s="10" t="s">
        <v>2066</v>
      </c>
      <c r="B23" s="10" t="s">
        <v>90</v>
      </c>
      <c r="C23" s="10" t="s">
        <v>91</v>
      </c>
      <c r="D23" s="10"/>
      <c r="E23" s="11" t="s">
        <v>259</v>
      </c>
      <c r="F23" s="10" t="s">
        <v>2067</v>
      </c>
      <c r="G23" s="10" t="s">
        <v>2068</v>
      </c>
      <c r="H23" s="10" t="s">
        <v>275</v>
      </c>
      <c r="I23" s="10" t="s">
        <v>2069</v>
      </c>
      <c r="J23" s="10" t="s">
        <v>100</v>
      </c>
      <c r="K23" s="10"/>
      <c r="L23" s="11"/>
      <c r="M23" s="10"/>
      <c r="N23" s="11"/>
    </row>
    <row r="24" spans="1:14">
      <c r="A24" s="10" t="s">
        <v>2070</v>
      </c>
      <c r="B24" s="10" t="s">
        <v>90</v>
      </c>
      <c r="C24" s="10" t="s">
        <v>91</v>
      </c>
      <c r="D24" s="10"/>
      <c r="E24" s="11" t="s">
        <v>284</v>
      </c>
      <c r="F24" s="10" t="s">
        <v>2071</v>
      </c>
      <c r="G24" s="10" t="s">
        <v>2017</v>
      </c>
      <c r="H24" s="10" t="s">
        <v>2072</v>
      </c>
      <c r="I24" s="10" t="s">
        <v>2073</v>
      </c>
      <c r="J24" s="10" t="s">
        <v>100</v>
      </c>
      <c r="K24" s="10"/>
      <c r="L24" s="11"/>
      <c r="M24" s="10"/>
      <c r="N24" s="11"/>
    </row>
    <row r="25" spans="1:14">
      <c r="A25" s="10" t="s">
        <v>2074</v>
      </c>
      <c r="B25" s="10" t="s">
        <v>90</v>
      </c>
      <c r="C25" s="10" t="s">
        <v>91</v>
      </c>
      <c r="D25" s="10" t="s">
        <v>1191</v>
      </c>
      <c r="E25" s="11" t="s">
        <v>236</v>
      </c>
      <c r="F25" s="10" t="s">
        <v>1832</v>
      </c>
      <c r="G25" s="10" t="s">
        <v>2063</v>
      </c>
      <c r="H25" s="10" t="s">
        <v>2075</v>
      </c>
      <c r="I25" s="10" t="s">
        <v>2076</v>
      </c>
      <c r="J25" s="10" t="s">
        <v>769</v>
      </c>
      <c r="K25" s="10"/>
      <c r="L25" s="11"/>
      <c r="M25" s="10"/>
      <c r="N25" s="11"/>
    </row>
    <row r="26" spans="1:14">
      <c r="A26" s="10" t="s">
        <v>2077</v>
      </c>
      <c r="B26" s="10" t="s">
        <v>90</v>
      </c>
      <c r="C26" s="10" t="s">
        <v>91</v>
      </c>
      <c r="D26" s="10" t="s">
        <v>1225</v>
      </c>
      <c r="E26" s="11" t="s">
        <v>236</v>
      </c>
      <c r="F26" s="10" t="s">
        <v>1836</v>
      </c>
      <c r="G26" s="10" t="s">
        <v>2063</v>
      </c>
      <c r="H26" s="10" t="s">
        <v>2075</v>
      </c>
      <c r="I26" s="10" t="s">
        <v>2078</v>
      </c>
      <c r="J26" s="10" t="s">
        <v>769</v>
      </c>
      <c r="K26" s="10"/>
      <c r="L26" s="11"/>
      <c r="M26" s="10"/>
      <c r="N26" s="11"/>
    </row>
    <row r="27" spans="1:14">
      <c r="A27" s="10" t="s">
        <v>2079</v>
      </c>
      <c r="B27" s="10" t="s">
        <v>90</v>
      </c>
      <c r="C27" s="10" t="s">
        <v>91</v>
      </c>
      <c r="D27" s="10" t="s">
        <v>1230</v>
      </c>
      <c r="E27" s="11" t="s">
        <v>236</v>
      </c>
      <c r="F27" s="10" t="s">
        <v>1840</v>
      </c>
      <c r="G27" s="10" t="s">
        <v>2063</v>
      </c>
      <c r="H27" s="10" t="s">
        <v>2075</v>
      </c>
      <c r="I27" s="10" t="s">
        <v>2080</v>
      </c>
      <c r="J27" s="10" t="s">
        <v>1000</v>
      </c>
      <c r="K27" s="10"/>
      <c r="L27" s="11"/>
      <c r="M27" s="10"/>
      <c r="N27" s="11"/>
    </row>
    <row r="28" spans="1:14">
      <c r="A28" s="10" t="s">
        <v>2081</v>
      </c>
      <c r="B28" s="10" t="s">
        <v>102</v>
      </c>
      <c r="C28" s="10" t="s">
        <v>103</v>
      </c>
      <c r="D28" s="10"/>
      <c r="E28" s="11" t="s">
        <v>236</v>
      </c>
      <c r="F28" s="10" t="s">
        <v>2082</v>
      </c>
      <c r="G28" s="10" t="s">
        <v>2063</v>
      </c>
      <c r="H28" s="10" t="s">
        <v>2064</v>
      </c>
      <c r="I28" s="10" t="s">
        <v>2065</v>
      </c>
      <c r="J28" s="10" t="s">
        <v>107</v>
      </c>
      <c r="K28" s="10"/>
      <c r="L28" s="11"/>
      <c r="M28" s="10"/>
      <c r="N28" s="11"/>
    </row>
    <row r="29" spans="1:14">
      <c r="A29" s="10" t="s">
        <v>2083</v>
      </c>
      <c r="B29" s="10" t="s">
        <v>102</v>
      </c>
      <c r="C29" s="10" t="s">
        <v>103</v>
      </c>
      <c r="D29" s="10"/>
      <c r="E29" s="11" t="s">
        <v>259</v>
      </c>
      <c r="F29" s="10" t="s">
        <v>2084</v>
      </c>
      <c r="G29" s="10" t="s">
        <v>2068</v>
      </c>
      <c r="H29" s="10" t="s">
        <v>275</v>
      </c>
      <c r="I29" s="10" t="s">
        <v>2069</v>
      </c>
      <c r="J29" s="10" t="s">
        <v>107</v>
      </c>
      <c r="K29" s="10"/>
      <c r="L29" s="11"/>
      <c r="M29" s="10"/>
      <c r="N29" s="11"/>
    </row>
    <row r="30" spans="1:14">
      <c r="A30" s="10" t="s">
        <v>2085</v>
      </c>
      <c r="B30" s="10" t="s">
        <v>102</v>
      </c>
      <c r="C30" s="10" t="s">
        <v>103</v>
      </c>
      <c r="D30" s="10"/>
      <c r="E30" s="11" t="s">
        <v>284</v>
      </c>
      <c r="F30" s="10" t="s">
        <v>2086</v>
      </c>
      <c r="G30" s="10" t="s">
        <v>2017</v>
      </c>
      <c r="H30" s="10" t="s">
        <v>2072</v>
      </c>
      <c r="I30" s="10" t="s">
        <v>2073</v>
      </c>
      <c r="J30" s="10" t="s">
        <v>107</v>
      </c>
      <c r="K30" s="10"/>
      <c r="L30" s="11"/>
      <c r="M30" s="10"/>
      <c r="N30" s="11"/>
    </row>
    <row r="31" spans="1:14">
      <c r="A31" s="10" t="s">
        <v>2087</v>
      </c>
      <c r="B31" s="10" t="s">
        <v>102</v>
      </c>
      <c r="C31" s="10" t="s">
        <v>103</v>
      </c>
      <c r="D31" s="10" t="s">
        <v>1249</v>
      </c>
      <c r="E31" s="11" t="s">
        <v>236</v>
      </c>
      <c r="F31" s="10" t="s">
        <v>1850</v>
      </c>
      <c r="G31" s="10" t="s">
        <v>2088</v>
      </c>
      <c r="H31" s="10" t="s">
        <v>2075</v>
      </c>
      <c r="I31" s="10" t="s">
        <v>2089</v>
      </c>
      <c r="J31" s="10" t="s">
        <v>976</v>
      </c>
      <c r="K31" s="10"/>
      <c r="L31" s="11"/>
      <c r="M31" s="10"/>
      <c r="N31" s="11"/>
    </row>
    <row r="32" spans="1:14">
      <c r="A32" s="10" t="s">
        <v>2090</v>
      </c>
      <c r="B32" s="10" t="s">
        <v>102</v>
      </c>
      <c r="C32" s="10" t="s">
        <v>103</v>
      </c>
      <c r="D32" s="10" t="s">
        <v>1259</v>
      </c>
      <c r="E32" s="11" t="s">
        <v>236</v>
      </c>
      <c r="F32" s="10" t="s">
        <v>1853</v>
      </c>
      <c r="G32" s="10" t="s">
        <v>2091</v>
      </c>
      <c r="H32" s="10" t="s">
        <v>2075</v>
      </c>
      <c r="I32" s="10" t="s">
        <v>2092</v>
      </c>
      <c r="J32" s="10" t="s">
        <v>982</v>
      </c>
      <c r="K32" s="10"/>
      <c r="L32" s="11"/>
      <c r="M32" s="10"/>
      <c r="N32" s="11"/>
    </row>
    <row r="33" spans="1:14">
      <c r="A33" s="10" t="s">
        <v>2093</v>
      </c>
      <c r="B33" s="10" t="s">
        <v>102</v>
      </c>
      <c r="C33" s="10" t="s">
        <v>103</v>
      </c>
      <c r="D33" s="10" t="s">
        <v>1264</v>
      </c>
      <c r="E33" s="11" t="s">
        <v>236</v>
      </c>
      <c r="F33" s="10" t="s">
        <v>1856</v>
      </c>
      <c r="G33" s="10" t="s">
        <v>2094</v>
      </c>
      <c r="H33" s="10" t="s">
        <v>2075</v>
      </c>
      <c r="I33" s="10" t="s">
        <v>2095</v>
      </c>
      <c r="J33" s="10" t="s">
        <v>988</v>
      </c>
      <c r="K33" s="10"/>
      <c r="L33" s="11"/>
      <c r="M33" s="10"/>
      <c r="N33" s="11"/>
    </row>
    <row r="34" spans="1:14">
      <c r="A34" s="10" t="s">
        <v>2096</v>
      </c>
      <c r="B34" s="10" t="s">
        <v>108</v>
      </c>
      <c r="C34" s="10" t="s">
        <v>109</v>
      </c>
      <c r="D34" s="10"/>
      <c r="E34" s="11" t="s">
        <v>236</v>
      </c>
      <c r="F34" s="10" t="s">
        <v>1926</v>
      </c>
      <c r="G34" s="10" t="s">
        <v>2063</v>
      </c>
      <c r="H34" s="10" t="s">
        <v>2064</v>
      </c>
      <c r="I34" s="10" t="s">
        <v>2065</v>
      </c>
      <c r="J34" s="10" t="s">
        <v>116</v>
      </c>
      <c r="K34" s="10"/>
      <c r="L34" s="11"/>
      <c r="M34" s="10"/>
      <c r="N34" s="11"/>
    </row>
    <row r="35" spans="1:14">
      <c r="A35" s="10" t="s">
        <v>2097</v>
      </c>
      <c r="B35" s="10" t="s">
        <v>108</v>
      </c>
      <c r="C35" s="10" t="s">
        <v>109</v>
      </c>
      <c r="D35" s="10"/>
      <c r="E35" s="11" t="s">
        <v>259</v>
      </c>
      <c r="F35" s="10" t="s">
        <v>2098</v>
      </c>
      <c r="G35" s="10" t="s">
        <v>2068</v>
      </c>
      <c r="H35" s="10" t="s">
        <v>275</v>
      </c>
      <c r="I35" s="10" t="s">
        <v>2069</v>
      </c>
      <c r="J35" s="10" t="s">
        <v>116</v>
      </c>
      <c r="K35" s="10"/>
      <c r="L35" s="11"/>
      <c r="M35" s="10"/>
      <c r="N35" s="11"/>
    </row>
    <row r="36" spans="1:14">
      <c r="A36" s="10" t="s">
        <v>2099</v>
      </c>
      <c r="B36" s="10" t="s">
        <v>108</v>
      </c>
      <c r="C36" s="10" t="s">
        <v>109</v>
      </c>
      <c r="D36" s="10"/>
      <c r="E36" s="11" t="s">
        <v>284</v>
      </c>
      <c r="F36" s="10" t="s">
        <v>2100</v>
      </c>
      <c r="G36" s="10" t="s">
        <v>2017</v>
      </c>
      <c r="H36" s="10" t="s">
        <v>2072</v>
      </c>
      <c r="I36" s="10" t="s">
        <v>2073</v>
      </c>
      <c r="J36" s="10" t="s">
        <v>116</v>
      </c>
      <c r="K36" s="10"/>
      <c r="L36" s="11"/>
      <c r="M36" s="10"/>
      <c r="N36" s="11"/>
    </row>
    <row r="37" spans="1:14">
      <c r="A37" s="10" t="s">
        <v>2101</v>
      </c>
      <c r="B37" s="10" t="s">
        <v>108</v>
      </c>
      <c r="C37" s="10" t="s">
        <v>109</v>
      </c>
      <c r="D37" s="10" t="s">
        <v>1278</v>
      </c>
      <c r="E37" s="11" t="s">
        <v>236</v>
      </c>
      <c r="F37" s="10" t="s">
        <v>1864</v>
      </c>
      <c r="G37" s="10" t="s">
        <v>2063</v>
      </c>
      <c r="H37" s="10" t="s">
        <v>2075</v>
      </c>
      <c r="I37" s="10" t="s">
        <v>2102</v>
      </c>
      <c r="J37" s="10" t="s">
        <v>769</v>
      </c>
      <c r="K37" s="10"/>
      <c r="L37" s="11"/>
      <c r="M37" s="10"/>
      <c r="N37" s="11"/>
    </row>
    <row r="38" spans="1:14">
      <c r="A38" s="10" t="s">
        <v>2103</v>
      </c>
      <c r="B38" s="10" t="s">
        <v>108</v>
      </c>
      <c r="C38" s="10" t="s">
        <v>109</v>
      </c>
      <c r="D38" s="10" t="s">
        <v>1274</v>
      </c>
      <c r="E38" s="11" t="s">
        <v>236</v>
      </c>
      <c r="F38" s="10" t="s">
        <v>1867</v>
      </c>
      <c r="G38" s="10" t="s">
        <v>2063</v>
      </c>
      <c r="H38" s="10" t="s">
        <v>2075</v>
      </c>
      <c r="I38" s="10" t="s">
        <v>2104</v>
      </c>
      <c r="J38" s="10" t="s">
        <v>769</v>
      </c>
      <c r="K38" s="10"/>
      <c r="L38" s="11"/>
      <c r="M38" s="10"/>
      <c r="N38" s="11"/>
    </row>
    <row r="39" spans="1:14">
      <c r="A39" s="10" t="s">
        <v>2105</v>
      </c>
      <c r="B39" s="10" t="s">
        <v>108</v>
      </c>
      <c r="C39" s="10" t="s">
        <v>109</v>
      </c>
      <c r="D39" s="10" t="s">
        <v>1287</v>
      </c>
      <c r="E39" s="11" t="s">
        <v>236</v>
      </c>
      <c r="F39" s="10" t="s">
        <v>1870</v>
      </c>
      <c r="G39" s="10" t="s">
        <v>2106</v>
      </c>
      <c r="H39" s="10" t="s">
        <v>2075</v>
      </c>
      <c r="I39" s="10" t="s">
        <v>2107</v>
      </c>
      <c r="J39" s="10" t="s">
        <v>965</v>
      </c>
      <c r="K39" s="10"/>
      <c r="L39" s="11"/>
      <c r="M39" s="10"/>
      <c r="N39" s="11"/>
    </row>
    <row r="40" spans="1:14">
      <c r="A40" s="10" t="s">
        <v>2108</v>
      </c>
      <c r="B40" s="10" t="s">
        <v>124</v>
      </c>
      <c r="C40" s="10" t="s">
        <v>125</v>
      </c>
      <c r="D40" s="10"/>
      <c r="E40" s="11" t="s">
        <v>236</v>
      </c>
      <c r="F40" s="10" t="s">
        <v>2109</v>
      </c>
      <c r="G40" s="10" t="s">
        <v>2063</v>
      </c>
      <c r="H40" s="10" t="s">
        <v>2064</v>
      </c>
      <c r="I40" s="10" t="s">
        <v>2065</v>
      </c>
      <c r="J40" s="10" t="s">
        <v>130</v>
      </c>
      <c r="K40" s="10"/>
      <c r="L40" s="11"/>
      <c r="M40" s="10"/>
      <c r="N40" s="11"/>
    </row>
    <row r="41" spans="1:14">
      <c r="A41" s="10" t="s">
        <v>2110</v>
      </c>
      <c r="B41" s="10" t="s">
        <v>124</v>
      </c>
      <c r="C41" s="10" t="s">
        <v>125</v>
      </c>
      <c r="D41" s="10"/>
      <c r="E41" s="11" t="s">
        <v>259</v>
      </c>
      <c r="F41" s="10" t="s">
        <v>2111</v>
      </c>
      <c r="G41" s="10" t="s">
        <v>2068</v>
      </c>
      <c r="H41" s="10" t="s">
        <v>275</v>
      </c>
      <c r="I41" s="10" t="s">
        <v>2069</v>
      </c>
      <c r="J41" s="10" t="s">
        <v>130</v>
      </c>
      <c r="K41" s="10"/>
      <c r="L41" s="11"/>
      <c r="M41" s="10"/>
      <c r="N41" s="11"/>
    </row>
    <row r="42" spans="1:14">
      <c r="A42" s="10" t="s">
        <v>2112</v>
      </c>
      <c r="B42" s="10" t="s">
        <v>124</v>
      </c>
      <c r="C42" s="10" t="s">
        <v>125</v>
      </c>
      <c r="D42" s="10"/>
      <c r="E42" s="11" t="s">
        <v>284</v>
      </c>
      <c r="F42" s="10" t="s">
        <v>2113</v>
      </c>
      <c r="G42" s="10" t="s">
        <v>2017</v>
      </c>
      <c r="H42" s="10" t="s">
        <v>2072</v>
      </c>
      <c r="I42" s="10" t="s">
        <v>2073</v>
      </c>
      <c r="J42" s="10" t="s">
        <v>130</v>
      </c>
      <c r="K42" s="10"/>
      <c r="L42" s="11"/>
      <c r="M42" s="10"/>
      <c r="N42" s="11"/>
    </row>
    <row r="43" spans="1:14">
      <c r="A43" s="10" t="s">
        <v>2114</v>
      </c>
      <c r="B43" s="10" t="s">
        <v>124</v>
      </c>
      <c r="C43" s="10" t="s">
        <v>125</v>
      </c>
      <c r="D43" s="10" t="s">
        <v>1079</v>
      </c>
      <c r="E43" s="11" t="s">
        <v>236</v>
      </c>
      <c r="F43" s="10" t="s">
        <v>1879</v>
      </c>
      <c r="G43" s="10" t="s">
        <v>2115</v>
      </c>
      <c r="H43" s="10" t="s">
        <v>2075</v>
      </c>
      <c r="I43" s="10" t="s">
        <v>2116</v>
      </c>
      <c r="J43" s="10" t="s">
        <v>130</v>
      </c>
      <c r="K43" s="10"/>
      <c r="L43" s="11"/>
      <c r="M43" s="10"/>
      <c r="N43" s="11"/>
    </row>
    <row r="44" spans="1:14">
      <c r="A44" s="10" t="s">
        <v>2117</v>
      </c>
      <c r="B44" s="10" t="s">
        <v>124</v>
      </c>
      <c r="C44" s="10" t="s">
        <v>125</v>
      </c>
      <c r="D44" s="10" t="s">
        <v>1086</v>
      </c>
      <c r="E44" s="11" t="s">
        <v>236</v>
      </c>
      <c r="F44" s="10" t="s">
        <v>1882</v>
      </c>
      <c r="G44" s="10" t="s">
        <v>2118</v>
      </c>
      <c r="H44" s="10" t="s">
        <v>2075</v>
      </c>
      <c r="I44" s="10" t="s">
        <v>2119</v>
      </c>
      <c r="J44" s="10" t="s">
        <v>130</v>
      </c>
      <c r="K44" s="10"/>
      <c r="L44" s="11"/>
      <c r="M44" s="10"/>
      <c r="N44" s="11"/>
    </row>
    <row r="45" spans="1:14">
      <c r="A45" s="10" t="s">
        <v>2120</v>
      </c>
      <c r="B45" s="10" t="s">
        <v>124</v>
      </c>
      <c r="C45" s="10" t="s">
        <v>125</v>
      </c>
      <c r="D45" s="10" t="s">
        <v>1296</v>
      </c>
      <c r="E45" s="11" t="s">
        <v>236</v>
      </c>
      <c r="F45" s="10" t="s">
        <v>1885</v>
      </c>
      <c r="G45" s="10" t="s">
        <v>2121</v>
      </c>
      <c r="H45" s="10" t="s">
        <v>2075</v>
      </c>
      <c r="I45" s="10" t="s">
        <v>2122</v>
      </c>
      <c r="J45" s="10" t="s">
        <v>130</v>
      </c>
      <c r="K45" s="10"/>
      <c r="L45" s="11"/>
      <c r="M45" s="10"/>
      <c r="N45" s="11"/>
    </row>
    <row r="46" spans="1:14">
      <c r="A46" s="10" t="s">
        <v>2123</v>
      </c>
      <c r="B46" s="10" t="s">
        <v>136</v>
      </c>
      <c r="C46" s="10" t="s">
        <v>137</v>
      </c>
      <c r="D46" s="10"/>
      <c r="E46" s="11" t="s">
        <v>236</v>
      </c>
      <c r="F46" s="10" t="s">
        <v>2124</v>
      </c>
      <c r="G46" s="10" t="s">
        <v>2063</v>
      </c>
      <c r="H46" s="10" t="s">
        <v>2064</v>
      </c>
      <c r="I46" s="10" t="s">
        <v>2065</v>
      </c>
      <c r="J46" s="10" t="s">
        <v>142</v>
      </c>
      <c r="K46" s="10"/>
      <c r="L46" s="11"/>
      <c r="M46" s="10"/>
      <c r="N46" s="11"/>
    </row>
    <row r="47" spans="1:14">
      <c r="A47" s="10" t="s">
        <v>2125</v>
      </c>
      <c r="B47" s="10" t="s">
        <v>136</v>
      </c>
      <c r="C47" s="10" t="s">
        <v>137</v>
      </c>
      <c r="D47" s="10"/>
      <c r="E47" s="11" t="s">
        <v>259</v>
      </c>
      <c r="F47" s="10" t="s">
        <v>2126</v>
      </c>
      <c r="G47" s="10" t="s">
        <v>2068</v>
      </c>
      <c r="H47" s="10" t="s">
        <v>275</v>
      </c>
      <c r="I47" s="10" t="s">
        <v>2069</v>
      </c>
      <c r="J47" s="10" t="s">
        <v>142</v>
      </c>
      <c r="K47" s="10"/>
      <c r="L47" s="11"/>
      <c r="M47" s="10"/>
      <c r="N47" s="11"/>
    </row>
    <row r="48" spans="1:14">
      <c r="A48" s="10" t="s">
        <v>2127</v>
      </c>
      <c r="B48" s="10" t="s">
        <v>136</v>
      </c>
      <c r="C48" s="10" t="s">
        <v>137</v>
      </c>
      <c r="D48" s="10"/>
      <c r="E48" s="11" t="s">
        <v>284</v>
      </c>
      <c r="F48" s="10" t="s">
        <v>2128</v>
      </c>
      <c r="G48" s="10" t="s">
        <v>2017</v>
      </c>
      <c r="H48" s="10" t="s">
        <v>2072</v>
      </c>
      <c r="I48" s="10" t="s">
        <v>2073</v>
      </c>
      <c r="J48" s="10" t="s">
        <v>142</v>
      </c>
      <c r="K48" s="10"/>
      <c r="L48" s="11"/>
      <c r="M48" s="10"/>
      <c r="N48" s="11"/>
    </row>
    <row r="49" spans="1:14">
      <c r="A49" s="10" t="s">
        <v>2129</v>
      </c>
      <c r="B49" s="10" t="s">
        <v>136</v>
      </c>
      <c r="C49" s="10" t="s">
        <v>137</v>
      </c>
      <c r="D49" s="10" t="s">
        <v>1320</v>
      </c>
      <c r="E49" s="11" t="s">
        <v>236</v>
      </c>
      <c r="F49" s="10" t="s">
        <v>1894</v>
      </c>
      <c r="G49" s="10" t="s">
        <v>2121</v>
      </c>
      <c r="H49" s="10" t="s">
        <v>2075</v>
      </c>
      <c r="I49" s="10" t="s">
        <v>2130</v>
      </c>
      <c r="J49" s="10" t="s">
        <v>738</v>
      </c>
      <c r="K49" s="10"/>
      <c r="L49" s="11"/>
      <c r="M49" s="10"/>
      <c r="N49" s="11"/>
    </row>
    <row r="50" spans="1:14">
      <c r="A50" s="10" t="s">
        <v>2131</v>
      </c>
      <c r="B50" s="10" t="s">
        <v>136</v>
      </c>
      <c r="C50" s="10" t="s">
        <v>137</v>
      </c>
      <c r="D50" s="10" t="s">
        <v>1330</v>
      </c>
      <c r="E50" s="11" t="s">
        <v>236</v>
      </c>
      <c r="F50" s="10" t="s">
        <v>1897</v>
      </c>
      <c r="G50" s="10" t="s">
        <v>2132</v>
      </c>
      <c r="H50" s="10" t="s">
        <v>2075</v>
      </c>
      <c r="I50" s="10" t="s">
        <v>2133</v>
      </c>
      <c r="J50" s="10" t="s">
        <v>913</v>
      </c>
      <c r="K50" s="10"/>
      <c r="L50" s="11"/>
      <c r="M50" s="10"/>
      <c r="N50" s="11"/>
    </row>
    <row r="51" spans="1:14">
      <c r="A51" s="10" t="s">
        <v>2134</v>
      </c>
      <c r="B51" s="10" t="s">
        <v>136</v>
      </c>
      <c r="C51" s="10" t="s">
        <v>137</v>
      </c>
      <c r="D51" s="10" t="s">
        <v>1335</v>
      </c>
      <c r="E51" s="11" t="s">
        <v>236</v>
      </c>
      <c r="F51" s="10" t="s">
        <v>1900</v>
      </c>
      <c r="G51" s="10" t="s">
        <v>2063</v>
      </c>
      <c r="H51" s="10" t="s">
        <v>2075</v>
      </c>
      <c r="I51" s="10" t="s">
        <v>2135</v>
      </c>
      <c r="J51" s="10" t="s">
        <v>738</v>
      </c>
      <c r="K51" s="10"/>
      <c r="L51" s="11"/>
      <c r="M51" s="10"/>
      <c r="N51" s="11"/>
    </row>
    <row r="52" spans="1:14">
      <c r="A52" s="10" t="s">
        <v>2136</v>
      </c>
      <c r="B52" s="10" t="s">
        <v>143</v>
      </c>
      <c r="C52" s="10" t="s">
        <v>144</v>
      </c>
      <c r="D52" s="10"/>
      <c r="E52" s="11" t="s">
        <v>236</v>
      </c>
      <c r="F52" s="10" t="s">
        <v>2137</v>
      </c>
      <c r="G52" s="10" t="s">
        <v>2063</v>
      </c>
      <c r="H52" s="10" t="s">
        <v>2064</v>
      </c>
      <c r="I52" s="10" t="s">
        <v>2065</v>
      </c>
      <c r="J52" s="10" t="s">
        <v>149</v>
      </c>
      <c r="K52" s="10"/>
      <c r="L52" s="11"/>
      <c r="M52" s="10"/>
      <c r="N52" s="11"/>
    </row>
    <row r="53" spans="1:14">
      <c r="A53" s="10" t="s">
        <v>2138</v>
      </c>
      <c r="B53" s="10" t="s">
        <v>143</v>
      </c>
      <c r="C53" s="10" t="s">
        <v>144</v>
      </c>
      <c r="D53" s="10"/>
      <c r="E53" s="11" t="s">
        <v>259</v>
      </c>
      <c r="F53" s="10" t="s">
        <v>2128</v>
      </c>
      <c r="G53" s="10" t="s">
        <v>2068</v>
      </c>
      <c r="H53" s="10" t="s">
        <v>275</v>
      </c>
      <c r="I53" s="10" t="s">
        <v>2069</v>
      </c>
      <c r="J53" s="10" t="s">
        <v>149</v>
      </c>
      <c r="K53" s="10"/>
      <c r="L53" s="11"/>
      <c r="M53" s="10"/>
      <c r="N53" s="11"/>
    </row>
    <row r="54" spans="1:14">
      <c r="A54" s="10" t="s">
        <v>2139</v>
      </c>
      <c r="B54" s="10" t="s">
        <v>143</v>
      </c>
      <c r="C54" s="10" t="s">
        <v>144</v>
      </c>
      <c r="D54" s="10"/>
      <c r="E54" s="11" t="s">
        <v>284</v>
      </c>
      <c r="F54" s="10" t="s">
        <v>2140</v>
      </c>
      <c r="G54" s="10" t="s">
        <v>2017</v>
      </c>
      <c r="H54" s="10" t="s">
        <v>2072</v>
      </c>
      <c r="I54" s="10" t="s">
        <v>2073</v>
      </c>
      <c r="J54" s="10" t="s">
        <v>149</v>
      </c>
      <c r="K54" s="10"/>
      <c r="L54" s="11"/>
      <c r="M54" s="10"/>
      <c r="N54" s="11"/>
    </row>
    <row r="55" spans="1:14">
      <c r="A55" s="10" t="s">
        <v>2141</v>
      </c>
      <c r="B55" s="10" t="s">
        <v>143</v>
      </c>
      <c r="C55" s="10" t="s">
        <v>144</v>
      </c>
      <c r="D55" s="10" t="s">
        <v>1350</v>
      </c>
      <c r="E55" s="11" t="s">
        <v>236</v>
      </c>
      <c r="F55" s="10" t="s">
        <v>1908</v>
      </c>
      <c r="G55" s="10" t="s">
        <v>2063</v>
      </c>
      <c r="H55" s="10" t="s">
        <v>2075</v>
      </c>
      <c r="I55" s="10" t="s">
        <v>2142</v>
      </c>
      <c r="J55" s="10" t="s">
        <v>724</v>
      </c>
      <c r="K55" s="10"/>
      <c r="L55" s="11"/>
      <c r="M55" s="10"/>
      <c r="N55" s="11"/>
    </row>
    <row r="56" spans="1:14">
      <c r="A56" s="10" t="s">
        <v>2143</v>
      </c>
      <c r="B56" s="10" t="s">
        <v>143</v>
      </c>
      <c r="C56" s="10" t="s">
        <v>144</v>
      </c>
      <c r="D56" s="10" t="s">
        <v>1360</v>
      </c>
      <c r="E56" s="11" t="s">
        <v>236</v>
      </c>
      <c r="F56" s="10" t="s">
        <v>1911</v>
      </c>
      <c r="G56" s="10" t="s">
        <v>2121</v>
      </c>
      <c r="H56" s="10" t="s">
        <v>2075</v>
      </c>
      <c r="I56" s="10" t="s">
        <v>2144</v>
      </c>
      <c r="J56" s="10" t="s">
        <v>800</v>
      </c>
      <c r="K56" s="10"/>
      <c r="L56" s="11"/>
      <c r="M56" s="10"/>
      <c r="N56" s="11"/>
    </row>
    <row r="57" spans="1:14">
      <c r="A57" s="10" t="s">
        <v>2145</v>
      </c>
      <c r="B57" s="10" t="s">
        <v>143</v>
      </c>
      <c r="C57" s="10" t="s">
        <v>144</v>
      </c>
      <c r="D57" s="10" t="s">
        <v>1365</v>
      </c>
      <c r="E57" s="11" t="s">
        <v>236</v>
      </c>
      <c r="F57" s="10" t="s">
        <v>1914</v>
      </c>
      <c r="G57" s="10" t="s">
        <v>2146</v>
      </c>
      <c r="H57" s="10" t="s">
        <v>2075</v>
      </c>
      <c r="I57" s="10" t="s">
        <v>2147</v>
      </c>
      <c r="J57" s="10" t="s">
        <v>800</v>
      </c>
      <c r="K57" s="10"/>
      <c r="L57" s="11"/>
      <c r="M57" s="10"/>
      <c r="N57" s="11"/>
    </row>
    <row r="58" spans="1:14">
      <c r="A58" s="10" t="s">
        <v>2148</v>
      </c>
      <c r="B58" s="10" t="s">
        <v>150</v>
      </c>
      <c r="C58" s="10" t="s">
        <v>151</v>
      </c>
      <c r="D58" s="10"/>
      <c r="E58" s="11" t="s">
        <v>236</v>
      </c>
      <c r="F58" s="10" t="s">
        <v>2149</v>
      </c>
      <c r="G58" s="10" t="s">
        <v>2063</v>
      </c>
      <c r="H58" s="10" t="s">
        <v>2064</v>
      </c>
      <c r="I58" s="10" t="s">
        <v>2065</v>
      </c>
      <c r="J58" s="10" t="s">
        <v>154</v>
      </c>
      <c r="K58" s="10"/>
      <c r="L58" s="11"/>
      <c r="M58" s="10"/>
      <c r="N58" s="11"/>
    </row>
    <row r="59" spans="1:14">
      <c r="A59" s="10" t="s">
        <v>2150</v>
      </c>
      <c r="B59" s="10" t="s">
        <v>150</v>
      </c>
      <c r="C59" s="10" t="s">
        <v>151</v>
      </c>
      <c r="D59" s="10"/>
      <c r="E59" s="11" t="s">
        <v>259</v>
      </c>
      <c r="F59" s="10" t="s">
        <v>2151</v>
      </c>
      <c r="G59" s="10" t="s">
        <v>2068</v>
      </c>
      <c r="H59" s="10" t="s">
        <v>275</v>
      </c>
      <c r="I59" s="10" t="s">
        <v>2069</v>
      </c>
      <c r="J59" s="10" t="s">
        <v>154</v>
      </c>
      <c r="K59" s="10"/>
      <c r="L59" s="11"/>
      <c r="M59" s="10"/>
      <c r="N59" s="11"/>
    </row>
    <row r="60" spans="1:14">
      <c r="A60" s="10" t="s">
        <v>2152</v>
      </c>
      <c r="B60" s="10" t="s">
        <v>150</v>
      </c>
      <c r="C60" s="10" t="s">
        <v>151</v>
      </c>
      <c r="D60" s="10"/>
      <c r="E60" s="11" t="s">
        <v>284</v>
      </c>
      <c r="F60" s="10" t="s">
        <v>2153</v>
      </c>
      <c r="G60" s="10" t="s">
        <v>2017</v>
      </c>
      <c r="H60" s="10" t="s">
        <v>2072</v>
      </c>
      <c r="I60" s="10" t="s">
        <v>2073</v>
      </c>
      <c r="J60" s="10" t="s">
        <v>154</v>
      </c>
      <c r="K60" s="10"/>
      <c r="L60" s="11"/>
      <c r="M60" s="10"/>
      <c r="N60" s="11"/>
    </row>
    <row r="61" spans="1:14">
      <c r="A61" s="10" t="s">
        <v>2154</v>
      </c>
      <c r="B61" s="10" t="s">
        <v>150</v>
      </c>
      <c r="C61" s="10" t="s">
        <v>151</v>
      </c>
      <c r="D61" s="10" t="s">
        <v>1374</v>
      </c>
      <c r="E61" s="11" t="s">
        <v>236</v>
      </c>
      <c r="F61" s="10" t="s">
        <v>1923</v>
      </c>
      <c r="G61" s="10" t="s">
        <v>2121</v>
      </c>
      <c r="H61" s="10" t="s">
        <v>2075</v>
      </c>
      <c r="I61" s="10" t="s">
        <v>2155</v>
      </c>
      <c r="J61" s="10" t="s">
        <v>791</v>
      </c>
      <c r="K61" s="10"/>
      <c r="L61" s="11"/>
      <c r="M61" s="10"/>
      <c r="N61" s="11"/>
    </row>
    <row r="62" spans="1:14">
      <c r="A62" s="10" t="s">
        <v>2156</v>
      </c>
      <c r="B62" s="10" t="s">
        <v>150</v>
      </c>
      <c r="C62" s="10" t="s">
        <v>151</v>
      </c>
      <c r="D62" s="10" t="s">
        <v>1379</v>
      </c>
      <c r="E62" s="11" t="s">
        <v>236</v>
      </c>
      <c r="F62" s="10" t="s">
        <v>1926</v>
      </c>
      <c r="G62" s="10" t="s">
        <v>2121</v>
      </c>
      <c r="H62" s="10" t="s">
        <v>2075</v>
      </c>
      <c r="I62" s="10" t="s">
        <v>2157</v>
      </c>
      <c r="J62" s="10" t="s">
        <v>791</v>
      </c>
      <c r="K62" s="10"/>
      <c r="L62" s="11"/>
      <c r="M62" s="10"/>
      <c r="N62" s="11"/>
    </row>
    <row r="63" spans="1:14">
      <c r="A63" s="10" t="s">
        <v>2158</v>
      </c>
      <c r="B63" s="10" t="s">
        <v>150</v>
      </c>
      <c r="C63" s="10" t="s">
        <v>151</v>
      </c>
      <c r="D63" s="10" t="s">
        <v>1387</v>
      </c>
      <c r="E63" s="11" t="s">
        <v>236</v>
      </c>
      <c r="F63" s="10" t="s">
        <v>1929</v>
      </c>
      <c r="G63" s="10" t="s">
        <v>2063</v>
      </c>
      <c r="H63" s="10" t="s">
        <v>2075</v>
      </c>
      <c r="I63" s="10" t="s">
        <v>2159</v>
      </c>
      <c r="J63" s="10" t="s">
        <v>896</v>
      </c>
      <c r="K63" s="10"/>
      <c r="L63" s="11"/>
      <c r="M63" s="10"/>
      <c r="N63" s="11"/>
    </row>
    <row r="64" spans="1:14">
      <c r="A64" s="10" t="s">
        <v>2160</v>
      </c>
      <c r="B64" s="10" t="s">
        <v>155</v>
      </c>
      <c r="C64" s="10" t="s">
        <v>156</v>
      </c>
      <c r="D64" s="10"/>
      <c r="E64" s="11" t="s">
        <v>236</v>
      </c>
      <c r="F64" s="10" t="s">
        <v>2161</v>
      </c>
      <c r="G64" s="10" t="s">
        <v>2063</v>
      </c>
      <c r="H64" s="10" t="s">
        <v>2064</v>
      </c>
      <c r="I64" s="10" t="s">
        <v>2065</v>
      </c>
      <c r="J64" s="10" t="s">
        <v>160</v>
      </c>
      <c r="K64" s="10"/>
      <c r="L64" s="11"/>
      <c r="M64" s="10"/>
      <c r="N64" s="11"/>
    </row>
    <row r="65" spans="1:14">
      <c r="A65" s="10" t="s">
        <v>2162</v>
      </c>
      <c r="B65" s="10" t="s">
        <v>155</v>
      </c>
      <c r="C65" s="10" t="s">
        <v>156</v>
      </c>
      <c r="D65" s="10"/>
      <c r="E65" s="11" t="s">
        <v>259</v>
      </c>
      <c r="F65" s="10" t="s">
        <v>2163</v>
      </c>
      <c r="G65" s="10" t="s">
        <v>2068</v>
      </c>
      <c r="H65" s="10" t="s">
        <v>275</v>
      </c>
      <c r="I65" s="10" t="s">
        <v>2069</v>
      </c>
      <c r="J65" s="10" t="s">
        <v>160</v>
      </c>
      <c r="K65" s="10"/>
      <c r="L65" s="11"/>
      <c r="M65" s="10"/>
      <c r="N65" s="11"/>
    </row>
    <row r="66" spans="1:14">
      <c r="A66" s="10" t="s">
        <v>2164</v>
      </c>
      <c r="B66" s="10" t="s">
        <v>155</v>
      </c>
      <c r="C66" s="10" t="s">
        <v>156</v>
      </c>
      <c r="D66" s="10"/>
      <c r="E66" s="11" t="s">
        <v>284</v>
      </c>
      <c r="F66" s="10" t="s">
        <v>2140</v>
      </c>
      <c r="G66" s="10" t="s">
        <v>2017</v>
      </c>
      <c r="H66" s="10" t="s">
        <v>2072</v>
      </c>
      <c r="I66" s="10" t="s">
        <v>2073</v>
      </c>
      <c r="J66" s="10" t="s">
        <v>160</v>
      </c>
      <c r="K66" s="10"/>
      <c r="L66" s="11"/>
      <c r="M66" s="10"/>
      <c r="N66" s="11"/>
    </row>
    <row r="67" spans="1:14">
      <c r="A67" s="10" t="s">
        <v>2165</v>
      </c>
      <c r="B67" s="10" t="s">
        <v>155</v>
      </c>
      <c r="C67" s="10" t="s">
        <v>156</v>
      </c>
      <c r="D67" s="10" t="s">
        <v>1121</v>
      </c>
      <c r="E67" s="11" t="s">
        <v>236</v>
      </c>
      <c r="F67" s="10" t="s">
        <v>1937</v>
      </c>
      <c r="G67" s="10" t="s">
        <v>2121</v>
      </c>
      <c r="H67" s="10" t="s">
        <v>2075</v>
      </c>
      <c r="I67" s="10" t="s">
        <v>2166</v>
      </c>
      <c r="J67" s="10" t="s">
        <v>160</v>
      </c>
      <c r="K67" s="10"/>
      <c r="L67" s="11"/>
      <c r="M67" s="10"/>
      <c r="N67" s="11"/>
    </row>
    <row r="68" spans="1:14">
      <c r="A68" s="10" t="s">
        <v>2167</v>
      </c>
      <c r="B68" s="10" t="s">
        <v>155</v>
      </c>
      <c r="C68" s="10" t="s">
        <v>156</v>
      </c>
      <c r="D68" s="10" t="s">
        <v>1404</v>
      </c>
      <c r="E68" s="11" t="s">
        <v>236</v>
      </c>
      <c r="F68" s="10" t="s">
        <v>1843</v>
      </c>
      <c r="G68" s="10" t="s">
        <v>1843</v>
      </c>
      <c r="H68" s="10" t="s">
        <v>2075</v>
      </c>
      <c r="I68" s="10" t="s">
        <v>2168</v>
      </c>
      <c r="J68" s="10" t="s">
        <v>759</v>
      </c>
      <c r="K68" s="10"/>
      <c r="L68" s="11"/>
      <c r="M68" s="10"/>
      <c r="N68" s="11"/>
    </row>
    <row r="69" spans="1:14">
      <c r="A69" s="10" t="s">
        <v>2169</v>
      </c>
      <c r="B69" s="10" t="s">
        <v>155</v>
      </c>
      <c r="C69" s="10" t="s">
        <v>156</v>
      </c>
      <c r="D69" s="10" t="s">
        <v>1409</v>
      </c>
      <c r="E69" s="11" t="s">
        <v>236</v>
      </c>
      <c r="F69" s="10" t="s">
        <v>1843</v>
      </c>
      <c r="G69" s="10" t="s">
        <v>1843</v>
      </c>
      <c r="H69" s="10" t="s">
        <v>2075</v>
      </c>
      <c r="I69" s="10" t="s">
        <v>2170</v>
      </c>
      <c r="J69" s="10" t="s">
        <v>759</v>
      </c>
      <c r="K69" s="10"/>
      <c r="L69" s="11"/>
      <c r="M69" s="10"/>
      <c r="N69" s="11"/>
    </row>
    <row r="70" spans="1:14">
      <c r="A70" s="10"/>
      <c r="B70" s="10"/>
      <c r="C70" s="10"/>
      <c r="D70" s="10"/>
      <c r="E70" s="11"/>
      <c r="F70" s="10"/>
      <c r="G70" s="10"/>
      <c r="H70" s="10"/>
      <c r="I70" s="10"/>
      <c r="J70" s="10"/>
      <c r="K70" s="10"/>
      <c r="L70" s="11"/>
      <c r="M70" s="10"/>
      <c r="N70" s="11"/>
    </row>
    <row r="71" spans="1:14">
      <c r="A71" s="10"/>
      <c r="B71" s="10"/>
      <c r="C71" s="10"/>
      <c r="D71" s="10"/>
      <c r="E71" s="11"/>
      <c r="F71" s="10"/>
      <c r="G71" s="10"/>
      <c r="H71" s="10"/>
      <c r="I71" s="10"/>
      <c r="J71" s="10"/>
      <c r="K71" s="10"/>
      <c r="L71" s="11"/>
      <c r="M71" s="10"/>
      <c r="N71" s="11"/>
    </row>
    <row r="72" spans="1:14">
      <c r="A72" s="10"/>
      <c r="B72" s="10"/>
      <c r="C72" s="10"/>
      <c r="D72" s="10"/>
      <c r="E72" s="11"/>
      <c r="F72" s="10"/>
      <c r="G72" s="10"/>
      <c r="H72" s="10"/>
      <c r="I72" s="10"/>
      <c r="J72" s="10"/>
      <c r="K72" s="10"/>
      <c r="L72" s="11"/>
      <c r="M72" s="10"/>
      <c r="N72" s="11"/>
    </row>
    <row r="73" spans="1:14">
      <c r="A73" s="10"/>
      <c r="B73" s="10"/>
      <c r="C73" s="10"/>
      <c r="D73" s="10"/>
      <c r="E73" s="11"/>
      <c r="F73" s="10"/>
      <c r="G73" s="10"/>
      <c r="H73" s="10"/>
      <c r="I73" s="10"/>
      <c r="J73" s="10"/>
      <c r="K73" s="10"/>
      <c r="L73" s="11"/>
      <c r="M73" s="10"/>
      <c r="N73" s="11"/>
    </row>
    <row r="74" spans="1:14">
      <c r="A74" s="10"/>
      <c r="B74" s="10"/>
      <c r="C74" s="10"/>
      <c r="D74" s="10"/>
      <c r="E74" s="11"/>
      <c r="F74" s="10"/>
      <c r="G74" s="10"/>
      <c r="H74" s="10"/>
      <c r="I74" s="10"/>
      <c r="J74" s="10"/>
      <c r="K74" s="10"/>
      <c r="L74" s="11"/>
      <c r="M74" s="10"/>
      <c r="N74" s="11"/>
    </row>
    <row r="75" spans="1:14">
      <c r="A75" s="10"/>
      <c r="B75" s="10"/>
      <c r="C75" s="10"/>
      <c r="D75" s="10"/>
      <c r="E75" s="11"/>
      <c r="F75" s="10"/>
      <c r="G75" s="10"/>
      <c r="H75" s="10"/>
      <c r="I75" s="10"/>
      <c r="J75" s="10"/>
      <c r="K75" s="10"/>
      <c r="L75" s="11"/>
      <c r="M75" s="10"/>
      <c r="N75" s="11"/>
    </row>
    <row r="76" spans="1:14">
      <c r="A76" s="10"/>
      <c r="B76" s="10"/>
      <c r="C76" s="10"/>
      <c r="D76" s="10"/>
      <c r="E76" s="11"/>
      <c r="F76" s="10"/>
      <c r="G76" s="10"/>
      <c r="H76" s="10"/>
      <c r="I76" s="10"/>
      <c r="J76" s="10"/>
      <c r="K76" s="10"/>
      <c r="L76" s="11"/>
      <c r="M76" s="10"/>
      <c r="N76" s="11"/>
    </row>
    <row r="77" spans="1:14">
      <c r="A77" s="10"/>
      <c r="B77" s="10"/>
      <c r="C77" s="10"/>
      <c r="D77" s="10"/>
      <c r="E77" s="11"/>
      <c r="F77" s="10"/>
      <c r="G77" s="10"/>
      <c r="H77" s="10"/>
      <c r="I77" s="10"/>
      <c r="J77" s="10"/>
      <c r="K77" s="10"/>
      <c r="L77" s="11"/>
      <c r="M77" s="10"/>
      <c r="N77" s="11"/>
    </row>
    <row r="78" spans="1:14">
      <c r="A78" s="10"/>
      <c r="B78" s="10"/>
      <c r="C78" s="10"/>
      <c r="D78" s="10"/>
      <c r="E78" s="11"/>
      <c r="F78" s="10"/>
      <c r="G78" s="10"/>
      <c r="H78" s="10"/>
      <c r="I78" s="10"/>
      <c r="J78" s="10"/>
      <c r="K78" s="10"/>
      <c r="L78" s="11"/>
      <c r="M78" s="10"/>
      <c r="N78" s="11"/>
    </row>
    <row r="79" spans="1:14">
      <c r="A79" s="10"/>
      <c r="B79" s="10"/>
      <c r="C79" s="10"/>
      <c r="D79" s="10"/>
      <c r="E79" s="11"/>
      <c r="F79" s="10"/>
      <c r="G79" s="10"/>
      <c r="H79" s="10"/>
      <c r="I79" s="10"/>
      <c r="J79" s="10"/>
      <c r="K79" s="10"/>
      <c r="L79" s="11"/>
      <c r="M79" s="10"/>
      <c r="N79" s="11"/>
    </row>
    <row r="80" spans="1:14">
      <c r="A80" s="10"/>
      <c r="B80" s="10"/>
      <c r="C80" s="10"/>
      <c r="D80" s="10"/>
      <c r="E80" s="11"/>
      <c r="F80" s="10"/>
      <c r="G80" s="10"/>
      <c r="H80" s="10"/>
      <c r="I80" s="10"/>
      <c r="J80" s="10"/>
      <c r="K80" s="10"/>
      <c r="L80" s="11"/>
      <c r="M80" s="10"/>
      <c r="N80" s="11"/>
    </row>
    <row r="81" spans="1:14">
      <c r="A81" s="10"/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1"/>
      <c r="M81" s="10"/>
      <c r="N81" s="11"/>
    </row>
    <row r="82" spans="1:14">
      <c r="A82" s="10"/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1"/>
      <c r="M82" s="10"/>
      <c r="N82" s="11"/>
    </row>
    <row r="83" spans="1:14">
      <c r="A83" s="10"/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1"/>
      <c r="M83" s="10"/>
      <c r="N83" s="11"/>
    </row>
    <row r="84" spans="1:14">
      <c r="A84" s="10"/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1"/>
      <c r="M84" s="10"/>
      <c r="N84" s="11"/>
    </row>
    <row r="85" spans="1:14">
      <c r="A85" s="10"/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1"/>
      <c r="M85" s="10"/>
      <c r="N85" s="11"/>
    </row>
    <row r="86" spans="1:14">
      <c r="A86" s="10"/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1"/>
      <c r="M86" s="10"/>
      <c r="N86" s="11"/>
    </row>
    <row r="87" spans="1:14">
      <c r="A87" s="10"/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1"/>
      <c r="M87" s="10"/>
      <c r="N87" s="11"/>
    </row>
    <row r="88" spans="1:14">
      <c r="A88" s="10"/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1"/>
      <c r="M88" s="10"/>
      <c r="N88" s="11"/>
    </row>
    <row r="89" spans="1:14">
      <c r="A89" s="10"/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1"/>
      <c r="M89" s="10"/>
      <c r="N89" s="11"/>
    </row>
    <row r="90" spans="1:14">
      <c r="A90" s="10"/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1"/>
      <c r="M90" s="10"/>
      <c r="N90" s="11"/>
    </row>
    <row r="91" spans="1:14">
      <c r="A91" s="10"/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1"/>
      <c r="M91" s="10"/>
      <c r="N91" s="11"/>
    </row>
    <row r="92" spans="1:14">
      <c r="A92" s="10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1"/>
      <c r="M92" s="10"/>
      <c r="N92" s="11"/>
    </row>
    <row r="93" spans="1:14">
      <c r="A93" s="10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1"/>
      <c r="M93" s="10"/>
      <c r="N93" s="11"/>
    </row>
    <row r="94" spans="1:14">
      <c r="A94" s="10"/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1"/>
      <c r="M94" s="10"/>
      <c r="N94" s="11"/>
    </row>
    <row r="95" spans="1:14">
      <c r="A95" s="10"/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1"/>
      <c r="M95" s="10"/>
      <c r="N95" s="11"/>
    </row>
    <row r="96" spans="1:14">
      <c r="A96" s="10"/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1"/>
      <c r="M96" s="10"/>
      <c r="N96" s="11"/>
    </row>
    <row r="97" spans="1:14">
      <c r="A97" s="10"/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1"/>
      <c r="M97" s="10"/>
      <c r="N97" s="11"/>
    </row>
    <row r="98" spans="1:14">
      <c r="A98" s="10"/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1"/>
      <c r="M98" s="10"/>
      <c r="N98" s="11"/>
    </row>
    <row r="99" spans="1:14">
      <c r="A99" s="10"/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1"/>
      <c r="M99" s="10"/>
      <c r="N99" s="11"/>
    </row>
    <row r="100" spans="1:14">
      <c r="A100" s="10"/>
      <c r="B100" s="10"/>
      <c r="C100" s="10"/>
      <c r="D100" s="10"/>
      <c r="E100" s="11"/>
      <c r="F100" s="10"/>
      <c r="G100" s="10"/>
      <c r="H100" s="10"/>
      <c r="I100" s="10"/>
      <c r="J100" s="10"/>
      <c r="K100" s="10"/>
      <c r="L100" s="11"/>
      <c r="M100" s="10"/>
      <c r="N100" s="11"/>
    </row>
    <row r="101" spans="1:14">
      <c r="A101" s="10"/>
      <c r="B101" s="10"/>
      <c r="C101" s="10"/>
      <c r="D101" s="10"/>
      <c r="E101" s="11"/>
      <c r="F101" s="10"/>
      <c r="G101" s="10"/>
      <c r="H101" s="10"/>
      <c r="I101" s="10"/>
      <c r="J101" s="10"/>
      <c r="K101" s="10"/>
      <c r="L101" s="11"/>
      <c r="M101" s="10"/>
      <c r="N101" s="11"/>
    </row>
    <row r="102" spans="1:14">
      <c r="A102" s="10"/>
      <c r="B102" s="10"/>
      <c r="C102" s="10"/>
      <c r="D102" s="10"/>
      <c r="E102" s="11"/>
      <c r="F102" s="10"/>
      <c r="G102" s="10"/>
      <c r="H102" s="10"/>
      <c r="I102" s="10"/>
      <c r="J102" s="10"/>
      <c r="K102" s="10"/>
      <c r="L102" s="11"/>
      <c r="M102" s="10"/>
      <c r="N102" s="11"/>
    </row>
    <row r="103" spans="1:14">
      <c r="A103" s="10"/>
      <c r="B103" s="10"/>
      <c r="C103" s="10"/>
      <c r="D103" s="10"/>
      <c r="E103" s="11"/>
      <c r="F103" s="10"/>
      <c r="G103" s="10"/>
      <c r="H103" s="10"/>
      <c r="I103" s="10"/>
      <c r="J103" s="10"/>
      <c r="K103" s="10"/>
      <c r="L103" s="11"/>
      <c r="M103" s="10"/>
      <c r="N103" s="11"/>
    </row>
    <row r="104" spans="1:14">
      <c r="A104" s="10"/>
      <c r="B104" s="10"/>
      <c r="C104" s="10"/>
      <c r="D104" s="10"/>
      <c r="E104" s="11"/>
      <c r="F104" s="10"/>
      <c r="G104" s="10"/>
      <c r="H104" s="10"/>
      <c r="I104" s="10"/>
      <c r="J104" s="10"/>
      <c r="K104" s="10"/>
      <c r="L104" s="11"/>
      <c r="M104" s="10"/>
      <c r="N104" s="11"/>
    </row>
    <row r="105" spans="1:14">
      <c r="A105" s="10"/>
      <c r="B105" s="10"/>
      <c r="C105" s="10"/>
      <c r="D105" s="10"/>
      <c r="E105" s="11"/>
      <c r="F105" s="10"/>
      <c r="G105" s="10"/>
      <c r="H105" s="10"/>
      <c r="I105" s="10"/>
      <c r="J105" s="10"/>
      <c r="K105" s="10"/>
      <c r="L105" s="11"/>
      <c r="M105" s="10"/>
      <c r="N105" s="11"/>
    </row>
    <row r="106" spans="1:14">
      <c r="A106" s="10"/>
      <c r="B106" s="10"/>
      <c r="C106" s="10"/>
      <c r="D106" s="10"/>
      <c r="E106" s="11"/>
      <c r="F106" s="10"/>
      <c r="G106" s="10"/>
      <c r="H106" s="10"/>
      <c r="I106" s="10"/>
      <c r="J106" s="10"/>
      <c r="K106" s="10"/>
      <c r="L106" s="11"/>
      <c r="M106" s="10"/>
      <c r="N106" s="11"/>
    </row>
    <row r="107" spans="1:14">
      <c r="A107" s="10"/>
      <c r="B107" s="10"/>
      <c r="C107" s="10"/>
      <c r="D107" s="10"/>
      <c r="E107" s="11"/>
      <c r="F107" s="10"/>
      <c r="G107" s="10"/>
      <c r="H107" s="10"/>
      <c r="I107" s="10"/>
      <c r="J107" s="10"/>
      <c r="K107" s="10"/>
      <c r="L107" s="11"/>
      <c r="M107" s="10"/>
      <c r="N107" s="11"/>
    </row>
    <row r="108" spans="1:14">
      <c r="A108" s="10"/>
      <c r="B108" s="10"/>
      <c r="C108" s="10"/>
      <c r="D108" s="10"/>
      <c r="E108" s="11"/>
      <c r="F108" s="10"/>
      <c r="G108" s="10"/>
      <c r="H108" s="10"/>
      <c r="I108" s="10"/>
      <c r="J108" s="10"/>
      <c r="K108" s="10"/>
      <c r="L108" s="11"/>
      <c r="M108" s="10"/>
      <c r="N108" s="11"/>
    </row>
    <row r="109" spans="1:14">
      <c r="A109" s="10"/>
      <c r="B109" s="10"/>
      <c r="C109" s="10"/>
      <c r="D109" s="10"/>
      <c r="E109" s="11"/>
      <c r="F109" s="10"/>
      <c r="G109" s="10"/>
      <c r="H109" s="10"/>
      <c r="I109" s="10"/>
      <c r="J109" s="10"/>
      <c r="K109" s="10"/>
      <c r="L109" s="11"/>
      <c r="M109" s="10"/>
      <c r="N109" s="11"/>
    </row>
    <row r="110" spans="1:14">
      <c r="A110" s="10"/>
      <c r="B110" s="10"/>
      <c r="C110" s="10"/>
      <c r="D110" s="10"/>
      <c r="E110" s="11"/>
      <c r="F110" s="10"/>
      <c r="G110" s="10"/>
      <c r="H110" s="10"/>
      <c r="I110" s="10"/>
      <c r="J110" s="10"/>
      <c r="K110" s="10"/>
      <c r="L110" s="11"/>
      <c r="M110" s="10"/>
      <c r="N110" s="11"/>
    </row>
    <row r="111" spans="1:14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0"/>
      <c r="L111" s="11"/>
      <c r="M111" s="10"/>
      <c r="N111" s="11"/>
    </row>
    <row r="112" spans="1:14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0"/>
      <c r="L112" s="11"/>
      <c r="M112" s="10"/>
      <c r="N112" s="11"/>
    </row>
    <row r="113" spans="1:14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0"/>
      <c r="L113" s="11"/>
      <c r="M113" s="10"/>
      <c r="N113" s="11"/>
    </row>
    <row r="114" spans="1:14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0"/>
      <c r="L114" s="11"/>
      <c r="M114" s="10"/>
      <c r="N114" s="11"/>
    </row>
    <row r="115" spans="1:14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0"/>
      <c r="L115" s="11"/>
      <c r="M115" s="10"/>
      <c r="N115" s="11"/>
    </row>
    <row r="116" spans="1:14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0"/>
      <c r="L116" s="11"/>
      <c r="M116" s="10"/>
      <c r="N116" s="11"/>
    </row>
    <row r="117" spans="1:14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0"/>
      <c r="L117" s="11"/>
      <c r="M117" s="10"/>
      <c r="N117" s="11"/>
    </row>
    <row r="118" spans="1:14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0"/>
      <c r="L118" s="11"/>
      <c r="M118" s="10"/>
      <c r="N118" s="11"/>
    </row>
    <row r="119" spans="1:14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0"/>
      <c r="L119" s="11"/>
      <c r="M119" s="10"/>
      <c r="N119" s="11"/>
    </row>
    <row r="120" spans="1:14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0"/>
      <c r="L120" s="11"/>
      <c r="M120" s="10"/>
      <c r="N120" s="11"/>
    </row>
    <row r="121" spans="1:14">
      <c r="A121" s="10"/>
      <c r="B121" s="10"/>
      <c r="C121" s="10"/>
      <c r="D121" s="10"/>
      <c r="E121" s="11"/>
      <c r="F121" s="10"/>
      <c r="G121" s="10"/>
      <c r="H121" s="10"/>
      <c r="I121" s="10"/>
      <c r="J121" s="10"/>
      <c r="K121" s="10"/>
      <c r="L121" s="11"/>
      <c r="M121" s="10"/>
      <c r="N121" s="11"/>
    </row>
    <row r="122" spans="1:14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0"/>
      <c r="L122" s="11"/>
      <c r="M122" s="10"/>
      <c r="N122" s="11"/>
    </row>
    <row r="123" spans="1:14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0"/>
      <c r="L123" s="11"/>
      <c r="M123" s="10"/>
      <c r="N123" s="11"/>
    </row>
    <row r="124" spans="1:14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0"/>
      <c r="L124" s="11"/>
      <c r="M124" s="10"/>
      <c r="N124" s="11"/>
    </row>
    <row r="125" spans="1:14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0"/>
      <c r="L125" s="11"/>
      <c r="M125" s="10"/>
      <c r="N125" s="11"/>
    </row>
    <row r="126" spans="1:14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0"/>
      <c r="L126" s="11"/>
      <c r="M126" s="10"/>
      <c r="N126" s="11"/>
    </row>
    <row r="127" spans="1:14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0"/>
      <c r="L127" s="11"/>
      <c r="M127" s="10"/>
      <c r="N127" s="11"/>
    </row>
    <row r="128" spans="1:14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0"/>
      <c r="L128" s="11"/>
      <c r="M128" s="10"/>
      <c r="N128" s="11"/>
    </row>
    <row r="129" spans="1:14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0"/>
      <c r="L129" s="11"/>
      <c r="M129" s="10"/>
      <c r="N129" s="11"/>
    </row>
    <row r="130" spans="1:14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0"/>
      <c r="L130" s="11"/>
      <c r="M130" s="10"/>
      <c r="N130" s="11"/>
    </row>
    <row r="131" spans="1:14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0"/>
      <c r="L131" s="11"/>
      <c r="M131" s="10"/>
      <c r="N131" s="11"/>
    </row>
    <row r="132" spans="1:14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0"/>
      <c r="L132" s="11"/>
      <c r="M132" s="10"/>
      <c r="N132" s="11"/>
    </row>
    <row r="133" spans="1:14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0"/>
      <c r="L133" s="11"/>
      <c r="M133" s="10"/>
      <c r="N133" s="11"/>
    </row>
    <row r="134" spans="1:14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0"/>
      <c r="L134" s="11"/>
      <c r="M134" s="10"/>
      <c r="N134" s="11"/>
    </row>
    <row r="135" spans="1:14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0"/>
      <c r="L135" s="11"/>
      <c r="M135" s="10"/>
      <c r="N135" s="11"/>
    </row>
    <row r="136" spans="1:14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0"/>
      <c r="L136" s="11"/>
      <c r="M136" s="10"/>
      <c r="N136" s="11"/>
    </row>
    <row r="137" spans="1:14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0"/>
      <c r="L137" s="11"/>
      <c r="M137" s="10"/>
      <c r="N137" s="11"/>
    </row>
    <row r="138" spans="1:14">
      <c r="A138" s="10"/>
      <c r="B138" s="10"/>
      <c r="C138" s="10"/>
      <c r="D138" s="10"/>
      <c r="E138" s="11"/>
      <c r="F138" s="10"/>
      <c r="G138" s="10"/>
      <c r="H138" s="10"/>
      <c r="I138" s="10"/>
      <c r="J138" s="10"/>
      <c r="K138" s="10"/>
      <c r="L138" s="11"/>
      <c r="M138" s="10"/>
      <c r="N138" s="11"/>
    </row>
    <row r="139" spans="1:14">
      <c r="A139" s="10"/>
      <c r="B139" s="10"/>
      <c r="C139" s="10"/>
      <c r="D139" s="10"/>
      <c r="E139" s="11"/>
      <c r="F139" s="10"/>
      <c r="G139" s="10"/>
      <c r="H139" s="10"/>
      <c r="I139" s="10"/>
      <c r="J139" s="10"/>
      <c r="K139" s="10"/>
      <c r="L139" s="11"/>
      <c r="M139" s="10"/>
      <c r="N139" s="11"/>
    </row>
    <row r="140" spans="1:14">
      <c r="A140" s="10"/>
      <c r="B140" s="10"/>
      <c r="C140" s="10"/>
      <c r="D140" s="10"/>
      <c r="E140" s="11"/>
      <c r="F140" s="10"/>
      <c r="G140" s="10"/>
      <c r="H140" s="10"/>
      <c r="I140" s="10"/>
      <c r="J140" s="10"/>
      <c r="K140" s="10"/>
      <c r="L140" s="11"/>
      <c r="M140" s="10"/>
      <c r="N140" s="11"/>
    </row>
    <row r="141" spans="1:14">
      <c r="A141" s="10"/>
      <c r="B141" s="10"/>
      <c r="C141" s="10"/>
      <c r="D141" s="10"/>
      <c r="E141" s="11"/>
      <c r="F141" s="10"/>
      <c r="G141" s="10"/>
      <c r="H141" s="10"/>
      <c r="I141" s="10"/>
      <c r="J141" s="10"/>
      <c r="K141" s="10"/>
      <c r="L141" s="11"/>
      <c r="M141" s="10"/>
      <c r="N141" s="11"/>
    </row>
    <row r="142" spans="1:14">
      <c r="A142" s="10"/>
      <c r="B142" s="10"/>
      <c r="C142" s="10"/>
      <c r="D142" s="10"/>
      <c r="E142" s="11"/>
      <c r="F142" s="10"/>
      <c r="G142" s="10"/>
      <c r="H142" s="10"/>
      <c r="I142" s="10"/>
      <c r="J142" s="10"/>
      <c r="K142" s="10"/>
      <c r="L142" s="11"/>
      <c r="M142" s="10"/>
      <c r="N142" s="11"/>
    </row>
    <row r="143" spans="1:14">
      <c r="A143" s="10"/>
      <c r="B143" s="10"/>
      <c r="C143" s="10"/>
      <c r="D143" s="10"/>
      <c r="E143" s="11"/>
      <c r="F143" s="10"/>
      <c r="G143" s="10"/>
      <c r="H143" s="10"/>
      <c r="I143" s="10"/>
      <c r="J143" s="10"/>
      <c r="K143" s="10"/>
      <c r="L143" s="11"/>
      <c r="M143" s="10"/>
      <c r="N143" s="11"/>
    </row>
    <row r="144" spans="1:14">
      <c r="A144" s="10"/>
      <c r="B144" s="10"/>
      <c r="C144" s="10"/>
      <c r="D144" s="10"/>
      <c r="E144" s="11"/>
      <c r="F144" s="10"/>
      <c r="G144" s="10"/>
      <c r="H144" s="10"/>
      <c r="I144" s="10"/>
      <c r="J144" s="10"/>
      <c r="K144" s="10"/>
      <c r="L144" s="11"/>
      <c r="M144" s="10"/>
      <c r="N144" s="11"/>
    </row>
    <row r="145" spans="1:14">
      <c r="A145" s="10"/>
      <c r="B145" s="10"/>
      <c r="C145" s="10"/>
      <c r="D145" s="10"/>
      <c r="E145" s="11"/>
      <c r="F145" s="10"/>
      <c r="G145" s="10"/>
      <c r="H145" s="10"/>
      <c r="I145" s="10"/>
      <c r="J145" s="10"/>
      <c r="K145" s="10"/>
      <c r="L145" s="11"/>
      <c r="M145" s="10"/>
      <c r="N145" s="11"/>
    </row>
    <row r="146" spans="1:14">
      <c r="A146" s="10"/>
      <c r="B146" s="10"/>
      <c r="C146" s="10"/>
      <c r="D146" s="10"/>
      <c r="E146" s="11"/>
      <c r="F146" s="10"/>
      <c r="G146" s="10"/>
      <c r="H146" s="10"/>
      <c r="I146" s="10"/>
      <c r="J146" s="10"/>
      <c r="K146" s="10"/>
      <c r="L146" s="11"/>
      <c r="M146" s="10"/>
      <c r="N146" s="11"/>
    </row>
    <row r="147" spans="1:14">
      <c r="A147" s="10"/>
      <c r="B147" s="10"/>
      <c r="C147" s="10"/>
      <c r="D147" s="10"/>
      <c r="E147" s="11"/>
      <c r="F147" s="10"/>
      <c r="G147" s="10"/>
      <c r="H147" s="10"/>
      <c r="I147" s="10"/>
      <c r="J147" s="10"/>
      <c r="K147" s="10"/>
      <c r="L147" s="11"/>
      <c r="M147" s="10"/>
      <c r="N147" s="11"/>
    </row>
    <row r="148" spans="1:14">
      <c r="A148" s="10"/>
      <c r="B148" s="10"/>
      <c r="C148" s="10"/>
      <c r="D148" s="10"/>
      <c r="E148" s="11"/>
      <c r="F148" s="10"/>
      <c r="G148" s="10"/>
      <c r="H148" s="10"/>
      <c r="I148" s="10"/>
      <c r="J148" s="10"/>
      <c r="K148" s="10"/>
      <c r="L148" s="11"/>
      <c r="M148" s="10"/>
      <c r="N148" s="11"/>
    </row>
    <row r="149" spans="1:14">
      <c r="A149" s="10"/>
      <c r="B149" s="10"/>
      <c r="C149" s="10"/>
      <c r="D149" s="10"/>
      <c r="E149" s="11"/>
      <c r="F149" s="10"/>
      <c r="G149" s="10"/>
      <c r="H149" s="10"/>
      <c r="I149" s="10"/>
      <c r="J149" s="10"/>
      <c r="K149" s="10"/>
      <c r="L149" s="11"/>
      <c r="M149" s="10"/>
      <c r="N149" s="11"/>
    </row>
    <row r="150" spans="1:14">
      <c r="A150" s="10"/>
      <c r="B150" s="10"/>
      <c r="C150" s="10"/>
      <c r="D150" s="10"/>
      <c r="E150" s="11"/>
      <c r="F150" s="10"/>
      <c r="G150" s="10"/>
      <c r="H150" s="10"/>
      <c r="I150" s="10"/>
      <c r="J150" s="10"/>
      <c r="K150" s="10"/>
      <c r="L150" s="11"/>
      <c r="M150" s="10"/>
      <c r="N150" s="11"/>
    </row>
    <row r="151" spans="1:14">
      <c r="A151" s="10"/>
      <c r="B151" s="10"/>
      <c r="C151" s="10"/>
      <c r="D151" s="10"/>
      <c r="E151" s="11"/>
      <c r="F151" s="10"/>
      <c r="G151" s="10"/>
      <c r="H151" s="10"/>
      <c r="I151" s="10"/>
      <c r="J151" s="10"/>
      <c r="K151" s="10"/>
      <c r="L151" s="11"/>
      <c r="M151" s="10"/>
      <c r="N151" s="11"/>
    </row>
    <row r="152" spans="1:14">
      <c r="A152" s="10"/>
      <c r="B152" s="10"/>
      <c r="C152" s="10"/>
      <c r="D152" s="10"/>
      <c r="E152" s="11"/>
      <c r="F152" s="10"/>
      <c r="G152" s="10"/>
      <c r="H152" s="10"/>
      <c r="I152" s="10"/>
      <c r="J152" s="10"/>
      <c r="K152" s="10"/>
      <c r="L152" s="11"/>
      <c r="M152" s="10"/>
      <c r="N152" s="11"/>
    </row>
    <row r="153" spans="1:14">
      <c r="A153" s="10"/>
      <c r="B153" s="10"/>
      <c r="C153" s="10"/>
      <c r="D153" s="10"/>
      <c r="E153" s="11"/>
      <c r="F153" s="10"/>
      <c r="G153" s="10"/>
      <c r="H153" s="10"/>
      <c r="I153" s="10"/>
      <c r="J153" s="10"/>
      <c r="K153" s="10"/>
      <c r="L153" s="11"/>
      <c r="M153" s="10"/>
      <c r="N153" s="11"/>
    </row>
    <row r="154" spans="1:14">
      <c r="A154" s="10"/>
      <c r="B154" s="10"/>
      <c r="C154" s="10"/>
      <c r="D154" s="10"/>
      <c r="E154" s="11"/>
      <c r="F154" s="10"/>
      <c r="G154" s="10"/>
      <c r="H154" s="10"/>
      <c r="I154" s="10"/>
      <c r="J154" s="10"/>
      <c r="K154" s="10"/>
      <c r="L154" s="11"/>
      <c r="M154" s="10"/>
      <c r="N154" s="11"/>
    </row>
    <row r="155" spans="1:14">
      <c r="A155" s="10"/>
      <c r="B155" s="10"/>
      <c r="C155" s="10"/>
      <c r="D155" s="10"/>
      <c r="E155" s="11"/>
      <c r="F155" s="10"/>
      <c r="G155" s="10"/>
      <c r="H155" s="10"/>
      <c r="I155" s="10"/>
      <c r="J155" s="10"/>
      <c r="K155" s="10"/>
      <c r="L155" s="11"/>
      <c r="M155" s="10"/>
      <c r="N155" s="11"/>
    </row>
    <row r="156" spans="1:14">
      <c r="A156" s="10"/>
      <c r="B156" s="10"/>
      <c r="C156" s="10"/>
      <c r="D156" s="10"/>
      <c r="E156" s="11"/>
      <c r="F156" s="10"/>
      <c r="G156" s="10"/>
      <c r="H156" s="10"/>
      <c r="I156" s="10"/>
      <c r="J156" s="10"/>
      <c r="K156" s="10"/>
      <c r="L156" s="11"/>
      <c r="M156" s="10"/>
      <c r="N156" s="11"/>
    </row>
    <row r="157" spans="1:14">
      <c r="A157" s="10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1"/>
      <c r="M157" s="10"/>
      <c r="N157" s="11"/>
    </row>
    <row r="158" spans="1:14">
      <c r="A158" s="10"/>
      <c r="B158" s="10"/>
      <c r="C158" s="10"/>
      <c r="D158" s="10"/>
      <c r="E158" s="11"/>
      <c r="F158" s="10"/>
      <c r="G158" s="10"/>
      <c r="H158" s="10"/>
      <c r="I158" s="10"/>
      <c r="J158" s="10"/>
      <c r="K158" s="10"/>
      <c r="L158" s="11"/>
      <c r="M158" s="10"/>
      <c r="N158" s="11"/>
    </row>
    <row r="159" spans="1:14">
      <c r="A159" s="10"/>
      <c r="B159" s="10"/>
      <c r="C159" s="10"/>
      <c r="D159" s="10"/>
      <c r="E159" s="11"/>
      <c r="F159" s="10"/>
      <c r="G159" s="10"/>
      <c r="H159" s="10"/>
      <c r="I159" s="10"/>
      <c r="J159" s="10"/>
      <c r="K159" s="10"/>
      <c r="L159" s="11"/>
      <c r="M159" s="10"/>
      <c r="N159" s="11"/>
    </row>
    <row r="160" spans="1:14">
      <c r="A160" s="10"/>
      <c r="B160" s="10"/>
      <c r="C160" s="10"/>
      <c r="D160" s="10"/>
      <c r="E160" s="11"/>
      <c r="F160" s="10"/>
      <c r="G160" s="10"/>
      <c r="H160" s="10"/>
      <c r="I160" s="10"/>
      <c r="J160" s="10"/>
      <c r="K160" s="10"/>
      <c r="L160" s="11"/>
      <c r="M160" s="10"/>
      <c r="N160" s="11"/>
    </row>
    <row r="161" spans="1:14">
      <c r="A161" s="10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1"/>
      <c r="M161" s="10"/>
      <c r="N161" s="11"/>
    </row>
    <row r="162" spans="1:14">
      <c r="A162" s="10"/>
      <c r="B162" s="10"/>
      <c r="C162" s="10"/>
      <c r="D162" s="10"/>
      <c r="E162" s="11"/>
      <c r="F162" s="10"/>
      <c r="G162" s="10"/>
      <c r="H162" s="10"/>
      <c r="I162" s="10"/>
      <c r="J162" s="10"/>
      <c r="K162" s="10"/>
      <c r="L162" s="11"/>
      <c r="M162" s="10"/>
      <c r="N162" s="11"/>
    </row>
    <row r="163" spans="1:14">
      <c r="A163" s="10"/>
      <c r="B163" s="10"/>
      <c r="C163" s="10"/>
      <c r="D163" s="10"/>
      <c r="E163" s="11"/>
      <c r="F163" s="10"/>
      <c r="G163" s="10"/>
      <c r="H163" s="10"/>
      <c r="I163" s="10"/>
      <c r="J163" s="10"/>
      <c r="K163" s="10"/>
      <c r="L163" s="11"/>
      <c r="M163" s="10"/>
      <c r="N163" s="11"/>
    </row>
    <row r="164" spans="1:14">
      <c r="A164" s="10"/>
      <c r="B164" s="10"/>
      <c r="C164" s="10"/>
      <c r="D164" s="10"/>
      <c r="E164" s="11"/>
      <c r="F164" s="10"/>
      <c r="G164" s="10"/>
      <c r="H164" s="10"/>
      <c r="I164" s="10"/>
      <c r="J164" s="10"/>
      <c r="K164" s="10"/>
      <c r="L164" s="11"/>
      <c r="M164" s="10"/>
      <c r="N164" s="11"/>
    </row>
    <row r="165" spans="1:14">
      <c r="A165" s="10"/>
      <c r="B165" s="10"/>
      <c r="C165" s="10"/>
      <c r="D165" s="10"/>
      <c r="E165" s="11"/>
      <c r="F165" s="10"/>
      <c r="G165" s="10"/>
      <c r="H165" s="10"/>
      <c r="I165" s="10"/>
      <c r="J165" s="10"/>
      <c r="K165" s="10"/>
      <c r="L165" s="11"/>
      <c r="M165" s="10"/>
      <c r="N165" s="11"/>
    </row>
    <row r="166" spans="1:14">
      <c r="A166" s="10"/>
      <c r="B166" s="10"/>
      <c r="C166" s="10"/>
      <c r="D166" s="10"/>
      <c r="E166" s="11"/>
      <c r="F166" s="10"/>
      <c r="G166" s="10"/>
      <c r="H166" s="10"/>
      <c r="I166" s="10"/>
      <c r="J166" s="10"/>
      <c r="K166" s="10"/>
      <c r="L166" s="11"/>
      <c r="M166" s="10"/>
      <c r="N166" s="11"/>
    </row>
    <row r="167" spans="1:14">
      <c r="A167" s="10"/>
      <c r="B167" s="10"/>
      <c r="C167" s="10"/>
      <c r="D167" s="10"/>
      <c r="E167" s="11"/>
      <c r="F167" s="10"/>
      <c r="G167" s="10"/>
      <c r="H167" s="10"/>
      <c r="I167" s="10"/>
      <c r="J167" s="10"/>
      <c r="K167" s="10"/>
      <c r="L167" s="11"/>
      <c r="M167" s="10"/>
      <c r="N167" s="11"/>
    </row>
    <row r="168" spans="1:14">
      <c r="A168" s="10"/>
      <c r="B168" s="10"/>
      <c r="C168" s="10"/>
      <c r="D168" s="10"/>
      <c r="E168" s="11"/>
      <c r="F168" s="10"/>
      <c r="G168" s="10"/>
      <c r="H168" s="10"/>
      <c r="I168" s="10"/>
      <c r="J168" s="10"/>
      <c r="K168" s="10"/>
      <c r="L168" s="11"/>
      <c r="M168" s="10"/>
      <c r="N168" s="11"/>
    </row>
    <row r="169" spans="1:14">
      <c r="A169" s="10"/>
      <c r="B169" s="10"/>
      <c r="C169" s="10"/>
      <c r="D169" s="10"/>
      <c r="E169" s="11"/>
      <c r="F169" s="10"/>
      <c r="G169" s="10"/>
      <c r="H169" s="10"/>
      <c r="I169" s="10"/>
      <c r="J169" s="10"/>
      <c r="K169" s="10"/>
      <c r="L169" s="11"/>
      <c r="M169" s="10"/>
      <c r="N169" s="11"/>
    </row>
    <row r="170" spans="1:14">
      <c r="A170" s="10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1"/>
      <c r="M170" s="10"/>
      <c r="N170" s="11"/>
    </row>
    <row r="171" spans="1:14">
      <c r="A171" s="10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1"/>
      <c r="M171" s="10"/>
      <c r="N171" s="11"/>
    </row>
    <row r="172" spans="1:14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1"/>
      <c r="M172" s="10"/>
      <c r="N172" s="11"/>
    </row>
    <row r="173" spans="1:14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1"/>
      <c r="M173" s="10"/>
      <c r="N173" s="11"/>
    </row>
    <row r="174" spans="1:14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1"/>
      <c r="M174" s="10"/>
      <c r="N174" s="11"/>
    </row>
    <row r="175" spans="1:14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1"/>
      <c r="M175" s="10"/>
      <c r="N175" s="11"/>
    </row>
    <row r="176" spans="1:14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1"/>
      <c r="M176" s="10"/>
      <c r="N176" s="11"/>
    </row>
    <row r="177" spans="1:14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1"/>
      <c r="M177" s="10"/>
      <c r="N177" s="11"/>
    </row>
    <row r="178" spans="1:14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1"/>
      <c r="M178" s="10"/>
      <c r="N178" s="11"/>
    </row>
    <row r="179" spans="1:14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1"/>
      <c r="M179" s="10"/>
      <c r="N179" s="11"/>
    </row>
    <row r="180" spans="1:14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1"/>
      <c r="M180" s="10"/>
      <c r="N180" s="11"/>
    </row>
    <row r="181" spans="1:14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1"/>
      <c r="M181" s="10"/>
      <c r="N181" s="11"/>
    </row>
    <row r="182" spans="1:14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1"/>
      <c r="M182" s="10"/>
      <c r="N182" s="11"/>
    </row>
    <row r="183" spans="1:14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1"/>
      <c r="M183" s="10"/>
      <c r="N183" s="11"/>
    </row>
    <row r="184" spans="1:14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1"/>
      <c r="M184" s="10"/>
      <c r="N184" s="11"/>
    </row>
    <row r="185" spans="1:14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1"/>
      <c r="M185" s="10"/>
      <c r="N185" s="11"/>
    </row>
    <row r="186" spans="1:14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1"/>
      <c r="M186" s="10"/>
      <c r="N186" s="11"/>
    </row>
    <row r="187" spans="1:14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1"/>
      <c r="M187" s="10"/>
      <c r="N187" s="11"/>
    </row>
    <row r="188" spans="1:14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1"/>
      <c r="M188" s="10"/>
      <c r="N188" s="11"/>
    </row>
    <row r="189" spans="1:14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1"/>
      <c r="M189" s="10"/>
      <c r="N189" s="11"/>
    </row>
    <row r="190" spans="1:14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1"/>
      <c r="M190" s="10"/>
      <c r="N190" s="11"/>
    </row>
    <row r="191" spans="1:14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1"/>
      <c r="M191" s="10"/>
      <c r="N191" s="11"/>
    </row>
    <row r="192" spans="1:14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1"/>
      <c r="M192" s="10"/>
      <c r="N192" s="11"/>
    </row>
    <row r="193" spans="1:14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1"/>
      <c r="M193" s="10"/>
      <c r="N193" s="11"/>
    </row>
    <row r="194" spans="1:14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1"/>
      <c r="M194" s="10"/>
      <c r="N194" s="11"/>
    </row>
    <row r="195" spans="1:14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1"/>
      <c r="M195" s="10"/>
      <c r="N195" s="11"/>
    </row>
    <row r="196" spans="1:14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1"/>
      <c r="M196" s="10"/>
      <c r="N196" s="11"/>
    </row>
    <row r="197" spans="1:14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1"/>
      <c r="M197" s="10"/>
      <c r="N197" s="11"/>
    </row>
    <row r="198" spans="1:14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1"/>
      <c r="M198" s="10"/>
      <c r="N198" s="11"/>
    </row>
    <row r="199" spans="1:14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1"/>
      <c r="M199" s="10"/>
      <c r="N199" s="11"/>
    </row>
    <row r="200" spans="1:14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1"/>
      <c r="M200" s="10"/>
      <c r="N200" s="11"/>
    </row>
    <row r="201" spans="1:14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1"/>
      <c r="M201" s="10"/>
      <c r="N201" s="11"/>
    </row>
    <row r="202" spans="1:14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1"/>
      <c r="M202" s="10"/>
      <c r="N202" s="11"/>
    </row>
    <row r="203" spans="1:14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1"/>
      <c r="M203" s="10"/>
      <c r="N203" s="11"/>
    </row>
    <row r="204" spans="1:14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1"/>
      <c r="M204" s="10"/>
      <c r="N204" s="11"/>
    </row>
    <row r="205" spans="1:14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1"/>
      <c r="M205" s="10"/>
      <c r="N205" s="11"/>
    </row>
    <row r="206" spans="1:14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1"/>
      <c r="M206" s="10"/>
      <c r="N206" s="11"/>
    </row>
    <row r="207" spans="1:14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1"/>
      <c r="M207" s="10"/>
      <c r="N207" s="11"/>
    </row>
    <row r="208" spans="1:14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1"/>
      <c r="M208" s="10"/>
      <c r="N208" s="11"/>
    </row>
    <row r="209" spans="1:14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1"/>
      <c r="M209" s="10"/>
      <c r="N209" s="11"/>
    </row>
    <row r="210" spans="1:14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1"/>
      <c r="M210" s="10"/>
      <c r="N210" s="11"/>
    </row>
    <row r="211" spans="1:14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1"/>
      <c r="M211" s="10"/>
      <c r="N211" s="11"/>
    </row>
    <row r="212" spans="1:14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1"/>
      <c r="M212" s="10"/>
      <c r="N212" s="11"/>
    </row>
    <row r="213" spans="1:14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1"/>
      <c r="M213" s="10"/>
      <c r="N213" s="11"/>
    </row>
    <row r="214" spans="1:14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1"/>
      <c r="M214" s="10"/>
      <c r="N214" s="11"/>
    </row>
    <row r="215" spans="1:14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1"/>
      <c r="M215" s="10"/>
      <c r="N215" s="11"/>
    </row>
    <row r="216" spans="1:14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1"/>
      <c r="M216" s="10"/>
      <c r="N216" s="11"/>
    </row>
    <row r="217" spans="1:14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1"/>
      <c r="M217" s="10"/>
      <c r="N217" s="11"/>
    </row>
    <row r="218" spans="1:14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1"/>
      <c r="M218" s="10"/>
      <c r="N218" s="11"/>
    </row>
    <row r="219" spans="1:14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1"/>
      <c r="M219" s="10"/>
      <c r="N219" s="11"/>
    </row>
    <row r="220" spans="1:14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1"/>
      <c r="M220" s="10"/>
      <c r="N220" s="11"/>
    </row>
    <row r="221" spans="1:14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1"/>
      <c r="M221" s="10"/>
      <c r="N221" s="11"/>
    </row>
    <row r="222" spans="1:14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1"/>
      <c r="M222" s="10"/>
      <c r="N222" s="11"/>
    </row>
    <row r="223" spans="1:14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1"/>
      <c r="M223" s="10"/>
      <c r="N223" s="11"/>
    </row>
    <row r="224" spans="1:14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1"/>
      <c r="M224" s="10"/>
      <c r="N224" s="11"/>
    </row>
    <row r="225" spans="1:14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1"/>
      <c r="M225" s="10"/>
      <c r="N225" s="11"/>
    </row>
    <row r="226" spans="1:14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1"/>
      <c r="M226" s="10"/>
      <c r="N226" s="11"/>
    </row>
    <row r="227" spans="1:14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1"/>
      <c r="M227" s="10"/>
      <c r="N227" s="11"/>
    </row>
    <row r="228" spans="1:14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1"/>
      <c r="M228" s="10"/>
      <c r="N228" s="11"/>
    </row>
    <row r="229" spans="1:14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1"/>
      <c r="M229" s="10"/>
      <c r="N229" s="11"/>
    </row>
    <row r="230" spans="1:14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1"/>
      <c r="M230" s="10"/>
      <c r="N230" s="11"/>
    </row>
    <row r="231" spans="1:14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1"/>
      <c r="M231" s="10"/>
      <c r="N231" s="11"/>
    </row>
    <row r="232" spans="1:14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1"/>
      <c r="M232" s="10"/>
      <c r="N232" s="11"/>
    </row>
    <row r="233" spans="1:14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1"/>
      <c r="M233" s="10"/>
      <c r="N233" s="11"/>
    </row>
    <row r="234" spans="1:14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1"/>
      <c r="M234" s="10"/>
      <c r="N234" s="11"/>
    </row>
    <row r="235" spans="1:14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1"/>
      <c r="M235" s="10"/>
      <c r="N235" s="11"/>
    </row>
    <row r="236" spans="1:14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1"/>
      <c r="M236" s="10"/>
      <c r="N236" s="11"/>
    </row>
    <row r="237" spans="1:14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1"/>
      <c r="M237" s="10"/>
      <c r="N237" s="11"/>
    </row>
    <row r="238" spans="1:14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1"/>
      <c r="M238" s="10"/>
      <c r="N238" s="11"/>
    </row>
    <row r="239" spans="1:14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1"/>
      <c r="M239" s="10"/>
      <c r="N239" s="11"/>
    </row>
    <row r="240" spans="1:14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1"/>
      <c r="M240" s="10"/>
      <c r="N240" s="11"/>
    </row>
    <row r="241" spans="1:14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1"/>
      <c r="M241" s="10"/>
      <c r="N241" s="11"/>
    </row>
    <row r="242" spans="1:14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1"/>
      <c r="M242" s="10"/>
      <c r="N242" s="11"/>
    </row>
    <row r="243" spans="1:14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1"/>
      <c r="M243" s="10"/>
      <c r="N243" s="11"/>
    </row>
    <row r="244" spans="1:14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1"/>
      <c r="M244" s="10"/>
      <c r="N244" s="11"/>
    </row>
    <row r="245" spans="1:14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1"/>
      <c r="M245" s="10"/>
      <c r="N245" s="11"/>
    </row>
    <row r="246" spans="1:14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1"/>
      <c r="M246" s="10"/>
      <c r="N246" s="11"/>
    </row>
    <row r="247" spans="1:14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1"/>
      <c r="M247" s="10"/>
      <c r="N247" s="11"/>
    </row>
    <row r="248" spans="1:14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1"/>
      <c r="M248" s="10"/>
      <c r="N248" s="11"/>
    </row>
    <row r="249" spans="1:14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1"/>
      <c r="M249" s="10"/>
      <c r="N249" s="11"/>
    </row>
    <row r="250" spans="1:14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1"/>
      <c r="M250" s="10"/>
      <c r="N250" s="11"/>
    </row>
  </sheetData>
  <mergeCells count="2">
    <mergeCell ref="A2:N2"/>
    <mergeCell ref="A1:N1"/>
  </mergeCells>
  <conditionalFormatting sqref="B4:B250">
    <cfRule type="expression" dxfId="8" priority="1">
      <formula>LEN($B4)=0</formula>
    </cfRule>
  </conditionalFormatting>
  <dataValidations count="6">
    <dataValidation type="list" allowBlank="1" sqref="B4:B250" xr:uid="{00000000-0002-0000-0C00-000000000000}">
      <formula1>TechIDs</formula1>
    </dataValidation>
    <dataValidation type="list" allowBlank="1" sqref="E4:E250" xr:uid="{00000000-0002-0000-0C00-000001000000}">
      <formula1>MetricheCosto</formula1>
    </dataValidation>
    <dataValidation type="list" allowBlank="1" sqref="H4:H250" xr:uid="{00000000-0002-0000-0C00-000002000000}">
      <formula1>Valute</formula1>
    </dataValidation>
    <dataValidation type="list" allowBlank="1" sqref="J4:J250" xr:uid="{00000000-0002-0000-0C00-000003000000}">
      <formula1>Geografie</formula1>
    </dataValidation>
    <dataValidation type="list" allowBlank="1" sqref="K4:K250" xr:uid="{00000000-0002-0000-0C00-000004000000}">
      <formula1>Trend</formula1>
    </dataValidation>
    <dataValidation type="list" allowBlank="1" sqref="M4:M250" xr:uid="{00000000-0002-0000-0C00-000005000000}">
      <formula1>SourceIDs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F766E"/>
  </sheetPr>
  <dimension ref="A1:L250"/>
  <sheetViews>
    <sheetView showGridLines="0" workbookViewId="0">
      <selection activeCell="J6" sqref="J6"/>
    </sheetView>
  </sheetViews>
  <sheetFormatPr defaultRowHeight="14.45"/>
  <cols>
    <col min="1" max="1" width="14" customWidth="1"/>
    <col min="2" max="2" width="10" customWidth="1"/>
    <col min="3" max="3" width="22" customWidth="1"/>
    <col min="4" max="4" width="16" customWidth="1"/>
    <col min="5" max="5" width="18" customWidth="1"/>
    <col min="6" max="6" width="28" customWidth="1"/>
    <col min="7" max="7" width="20" customWidth="1"/>
    <col min="8" max="8" width="16" customWidth="1"/>
    <col min="9" max="9" width="18" customWidth="1"/>
    <col min="10" max="10" width="14" customWidth="1"/>
    <col min="11" max="11" width="12" customWidth="1"/>
    <col min="12" max="12" width="24" customWidth="1"/>
  </cols>
  <sheetData>
    <row r="1" spans="1:12" ht="24" customHeight="1">
      <c r="A1" s="28" t="s">
        <v>2171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36" customHeight="1">
      <c r="A2" s="29" t="s">
        <v>2172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27.95" customHeight="1">
      <c r="A3" s="9" t="s">
        <v>203</v>
      </c>
      <c r="B3" s="9" t="s">
        <v>64</v>
      </c>
      <c r="C3" s="9" t="s">
        <v>23</v>
      </c>
      <c r="D3" s="9" t="s">
        <v>199</v>
      </c>
      <c r="E3" s="9" t="s">
        <v>2173</v>
      </c>
      <c r="F3" s="9" t="s">
        <v>2174</v>
      </c>
      <c r="G3" s="9" t="s">
        <v>2175</v>
      </c>
      <c r="H3" s="9" t="s">
        <v>2176</v>
      </c>
      <c r="I3" s="9" t="s">
        <v>2177</v>
      </c>
      <c r="J3" s="9" t="s">
        <v>1554</v>
      </c>
      <c r="K3" s="9" t="s">
        <v>1061</v>
      </c>
      <c r="L3" s="9" t="s">
        <v>1062</v>
      </c>
    </row>
    <row r="4" spans="1:12" ht="57.95" customHeight="1">
      <c r="A4" s="10" t="s">
        <v>2178</v>
      </c>
      <c r="B4" s="10" t="s">
        <v>117</v>
      </c>
      <c r="C4" s="10" t="s">
        <v>118</v>
      </c>
      <c r="D4" s="10"/>
      <c r="E4" s="10" t="s">
        <v>344</v>
      </c>
      <c r="F4" s="11" t="s">
        <v>2179</v>
      </c>
      <c r="G4" s="11" t="s">
        <v>2180</v>
      </c>
      <c r="H4" s="10" t="s">
        <v>110</v>
      </c>
      <c r="I4" s="10" t="s">
        <v>1665</v>
      </c>
      <c r="J4" s="10" t="s">
        <v>1036</v>
      </c>
      <c r="K4" s="10" t="s">
        <v>469</v>
      </c>
      <c r="L4" s="11" t="s">
        <v>2181</v>
      </c>
    </row>
    <row r="5" spans="1:12" ht="43.5" customHeight="1">
      <c r="A5" s="10" t="s">
        <v>2182</v>
      </c>
      <c r="B5" s="10" t="s">
        <v>117</v>
      </c>
      <c r="C5" s="10" t="s">
        <v>118</v>
      </c>
      <c r="D5" s="10"/>
      <c r="E5" s="10" t="s">
        <v>260</v>
      </c>
      <c r="F5" s="11" t="s">
        <v>2183</v>
      </c>
      <c r="G5" s="11" t="s">
        <v>2184</v>
      </c>
      <c r="H5" s="10" t="s">
        <v>110</v>
      </c>
      <c r="I5" s="10" t="s">
        <v>1665</v>
      </c>
      <c r="J5" s="10" t="s">
        <v>1621</v>
      </c>
      <c r="K5" s="10" t="s">
        <v>123</v>
      </c>
      <c r="L5" s="11" t="s">
        <v>2185</v>
      </c>
    </row>
    <row r="6" spans="1:12" ht="43.5" customHeight="1">
      <c r="A6" s="10" t="s">
        <v>2186</v>
      </c>
      <c r="B6" s="10" t="s">
        <v>117</v>
      </c>
      <c r="C6" s="10" t="s">
        <v>118</v>
      </c>
      <c r="D6" s="10" t="s">
        <v>1110</v>
      </c>
      <c r="E6" s="10" t="s">
        <v>237</v>
      </c>
      <c r="F6" s="11" t="s">
        <v>2187</v>
      </c>
      <c r="G6" s="11" t="s">
        <v>2188</v>
      </c>
      <c r="H6" s="10" t="s">
        <v>2189</v>
      </c>
      <c r="I6" s="10" t="s">
        <v>276</v>
      </c>
      <c r="J6" s="10" t="s">
        <v>1048</v>
      </c>
      <c r="K6" s="10" t="s">
        <v>1587</v>
      </c>
      <c r="L6" s="11" t="s">
        <v>2190</v>
      </c>
    </row>
    <row r="7" spans="1:12" ht="43.5" customHeight="1">
      <c r="A7" s="10" t="s">
        <v>2191</v>
      </c>
      <c r="B7" s="10" t="s">
        <v>117</v>
      </c>
      <c r="C7" s="10" t="s">
        <v>118</v>
      </c>
      <c r="D7" s="10"/>
      <c r="E7" s="10" t="s">
        <v>322</v>
      </c>
      <c r="F7" s="11" t="s">
        <v>2192</v>
      </c>
      <c r="G7" s="11" t="s">
        <v>2193</v>
      </c>
      <c r="H7" s="10" t="s">
        <v>93</v>
      </c>
      <c r="I7" s="10" t="s">
        <v>252</v>
      </c>
      <c r="J7" s="10" t="s">
        <v>1036</v>
      </c>
      <c r="K7" s="10" t="s">
        <v>469</v>
      </c>
      <c r="L7" s="11" t="s">
        <v>2194</v>
      </c>
    </row>
    <row r="8" spans="1:12" ht="43.5" customHeight="1">
      <c r="A8" s="10" t="s">
        <v>2195</v>
      </c>
      <c r="B8" s="10" t="s">
        <v>117</v>
      </c>
      <c r="C8" s="10" t="s">
        <v>118</v>
      </c>
      <c r="D8" s="10" t="s">
        <v>1073</v>
      </c>
      <c r="E8" s="10" t="s">
        <v>288</v>
      </c>
      <c r="F8" s="11" t="s">
        <v>2196</v>
      </c>
      <c r="G8" s="11" t="s">
        <v>2197</v>
      </c>
      <c r="H8" s="10" t="s">
        <v>110</v>
      </c>
      <c r="I8" s="10" t="s">
        <v>1665</v>
      </c>
      <c r="J8" s="10" t="s">
        <v>338</v>
      </c>
      <c r="K8" s="10" t="s">
        <v>2198</v>
      </c>
      <c r="L8" s="11" t="s">
        <v>2199</v>
      </c>
    </row>
    <row r="9" spans="1:12" ht="43.5" customHeight="1">
      <c r="A9" s="10" t="s">
        <v>2200</v>
      </c>
      <c r="B9" s="10" t="s">
        <v>117</v>
      </c>
      <c r="C9" s="10" t="s">
        <v>118</v>
      </c>
      <c r="D9" s="10"/>
      <c r="E9" s="10" t="s">
        <v>285</v>
      </c>
      <c r="F9" s="11" t="s">
        <v>2201</v>
      </c>
      <c r="G9" s="11" t="s">
        <v>2202</v>
      </c>
      <c r="H9" s="10" t="s">
        <v>93</v>
      </c>
      <c r="I9" s="10" t="s">
        <v>276</v>
      </c>
      <c r="J9" s="10" t="s">
        <v>1621</v>
      </c>
      <c r="K9" s="10" t="s">
        <v>458</v>
      </c>
      <c r="L9" s="11" t="s">
        <v>2203</v>
      </c>
    </row>
    <row r="10" spans="1:12" ht="43.5" customHeight="1">
      <c r="A10" s="10" t="s">
        <v>2204</v>
      </c>
      <c r="B10" s="10" t="s">
        <v>131</v>
      </c>
      <c r="C10" s="10" t="s">
        <v>132</v>
      </c>
      <c r="D10" s="10"/>
      <c r="E10" s="10" t="s">
        <v>288</v>
      </c>
      <c r="F10" s="11" t="s">
        <v>2205</v>
      </c>
      <c r="G10" s="11" t="s">
        <v>2206</v>
      </c>
      <c r="H10" s="10" t="s">
        <v>110</v>
      </c>
      <c r="I10" s="10" t="s">
        <v>1665</v>
      </c>
      <c r="J10" s="10" t="s">
        <v>1621</v>
      </c>
      <c r="K10" s="10" t="s">
        <v>135</v>
      </c>
      <c r="L10" s="11" t="s">
        <v>2207</v>
      </c>
    </row>
    <row r="11" spans="1:12" ht="57.95" customHeight="1">
      <c r="A11" s="10" t="s">
        <v>2208</v>
      </c>
      <c r="B11" s="10" t="s">
        <v>131</v>
      </c>
      <c r="C11" s="10" t="s">
        <v>132</v>
      </c>
      <c r="D11" s="10"/>
      <c r="E11" s="10" t="s">
        <v>260</v>
      </c>
      <c r="F11" s="11" t="s">
        <v>2209</v>
      </c>
      <c r="G11" s="11" t="s">
        <v>2210</v>
      </c>
      <c r="H11" s="10" t="s">
        <v>110</v>
      </c>
      <c r="I11" s="10" t="s">
        <v>1665</v>
      </c>
      <c r="J11" s="10" t="s">
        <v>1051</v>
      </c>
      <c r="K11" s="10" t="s">
        <v>2211</v>
      </c>
      <c r="L11" s="11" t="s">
        <v>2212</v>
      </c>
    </row>
    <row r="12" spans="1:12" ht="43.5" customHeight="1">
      <c r="A12" s="10" t="s">
        <v>2213</v>
      </c>
      <c r="B12" s="10" t="s">
        <v>131</v>
      </c>
      <c r="C12" s="10" t="s">
        <v>132</v>
      </c>
      <c r="D12" s="10" t="s">
        <v>1168</v>
      </c>
      <c r="E12" s="10" t="s">
        <v>2214</v>
      </c>
      <c r="F12" s="11" t="s">
        <v>2215</v>
      </c>
      <c r="G12" s="11" t="s">
        <v>2216</v>
      </c>
      <c r="H12" s="10" t="s">
        <v>110</v>
      </c>
      <c r="I12" s="10" t="s">
        <v>1672</v>
      </c>
      <c r="J12" s="10" t="s">
        <v>265</v>
      </c>
      <c r="K12" s="10" t="s">
        <v>2217</v>
      </c>
      <c r="L12" s="11" t="s">
        <v>2218</v>
      </c>
    </row>
    <row r="13" spans="1:12" ht="43.5" customHeight="1">
      <c r="A13" s="10" t="s">
        <v>2219</v>
      </c>
      <c r="B13" s="10" t="s">
        <v>131</v>
      </c>
      <c r="C13" s="10" t="s">
        <v>132</v>
      </c>
      <c r="D13" s="10"/>
      <c r="E13" s="10" t="s">
        <v>2220</v>
      </c>
      <c r="F13" s="11" t="s">
        <v>2221</v>
      </c>
      <c r="G13" s="11" t="s">
        <v>2222</v>
      </c>
      <c r="H13" s="10" t="s">
        <v>93</v>
      </c>
      <c r="I13" s="10" t="s">
        <v>1665</v>
      </c>
      <c r="J13" s="10" t="s">
        <v>1048</v>
      </c>
      <c r="K13" s="10" t="s">
        <v>588</v>
      </c>
      <c r="L13" s="11" t="s">
        <v>2223</v>
      </c>
    </row>
    <row r="14" spans="1:12" ht="43.5" customHeight="1">
      <c r="A14" s="10" t="s">
        <v>2224</v>
      </c>
      <c r="B14" s="10" t="s">
        <v>131</v>
      </c>
      <c r="C14" s="10" t="s">
        <v>132</v>
      </c>
      <c r="D14" s="10"/>
      <c r="E14" s="10" t="s">
        <v>2225</v>
      </c>
      <c r="F14" s="11" t="s">
        <v>2226</v>
      </c>
      <c r="G14" s="11" t="s">
        <v>2227</v>
      </c>
      <c r="H14" s="10" t="s">
        <v>2228</v>
      </c>
      <c r="I14" s="10" t="s">
        <v>1665</v>
      </c>
      <c r="J14" s="10" t="s">
        <v>338</v>
      </c>
      <c r="K14" s="10" t="s">
        <v>135</v>
      </c>
      <c r="L14" s="11" t="s">
        <v>2229</v>
      </c>
    </row>
    <row r="15" spans="1:12" ht="57.95" customHeight="1">
      <c r="A15" s="10" t="s">
        <v>2230</v>
      </c>
      <c r="B15" s="10" t="s">
        <v>131</v>
      </c>
      <c r="C15" s="10" t="s">
        <v>132</v>
      </c>
      <c r="D15" s="10" t="s">
        <v>1180</v>
      </c>
      <c r="E15" s="10" t="s">
        <v>2231</v>
      </c>
      <c r="F15" s="11" t="s">
        <v>2232</v>
      </c>
      <c r="G15" s="11" t="s">
        <v>2233</v>
      </c>
      <c r="H15" s="10" t="s">
        <v>2228</v>
      </c>
      <c r="I15" s="10" t="s">
        <v>1672</v>
      </c>
      <c r="J15" s="10" t="s">
        <v>1051</v>
      </c>
      <c r="K15" s="10" t="s">
        <v>2234</v>
      </c>
      <c r="L15" s="11" t="s">
        <v>2235</v>
      </c>
    </row>
    <row r="16" spans="1:12" ht="29.1" customHeight="1">
      <c r="A16" s="10" t="s">
        <v>2236</v>
      </c>
      <c r="B16" s="10" t="s">
        <v>161</v>
      </c>
      <c r="C16" s="10" t="s">
        <v>162</v>
      </c>
      <c r="D16" s="10"/>
      <c r="E16" s="10" t="s">
        <v>2237</v>
      </c>
      <c r="F16" s="11" t="s">
        <v>2238</v>
      </c>
      <c r="G16" s="11" t="s">
        <v>2239</v>
      </c>
      <c r="H16" s="10" t="s">
        <v>110</v>
      </c>
      <c r="I16" s="10" t="s">
        <v>1672</v>
      </c>
      <c r="J16" s="10" t="s">
        <v>1051</v>
      </c>
      <c r="K16" s="10" t="s">
        <v>2240</v>
      </c>
      <c r="L16" s="11" t="s">
        <v>2241</v>
      </c>
    </row>
    <row r="17" spans="1:12" ht="43.5" customHeight="1">
      <c r="A17" s="10" t="s">
        <v>2242</v>
      </c>
      <c r="B17" s="10" t="s">
        <v>161</v>
      </c>
      <c r="C17" s="10" t="s">
        <v>162</v>
      </c>
      <c r="D17" s="10"/>
      <c r="E17" s="10" t="s">
        <v>2243</v>
      </c>
      <c r="F17" s="11" t="s">
        <v>2244</v>
      </c>
      <c r="G17" s="11" t="s">
        <v>2245</v>
      </c>
      <c r="H17" s="10" t="s">
        <v>110</v>
      </c>
      <c r="I17" s="10" t="s">
        <v>1665</v>
      </c>
      <c r="J17" s="10" t="s">
        <v>1051</v>
      </c>
      <c r="K17" s="10" t="s">
        <v>2246</v>
      </c>
      <c r="L17" s="11" t="s">
        <v>2247</v>
      </c>
    </row>
    <row r="18" spans="1:12" ht="29.1" customHeight="1">
      <c r="A18" s="10" t="s">
        <v>2248</v>
      </c>
      <c r="B18" s="10" t="s">
        <v>161</v>
      </c>
      <c r="C18" s="10" t="s">
        <v>162</v>
      </c>
      <c r="D18" s="10"/>
      <c r="E18" s="10" t="s">
        <v>2249</v>
      </c>
      <c r="F18" s="11" t="s">
        <v>2250</v>
      </c>
      <c r="G18" s="11" t="s">
        <v>2251</v>
      </c>
      <c r="H18" s="10" t="s">
        <v>110</v>
      </c>
      <c r="I18" s="10" t="s">
        <v>1665</v>
      </c>
      <c r="J18" s="10" t="s">
        <v>1051</v>
      </c>
      <c r="K18" s="10" t="s">
        <v>698</v>
      </c>
      <c r="L18" s="11" t="s">
        <v>2252</v>
      </c>
    </row>
    <row r="19" spans="1:12" ht="43.5" customHeight="1">
      <c r="A19" s="10" t="s">
        <v>2253</v>
      </c>
      <c r="B19" s="10" t="s">
        <v>161</v>
      </c>
      <c r="C19" s="10" t="s">
        <v>162</v>
      </c>
      <c r="D19" s="10"/>
      <c r="E19" s="10" t="s">
        <v>2254</v>
      </c>
      <c r="F19" s="11" t="s">
        <v>2255</v>
      </c>
      <c r="G19" s="11" t="s">
        <v>2256</v>
      </c>
      <c r="H19" s="10" t="s">
        <v>93</v>
      </c>
      <c r="I19" s="10" t="s">
        <v>1672</v>
      </c>
      <c r="J19" s="10" t="s">
        <v>338</v>
      </c>
      <c r="K19" s="10" t="s">
        <v>2257</v>
      </c>
      <c r="L19" s="11" t="s">
        <v>2258</v>
      </c>
    </row>
    <row r="20" spans="1:12" ht="29.1" customHeight="1">
      <c r="A20" s="10" t="s">
        <v>2259</v>
      </c>
      <c r="B20" s="10" t="s">
        <v>161</v>
      </c>
      <c r="C20" s="10" t="s">
        <v>162</v>
      </c>
      <c r="D20" s="10" t="s">
        <v>1207</v>
      </c>
      <c r="E20" s="10" t="s">
        <v>2260</v>
      </c>
      <c r="F20" s="11" t="s">
        <v>2261</v>
      </c>
      <c r="G20" s="11" t="s">
        <v>2262</v>
      </c>
      <c r="H20" s="10" t="s">
        <v>93</v>
      </c>
      <c r="I20" s="10" t="s">
        <v>300</v>
      </c>
      <c r="J20" s="10" t="s">
        <v>1051</v>
      </c>
      <c r="K20" s="10" t="s">
        <v>2263</v>
      </c>
      <c r="L20" s="11" t="s">
        <v>2264</v>
      </c>
    </row>
    <row r="21" spans="1:12" ht="43.5" customHeight="1">
      <c r="A21" s="10" t="s">
        <v>2265</v>
      </c>
      <c r="B21" s="10" t="s">
        <v>161</v>
      </c>
      <c r="C21" s="10" t="s">
        <v>162</v>
      </c>
      <c r="D21" s="10"/>
      <c r="E21" s="10" t="s">
        <v>2266</v>
      </c>
      <c r="F21" s="11" t="s">
        <v>2267</v>
      </c>
      <c r="G21" s="11" t="s">
        <v>2268</v>
      </c>
      <c r="H21" s="10" t="s">
        <v>2228</v>
      </c>
      <c r="I21" s="10" t="s">
        <v>1665</v>
      </c>
      <c r="J21" s="10" t="s">
        <v>1036</v>
      </c>
      <c r="K21" s="10" t="s">
        <v>2269</v>
      </c>
      <c r="L21" s="11" t="s">
        <v>2270</v>
      </c>
    </row>
    <row r="22" spans="1:12">
      <c r="A22" s="10" t="s">
        <v>2271</v>
      </c>
      <c r="B22" s="10" t="s">
        <v>90</v>
      </c>
      <c r="C22" s="10" t="s">
        <v>91</v>
      </c>
      <c r="D22" s="10" t="s">
        <v>260</v>
      </c>
      <c r="E22" s="10" t="s">
        <v>2272</v>
      </c>
      <c r="F22" s="11" t="s">
        <v>110</v>
      </c>
      <c r="G22" s="11" t="s">
        <v>252</v>
      </c>
      <c r="H22" s="10" t="s">
        <v>100</v>
      </c>
      <c r="I22" s="10"/>
      <c r="J22" s="10"/>
      <c r="K22" s="10"/>
      <c r="L22" s="11"/>
    </row>
    <row r="23" spans="1:12">
      <c r="A23" s="10" t="s">
        <v>2273</v>
      </c>
      <c r="B23" s="10" t="s">
        <v>90</v>
      </c>
      <c r="C23" s="10" t="s">
        <v>91</v>
      </c>
      <c r="D23" s="10" t="s">
        <v>288</v>
      </c>
      <c r="E23" s="10" t="s">
        <v>2274</v>
      </c>
      <c r="F23" s="11" t="s">
        <v>110</v>
      </c>
      <c r="G23" s="11" t="s">
        <v>252</v>
      </c>
      <c r="H23" s="10" t="s">
        <v>100</v>
      </c>
      <c r="I23" s="10"/>
      <c r="J23" s="10"/>
      <c r="K23" s="10"/>
      <c r="L23" s="11"/>
    </row>
    <row r="24" spans="1:12">
      <c r="A24" s="10" t="s">
        <v>2275</v>
      </c>
      <c r="B24" s="10" t="s">
        <v>90</v>
      </c>
      <c r="C24" s="10" t="s">
        <v>91</v>
      </c>
      <c r="D24" s="10" t="s">
        <v>322</v>
      </c>
      <c r="E24" s="10" t="s">
        <v>2276</v>
      </c>
      <c r="F24" s="11" t="s">
        <v>93</v>
      </c>
      <c r="G24" s="11" t="s">
        <v>276</v>
      </c>
      <c r="H24" s="10" t="s">
        <v>835</v>
      </c>
      <c r="I24" s="10"/>
      <c r="J24" s="10"/>
      <c r="K24" s="10"/>
      <c r="L24" s="11"/>
    </row>
    <row r="25" spans="1:12">
      <c r="A25" s="10" t="s">
        <v>2277</v>
      </c>
      <c r="B25" s="10" t="s">
        <v>90</v>
      </c>
      <c r="C25" s="10" t="s">
        <v>91</v>
      </c>
      <c r="D25" s="10" t="s">
        <v>285</v>
      </c>
      <c r="E25" s="10" t="s">
        <v>2278</v>
      </c>
      <c r="F25" s="11" t="s">
        <v>299</v>
      </c>
      <c r="G25" s="11" t="s">
        <v>252</v>
      </c>
      <c r="H25" s="10" t="s">
        <v>100</v>
      </c>
      <c r="I25" s="10"/>
      <c r="J25" s="10"/>
      <c r="K25" s="10"/>
      <c r="L25" s="11"/>
    </row>
    <row r="26" spans="1:12">
      <c r="A26" s="10" t="s">
        <v>2279</v>
      </c>
      <c r="B26" s="10" t="s">
        <v>90</v>
      </c>
      <c r="C26" s="10" t="s">
        <v>91</v>
      </c>
      <c r="D26" s="10" t="s">
        <v>306</v>
      </c>
      <c r="E26" s="10" t="s">
        <v>2280</v>
      </c>
      <c r="F26" s="11" t="s">
        <v>299</v>
      </c>
      <c r="G26" s="11" t="s">
        <v>252</v>
      </c>
      <c r="H26" s="10" t="s">
        <v>100</v>
      </c>
      <c r="I26" s="10"/>
      <c r="J26" s="10"/>
      <c r="K26" s="10"/>
      <c r="L26" s="11"/>
    </row>
    <row r="27" spans="1:12">
      <c r="A27" s="10" t="s">
        <v>2281</v>
      </c>
      <c r="B27" s="10" t="s">
        <v>90</v>
      </c>
      <c r="C27" s="10" t="s">
        <v>91</v>
      </c>
      <c r="D27" s="10" t="s">
        <v>317</v>
      </c>
      <c r="E27" s="10" t="s">
        <v>2282</v>
      </c>
      <c r="F27" s="11" t="s">
        <v>93</v>
      </c>
      <c r="G27" s="11" t="s">
        <v>300</v>
      </c>
      <c r="H27" s="10" t="s">
        <v>1000</v>
      </c>
      <c r="I27" s="10"/>
      <c r="J27" s="10"/>
      <c r="K27" s="10"/>
      <c r="L27" s="11"/>
    </row>
    <row r="28" spans="1:12">
      <c r="A28" s="10" t="s">
        <v>2283</v>
      </c>
      <c r="B28" s="10" t="s">
        <v>102</v>
      </c>
      <c r="C28" s="10" t="s">
        <v>103</v>
      </c>
      <c r="D28" s="10" t="s">
        <v>285</v>
      </c>
      <c r="E28" s="10" t="s">
        <v>2284</v>
      </c>
      <c r="F28" s="11" t="s">
        <v>110</v>
      </c>
      <c r="G28" s="11" t="s">
        <v>1665</v>
      </c>
      <c r="H28" s="10" t="s">
        <v>830</v>
      </c>
      <c r="I28" s="10"/>
      <c r="J28" s="10"/>
      <c r="K28" s="10"/>
      <c r="L28" s="11"/>
    </row>
    <row r="29" spans="1:12">
      <c r="A29" s="10" t="s">
        <v>2285</v>
      </c>
      <c r="B29" s="10" t="s">
        <v>102</v>
      </c>
      <c r="C29" s="10" t="s">
        <v>103</v>
      </c>
      <c r="D29" s="10" t="s">
        <v>260</v>
      </c>
      <c r="E29" s="10" t="s">
        <v>2286</v>
      </c>
      <c r="F29" s="11" t="s">
        <v>110</v>
      </c>
      <c r="G29" s="11" t="s">
        <v>252</v>
      </c>
      <c r="H29" s="10" t="s">
        <v>107</v>
      </c>
      <c r="I29" s="10"/>
      <c r="J29" s="10"/>
      <c r="K29" s="10"/>
      <c r="L29" s="11"/>
    </row>
    <row r="30" spans="1:12">
      <c r="A30" s="10" t="s">
        <v>2287</v>
      </c>
      <c r="B30" s="10" t="s">
        <v>102</v>
      </c>
      <c r="C30" s="10" t="s">
        <v>103</v>
      </c>
      <c r="D30" s="10" t="s">
        <v>288</v>
      </c>
      <c r="E30" s="10" t="s">
        <v>2288</v>
      </c>
      <c r="F30" s="11" t="s">
        <v>93</v>
      </c>
      <c r="G30" s="11" t="s">
        <v>252</v>
      </c>
      <c r="H30" s="10" t="s">
        <v>107</v>
      </c>
      <c r="I30" s="10"/>
      <c r="J30" s="10"/>
      <c r="K30" s="10"/>
      <c r="L30" s="11"/>
    </row>
    <row r="31" spans="1:12">
      <c r="A31" s="10" t="s">
        <v>2289</v>
      </c>
      <c r="B31" s="10" t="s">
        <v>102</v>
      </c>
      <c r="C31" s="10" t="s">
        <v>103</v>
      </c>
      <c r="D31" s="10" t="s">
        <v>322</v>
      </c>
      <c r="E31" s="10" t="s">
        <v>2290</v>
      </c>
      <c r="F31" s="11" t="s">
        <v>110</v>
      </c>
      <c r="G31" s="11" t="s">
        <v>252</v>
      </c>
      <c r="H31" s="10" t="s">
        <v>830</v>
      </c>
      <c r="I31" s="10"/>
      <c r="J31" s="10"/>
      <c r="K31" s="10"/>
      <c r="L31" s="11"/>
    </row>
    <row r="32" spans="1:12">
      <c r="A32" s="10" t="s">
        <v>2291</v>
      </c>
      <c r="B32" s="10" t="s">
        <v>102</v>
      </c>
      <c r="C32" s="10" t="s">
        <v>103</v>
      </c>
      <c r="D32" s="10" t="s">
        <v>237</v>
      </c>
      <c r="E32" s="10" t="s">
        <v>2292</v>
      </c>
      <c r="F32" s="11" t="s">
        <v>93</v>
      </c>
      <c r="G32" s="11" t="s">
        <v>252</v>
      </c>
      <c r="H32" s="10" t="s">
        <v>107</v>
      </c>
      <c r="I32" s="10"/>
      <c r="J32" s="10"/>
      <c r="K32" s="10"/>
      <c r="L32" s="11"/>
    </row>
    <row r="33" spans="1:12">
      <c r="A33" s="10" t="s">
        <v>2293</v>
      </c>
      <c r="B33" s="10" t="s">
        <v>102</v>
      </c>
      <c r="C33" s="10" t="s">
        <v>103</v>
      </c>
      <c r="D33" s="10" t="s">
        <v>317</v>
      </c>
      <c r="E33" s="10" t="s">
        <v>2294</v>
      </c>
      <c r="F33" s="11" t="s">
        <v>93</v>
      </c>
      <c r="G33" s="11" t="s">
        <v>276</v>
      </c>
      <c r="H33" s="10" t="s">
        <v>982</v>
      </c>
      <c r="I33" s="10"/>
      <c r="J33" s="10"/>
      <c r="K33" s="10"/>
      <c r="L33" s="11"/>
    </row>
    <row r="34" spans="1:12">
      <c r="A34" s="10" t="s">
        <v>2295</v>
      </c>
      <c r="B34" s="10" t="s">
        <v>108</v>
      </c>
      <c r="C34" s="10" t="s">
        <v>109</v>
      </c>
      <c r="D34" s="10" t="s">
        <v>288</v>
      </c>
      <c r="E34" s="10" t="s">
        <v>2296</v>
      </c>
      <c r="F34" s="11" t="s">
        <v>110</v>
      </c>
      <c r="G34" s="11" t="s">
        <v>252</v>
      </c>
      <c r="H34" s="10" t="s">
        <v>825</v>
      </c>
      <c r="I34" s="10"/>
      <c r="J34" s="10"/>
      <c r="K34" s="10"/>
      <c r="L34" s="11"/>
    </row>
    <row r="35" spans="1:12">
      <c r="A35" s="10" t="s">
        <v>2297</v>
      </c>
      <c r="B35" s="10" t="s">
        <v>108</v>
      </c>
      <c r="C35" s="10" t="s">
        <v>109</v>
      </c>
      <c r="D35" s="10" t="s">
        <v>260</v>
      </c>
      <c r="E35" s="10" t="s">
        <v>2298</v>
      </c>
      <c r="F35" s="11" t="s">
        <v>110</v>
      </c>
      <c r="G35" s="11" t="s">
        <v>252</v>
      </c>
      <c r="H35" s="10" t="s">
        <v>116</v>
      </c>
      <c r="I35" s="10"/>
      <c r="J35" s="10"/>
      <c r="K35" s="10"/>
      <c r="L35" s="11"/>
    </row>
    <row r="36" spans="1:12">
      <c r="A36" s="10" t="s">
        <v>2299</v>
      </c>
      <c r="B36" s="10" t="s">
        <v>108</v>
      </c>
      <c r="C36" s="10" t="s">
        <v>109</v>
      </c>
      <c r="D36" s="10" t="s">
        <v>322</v>
      </c>
      <c r="E36" s="10" t="s">
        <v>2300</v>
      </c>
      <c r="F36" s="11" t="s">
        <v>110</v>
      </c>
      <c r="G36" s="11" t="s">
        <v>252</v>
      </c>
      <c r="H36" s="10" t="s">
        <v>825</v>
      </c>
      <c r="I36" s="10"/>
      <c r="J36" s="10"/>
      <c r="K36" s="10"/>
      <c r="L36" s="11"/>
    </row>
    <row r="37" spans="1:12">
      <c r="A37" s="10" t="s">
        <v>2301</v>
      </c>
      <c r="B37" s="10" t="s">
        <v>108</v>
      </c>
      <c r="C37" s="10" t="s">
        <v>109</v>
      </c>
      <c r="D37" s="10" t="s">
        <v>306</v>
      </c>
      <c r="E37" s="10" t="s">
        <v>2302</v>
      </c>
      <c r="F37" s="11" t="s">
        <v>93</v>
      </c>
      <c r="G37" s="11" t="s">
        <v>276</v>
      </c>
      <c r="H37" s="10" t="s">
        <v>116</v>
      </c>
      <c r="I37" s="10"/>
      <c r="J37" s="10"/>
      <c r="K37" s="10"/>
      <c r="L37" s="11"/>
    </row>
    <row r="38" spans="1:12">
      <c r="A38" s="10" t="s">
        <v>2303</v>
      </c>
      <c r="B38" s="10" t="s">
        <v>108</v>
      </c>
      <c r="C38" s="10" t="s">
        <v>109</v>
      </c>
      <c r="D38" s="10" t="s">
        <v>285</v>
      </c>
      <c r="E38" s="10" t="s">
        <v>2304</v>
      </c>
      <c r="F38" s="11" t="s">
        <v>93</v>
      </c>
      <c r="G38" s="11" t="s">
        <v>1665</v>
      </c>
      <c r="H38" s="10" t="s">
        <v>116</v>
      </c>
      <c r="I38" s="10"/>
      <c r="J38" s="10"/>
      <c r="K38" s="10"/>
      <c r="L38" s="11"/>
    </row>
    <row r="39" spans="1:12">
      <c r="A39" s="10" t="s">
        <v>2305</v>
      </c>
      <c r="B39" s="10" t="s">
        <v>108</v>
      </c>
      <c r="C39" s="10" t="s">
        <v>109</v>
      </c>
      <c r="D39" s="10" t="s">
        <v>317</v>
      </c>
      <c r="E39" s="10" t="s">
        <v>2306</v>
      </c>
      <c r="F39" s="11" t="s">
        <v>110</v>
      </c>
      <c r="G39" s="11" t="s">
        <v>276</v>
      </c>
      <c r="H39" s="10" t="s">
        <v>959</v>
      </c>
      <c r="I39" s="10"/>
      <c r="J39" s="10"/>
      <c r="K39" s="10"/>
      <c r="L39" s="11"/>
    </row>
    <row r="40" spans="1:12">
      <c r="A40" s="10" t="s">
        <v>2307</v>
      </c>
      <c r="B40" s="10" t="s">
        <v>124</v>
      </c>
      <c r="C40" s="10" t="s">
        <v>125</v>
      </c>
      <c r="D40" s="10" t="s">
        <v>260</v>
      </c>
      <c r="E40" s="10" t="s">
        <v>2308</v>
      </c>
      <c r="F40" s="11" t="s">
        <v>110</v>
      </c>
      <c r="G40" s="11" t="s">
        <v>1665</v>
      </c>
      <c r="H40" s="10" t="s">
        <v>704</v>
      </c>
      <c r="I40" s="10"/>
      <c r="J40" s="10"/>
      <c r="K40" s="10"/>
      <c r="L40" s="11"/>
    </row>
    <row r="41" spans="1:12">
      <c r="A41" s="10" t="s">
        <v>2309</v>
      </c>
      <c r="B41" s="10" t="s">
        <v>124</v>
      </c>
      <c r="C41" s="10" t="s">
        <v>125</v>
      </c>
      <c r="D41" s="10" t="s">
        <v>288</v>
      </c>
      <c r="E41" s="10" t="s">
        <v>2310</v>
      </c>
      <c r="F41" s="11" t="s">
        <v>110</v>
      </c>
      <c r="G41" s="11" t="s">
        <v>276</v>
      </c>
      <c r="H41" s="10" t="s">
        <v>130</v>
      </c>
      <c r="I41" s="10"/>
      <c r="J41" s="10"/>
      <c r="K41" s="10"/>
      <c r="L41" s="11"/>
    </row>
    <row r="42" spans="1:12">
      <c r="A42" s="10" t="s">
        <v>2311</v>
      </c>
      <c r="B42" s="10" t="s">
        <v>124</v>
      </c>
      <c r="C42" s="10" t="s">
        <v>125</v>
      </c>
      <c r="D42" s="10" t="s">
        <v>306</v>
      </c>
      <c r="E42" s="10" t="s">
        <v>2312</v>
      </c>
      <c r="F42" s="11" t="s">
        <v>93</v>
      </c>
      <c r="G42" s="11" t="s">
        <v>252</v>
      </c>
      <c r="H42" s="10" t="s">
        <v>855</v>
      </c>
      <c r="I42" s="10"/>
      <c r="J42" s="10"/>
      <c r="K42" s="10"/>
      <c r="L42" s="11"/>
    </row>
    <row r="43" spans="1:12">
      <c r="A43" s="10" t="s">
        <v>2313</v>
      </c>
      <c r="B43" s="10" t="s">
        <v>124</v>
      </c>
      <c r="C43" s="10" t="s">
        <v>125</v>
      </c>
      <c r="D43" s="10" t="s">
        <v>322</v>
      </c>
      <c r="E43" s="10" t="s">
        <v>2314</v>
      </c>
      <c r="F43" s="11" t="s">
        <v>93</v>
      </c>
      <c r="G43" s="11" t="s">
        <v>276</v>
      </c>
      <c r="H43" s="10" t="s">
        <v>729</v>
      </c>
      <c r="I43" s="10"/>
      <c r="J43" s="10"/>
      <c r="K43" s="10"/>
      <c r="L43" s="11"/>
    </row>
    <row r="44" spans="1:12">
      <c r="A44" s="10" t="s">
        <v>2315</v>
      </c>
      <c r="B44" s="10" t="s">
        <v>124</v>
      </c>
      <c r="C44" s="10" t="s">
        <v>125</v>
      </c>
      <c r="D44" s="10" t="s">
        <v>237</v>
      </c>
      <c r="E44" s="10" t="s">
        <v>2316</v>
      </c>
      <c r="F44" s="11" t="s">
        <v>93</v>
      </c>
      <c r="G44" s="11" t="s">
        <v>252</v>
      </c>
      <c r="H44" s="10" t="s">
        <v>704</v>
      </c>
      <c r="I44" s="10"/>
      <c r="J44" s="10"/>
      <c r="K44" s="10"/>
      <c r="L44" s="11"/>
    </row>
    <row r="45" spans="1:12">
      <c r="A45" s="10" t="s">
        <v>2317</v>
      </c>
      <c r="B45" s="10" t="s">
        <v>124</v>
      </c>
      <c r="C45" s="10" t="s">
        <v>125</v>
      </c>
      <c r="D45" s="10" t="s">
        <v>317</v>
      </c>
      <c r="E45" s="10" t="s">
        <v>2318</v>
      </c>
      <c r="F45" s="11" t="s">
        <v>93</v>
      </c>
      <c r="G45" s="11" t="s">
        <v>300</v>
      </c>
      <c r="H45" s="10" t="s">
        <v>713</v>
      </c>
      <c r="I45" s="10"/>
      <c r="J45" s="10"/>
      <c r="K45" s="10"/>
      <c r="L45" s="11"/>
    </row>
    <row r="46" spans="1:12">
      <c r="A46" s="10" t="s">
        <v>2319</v>
      </c>
      <c r="B46" s="10" t="s">
        <v>136</v>
      </c>
      <c r="C46" s="10" t="s">
        <v>137</v>
      </c>
      <c r="D46" s="10" t="s">
        <v>288</v>
      </c>
      <c r="E46" s="10" t="s">
        <v>2320</v>
      </c>
      <c r="F46" s="11" t="s">
        <v>110</v>
      </c>
      <c r="G46" s="11" t="s">
        <v>252</v>
      </c>
      <c r="H46" s="10" t="s">
        <v>142</v>
      </c>
      <c r="I46" s="10"/>
      <c r="J46" s="10"/>
      <c r="K46" s="10"/>
      <c r="L46" s="11"/>
    </row>
    <row r="47" spans="1:12">
      <c r="A47" s="10" t="s">
        <v>2321</v>
      </c>
      <c r="B47" s="10" t="s">
        <v>136</v>
      </c>
      <c r="C47" s="10" t="s">
        <v>137</v>
      </c>
      <c r="D47" s="10" t="s">
        <v>322</v>
      </c>
      <c r="E47" s="10" t="s">
        <v>2322</v>
      </c>
      <c r="F47" s="11" t="s">
        <v>110</v>
      </c>
      <c r="G47" s="11" t="s">
        <v>252</v>
      </c>
      <c r="H47" s="10" t="s">
        <v>142</v>
      </c>
      <c r="I47" s="10"/>
      <c r="J47" s="10"/>
      <c r="K47" s="10"/>
      <c r="L47" s="11"/>
    </row>
    <row r="48" spans="1:12">
      <c r="A48" s="10" t="s">
        <v>2323</v>
      </c>
      <c r="B48" s="10" t="s">
        <v>136</v>
      </c>
      <c r="C48" s="10" t="s">
        <v>137</v>
      </c>
      <c r="D48" s="10" t="s">
        <v>260</v>
      </c>
      <c r="E48" s="10" t="s">
        <v>2324</v>
      </c>
      <c r="F48" s="11" t="s">
        <v>93</v>
      </c>
      <c r="G48" s="11" t="s">
        <v>252</v>
      </c>
      <c r="H48" s="10" t="s">
        <v>142</v>
      </c>
      <c r="I48" s="10"/>
      <c r="J48" s="10"/>
      <c r="K48" s="10"/>
      <c r="L48" s="11"/>
    </row>
    <row r="49" spans="1:12">
      <c r="A49" s="10" t="s">
        <v>2325</v>
      </c>
      <c r="B49" s="10" t="s">
        <v>136</v>
      </c>
      <c r="C49" s="10" t="s">
        <v>137</v>
      </c>
      <c r="D49" s="10" t="s">
        <v>237</v>
      </c>
      <c r="E49" s="10" t="s">
        <v>2326</v>
      </c>
      <c r="F49" s="11" t="s">
        <v>93</v>
      </c>
      <c r="G49" s="11" t="s">
        <v>276</v>
      </c>
      <c r="H49" s="10" t="s">
        <v>142</v>
      </c>
      <c r="I49" s="10"/>
      <c r="J49" s="10"/>
      <c r="K49" s="10"/>
      <c r="L49" s="11"/>
    </row>
    <row r="50" spans="1:12">
      <c r="A50" s="10" t="s">
        <v>2327</v>
      </c>
      <c r="B50" s="10" t="s">
        <v>136</v>
      </c>
      <c r="C50" s="10" t="s">
        <v>137</v>
      </c>
      <c r="D50" s="10" t="s">
        <v>306</v>
      </c>
      <c r="E50" s="10" t="s">
        <v>2328</v>
      </c>
      <c r="F50" s="11" t="s">
        <v>299</v>
      </c>
      <c r="G50" s="11" t="s">
        <v>276</v>
      </c>
      <c r="H50" s="10" t="s">
        <v>142</v>
      </c>
      <c r="I50" s="10"/>
      <c r="J50" s="10"/>
      <c r="K50" s="10"/>
      <c r="L50" s="11"/>
    </row>
    <row r="51" spans="1:12">
      <c r="A51" s="10" t="s">
        <v>2329</v>
      </c>
      <c r="B51" s="10" t="s">
        <v>136</v>
      </c>
      <c r="C51" s="10" t="s">
        <v>137</v>
      </c>
      <c r="D51" s="10" t="s">
        <v>317</v>
      </c>
      <c r="E51" s="10" t="s">
        <v>2330</v>
      </c>
      <c r="F51" s="11" t="s">
        <v>110</v>
      </c>
      <c r="G51" s="11" t="s">
        <v>1672</v>
      </c>
      <c r="H51" s="10" t="s">
        <v>913</v>
      </c>
      <c r="I51" s="10"/>
      <c r="J51" s="10"/>
      <c r="K51" s="10"/>
      <c r="L51" s="11"/>
    </row>
    <row r="52" spans="1:12">
      <c r="A52" s="10" t="s">
        <v>2331</v>
      </c>
      <c r="B52" s="10" t="s">
        <v>143</v>
      </c>
      <c r="C52" s="10" t="s">
        <v>144</v>
      </c>
      <c r="D52" s="10" t="s">
        <v>260</v>
      </c>
      <c r="E52" s="10" t="s">
        <v>2332</v>
      </c>
      <c r="F52" s="11" t="s">
        <v>110</v>
      </c>
      <c r="G52" s="11" t="s">
        <v>252</v>
      </c>
      <c r="H52" s="10" t="s">
        <v>149</v>
      </c>
      <c r="I52" s="10"/>
      <c r="J52" s="10"/>
      <c r="K52" s="10"/>
      <c r="L52" s="11"/>
    </row>
    <row r="53" spans="1:12">
      <c r="A53" s="10" t="s">
        <v>2333</v>
      </c>
      <c r="B53" s="10" t="s">
        <v>143</v>
      </c>
      <c r="C53" s="10" t="s">
        <v>144</v>
      </c>
      <c r="D53" s="10" t="s">
        <v>237</v>
      </c>
      <c r="E53" s="10" t="s">
        <v>2334</v>
      </c>
      <c r="F53" s="11" t="s">
        <v>110</v>
      </c>
      <c r="G53" s="11" t="s">
        <v>252</v>
      </c>
      <c r="H53" s="10" t="s">
        <v>800</v>
      </c>
      <c r="I53" s="10"/>
      <c r="J53" s="10"/>
      <c r="K53" s="10"/>
      <c r="L53" s="11"/>
    </row>
    <row r="54" spans="1:12">
      <c r="A54" s="10" t="s">
        <v>2335</v>
      </c>
      <c r="B54" s="10" t="s">
        <v>143</v>
      </c>
      <c r="C54" s="10" t="s">
        <v>144</v>
      </c>
      <c r="D54" s="10" t="s">
        <v>288</v>
      </c>
      <c r="E54" s="10" t="s">
        <v>2336</v>
      </c>
      <c r="F54" s="11" t="s">
        <v>93</v>
      </c>
      <c r="G54" s="11" t="s">
        <v>252</v>
      </c>
      <c r="H54" s="10" t="s">
        <v>724</v>
      </c>
      <c r="I54" s="10"/>
      <c r="J54" s="10"/>
      <c r="K54" s="10"/>
      <c r="L54" s="11"/>
    </row>
    <row r="55" spans="1:12">
      <c r="A55" s="10" t="s">
        <v>2337</v>
      </c>
      <c r="B55" s="10" t="s">
        <v>143</v>
      </c>
      <c r="C55" s="10" t="s">
        <v>144</v>
      </c>
      <c r="D55" s="10" t="s">
        <v>285</v>
      </c>
      <c r="E55" s="10" t="s">
        <v>2338</v>
      </c>
      <c r="F55" s="11" t="s">
        <v>110</v>
      </c>
      <c r="G55" s="11" t="s">
        <v>276</v>
      </c>
      <c r="H55" s="10" t="s">
        <v>800</v>
      </c>
      <c r="I55" s="10"/>
      <c r="J55" s="10"/>
      <c r="K55" s="10"/>
      <c r="L55" s="11"/>
    </row>
    <row r="56" spans="1:12">
      <c r="A56" s="10" t="s">
        <v>2339</v>
      </c>
      <c r="B56" s="10" t="s">
        <v>143</v>
      </c>
      <c r="C56" s="10" t="s">
        <v>144</v>
      </c>
      <c r="D56" s="10" t="s">
        <v>322</v>
      </c>
      <c r="E56" s="10" t="s">
        <v>2340</v>
      </c>
      <c r="F56" s="11" t="s">
        <v>93</v>
      </c>
      <c r="G56" s="11" t="s">
        <v>252</v>
      </c>
      <c r="H56" s="10" t="s">
        <v>149</v>
      </c>
      <c r="I56" s="10"/>
      <c r="J56" s="10"/>
      <c r="K56" s="10"/>
      <c r="L56" s="11"/>
    </row>
    <row r="57" spans="1:12">
      <c r="A57" s="10" t="s">
        <v>2341</v>
      </c>
      <c r="B57" s="10" t="s">
        <v>143</v>
      </c>
      <c r="C57" s="10" t="s">
        <v>144</v>
      </c>
      <c r="D57" s="10" t="s">
        <v>306</v>
      </c>
      <c r="E57" s="10" t="s">
        <v>2342</v>
      </c>
      <c r="F57" s="11" t="s">
        <v>93</v>
      </c>
      <c r="G57" s="11" t="s">
        <v>252</v>
      </c>
      <c r="H57" s="10" t="s">
        <v>149</v>
      </c>
      <c r="I57" s="10"/>
      <c r="J57" s="10"/>
      <c r="K57" s="10"/>
      <c r="L57" s="11"/>
    </row>
    <row r="58" spans="1:12">
      <c r="A58" s="10" t="s">
        <v>2343</v>
      </c>
      <c r="B58" s="10" t="s">
        <v>150</v>
      </c>
      <c r="C58" s="10" t="s">
        <v>151</v>
      </c>
      <c r="D58" s="10" t="s">
        <v>288</v>
      </c>
      <c r="E58" s="10" t="s">
        <v>2344</v>
      </c>
      <c r="F58" s="11" t="s">
        <v>110</v>
      </c>
      <c r="G58" s="11" t="s">
        <v>276</v>
      </c>
      <c r="H58" s="10" t="s">
        <v>154</v>
      </c>
      <c r="I58" s="10"/>
      <c r="J58" s="10"/>
      <c r="K58" s="10"/>
      <c r="L58" s="11"/>
    </row>
    <row r="59" spans="1:12">
      <c r="A59" s="10" t="s">
        <v>2345</v>
      </c>
      <c r="B59" s="10" t="s">
        <v>150</v>
      </c>
      <c r="C59" s="10" t="s">
        <v>151</v>
      </c>
      <c r="D59" s="10" t="s">
        <v>260</v>
      </c>
      <c r="E59" s="10" t="s">
        <v>2346</v>
      </c>
      <c r="F59" s="11" t="s">
        <v>110</v>
      </c>
      <c r="G59" s="11" t="s">
        <v>1665</v>
      </c>
      <c r="H59" s="10" t="s">
        <v>154</v>
      </c>
      <c r="I59" s="10"/>
      <c r="J59" s="10"/>
      <c r="K59" s="10"/>
      <c r="L59" s="11"/>
    </row>
    <row r="60" spans="1:12">
      <c r="A60" s="10" t="s">
        <v>2347</v>
      </c>
      <c r="B60" s="10" t="s">
        <v>150</v>
      </c>
      <c r="C60" s="10" t="s">
        <v>151</v>
      </c>
      <c r="D60" s="10" t="s">
        <v>306</v>
      </c>
      <c r="E60" s="10" t="s">
        <v>2348</v>
      </c>
      <c r="F60" s="11" t="s">
        <v>110</v>
      </c>
      <c r="G60" s="11" t="s">
        <v>252</v>
      </c>
      <c r="H60" s="10" t="s">
        <v>154</v>
      </c>
      <c r="I60" s="10"/>
      <c r="J60" s="10"/>
      <c r="K60" s="10"/>
      <c r="L60" s="11"/>
    </row>
    <row r="61" spans="1:12">
      <c r="A61" s="10" t="s">
        <v>2349</v>
      </c>
      <c r="B61" s="10" t="s">
        <v>150</v>
      </c>
      <c r="C61" s="10" t="s">
        <v>151</v>
      </c>
      <c r="D61" s="10" t="s">
        <v>322</v>
      </c>
      <c r="E61" s="10" t="s">
        <v>2350</v>
      </c>
      <c r="F61" s="11" t="s">
        <v>93</v>
      </c>
      <c r="G61" s="11" t="s">
        <v>252</v>
      </c>
      <c r="H61" s="10" t="s">
        <v>154</v>
      </c>
      <c r="I61" s="10"/>
      <c r="J61" s="10"/>
      <c r="K61" s="10"/>
      <c r="L61" s="11"/>
    </row>
    <row r="62" spans="1:12">
      <c r="A62" s="10" t="s">
        <v>2351</v>
      </c>
      <c r="B62" s="10" t="s">
        <v>150</v>
      </c>
      <c r="C62" s="10" t="s">
        <v>151</v>
      </c>
      <c r="D62" s="10" t="s">
        <v>237</v>
      </c>
      <c r="E62" s="10" t="s">
        <v>2352</v>
      </c>
      <c r="F62" s="11" t="s">
        <v>93</v>
      </c>
      <c r="G62" s="11" t="s">
        <v>252</v>
      </c>
      <c r="H62" s="10" t="s">
        <v>154</v>
      </c>
      <c r="I62" s="10"/>
      <c r="J62" s="10"/>
      <c r="K62" s="10"/>
      <c r="L62" s="11"/>
    </row>
    <row r="63" spans="1:12">
      <c r="A63" s="10" t="s">
        <v>2353</v>
      </c>
      <c r="B63" s="10" t="s">
        <v>150</v>
      </c>
      <c r="C63" s="10" t="s">
        <v>151</v>
      </c>
      <c r="D63" s="10" t="s">
        <v>317</v>
      </c>
      <c r="E63" s="10" t="s">
        <v>2354</v>
      </c>
      <c r="F63" s="11" t="s">
        <v>110</v>
      </c>
      <c r="G63" s="11" t="s">
        <v>1672</v>
      </c>
      <c r="H63" s="10" t="s">
        <v>154</v>
      </c>
      <c r="I63" s="10"/>
      <c r="J63" s="10"/>
      <c r="K63" s="10"/>
      <c r="L63" s="11"/>
    </row>
    <row r="64" spans="1:12">
      <c r="A64" s="10" t="s">
        <v>2355</v>
      </c>
      <c r="B64" s="10" t="s">
        <v>155</v>
      </c>
      <c r="C64" s="10" t="s">
        <v>156</v>
      </c>
      <c r="D64" s="10" t="s">
        <v>288</v>
      </c>
      <c r="E64" s="10" t="s">
        <v>2356</v>
      </c>
      <c r="F64" s="11" t="s">
        <v>110</v>
      </c>
      <c r="G64" s="11" t="s">
        <v>2357</v>
      </c>
      <c r="H64" s="10" t="s">
        <v>160</v>
      </c>
      <c r="I64" s="10"/>
      <c r="J64" s="10"/>
      <c r="K64" s="10"/>
      <c r="L64" s="11"/>
    </row>
    <row r="65" spans="1:12">
      <c r="A65" s="10" t="s">
        <v>2358</v>
      </c>
      <c r="B65" s="10" t="s">
        <v>155</v>
      </c>
      <c r="C65" s="10" t="s">
        <v>156</v>
      </c>
      <c r="D65" s="10" t="s">
        <v>260</v>
      </c>
      <c r="E65" s="10" t="s">
        <v>2359</v>
      </c>
      <c r="F65" s="11" t="s">
        <v>93</v>
      </c>
      <c r="G65" s="11" t="s">
        <v>1672</v>
      </c>
      <c r="H65" s="10" t="s">
        <v>753</v>
      </c>
      <c r="I65" s="10"/>
      <c r="J65" s="10"/>
      <c r="K65" s="10"/>
      <c r="L65" s="11"/>
    </row>
    <row r="66" spans="1:12">
      <c r="A66" s="10" t="s">
        <v>2360</v>
      </c>
      <c r="B66" s="10" t="s">
        <v>155</v>
      </c>
      <c r="C66" s="10" t="s">
        <v>156</v>
      </c>
      <c r="D66" s="10" t="s">
        <v>322</v>
      </c>
      <c r="E66" s="10" t="s">
        <v>2361</v>
      </c>
      <c r="F66" s="11" t="s">
        <v>110</v>
      </c>
      <c r="G66" s="11" t="s">
        <v>2357</v>
      </c>
      <c r="H66" s="10" t="s">
        <v>759</v>
      </c>
      <c r="I66" s="10"/>
      <c r="J66" s="10"/>
      <c r="K66" s="10"/>
      <c r="L66" s="11"/>
    </row>
    <row r="67" spans="1:12">
      <c r="A67" s="10" t="s">
        <v>2362</v>
      </c>
      <c r="B67" s="10" t="s">
        <v>155</v>
      </c>
      <c r="C67" s="10" t="s">
        <v>156</v>
      </c>
      <c r="D67" s="10" t="s">
        <v>306</v>
      </c>
      <c r="E67" s="10" t="s">
        <v>2363</v>
      </c>
      <c r="F67" s="11" t="s">
        <v>299</v>
      </c>
      <c r="G67" s="11" t="s">
        <v>300</v>
      </c>
      <c r="H67" s="10" t="s">
        <v>160</v>
      </c>
      <c r="I67" s="10"/>
      <c r="J67" s="10"/>
      <c r="K67" s="10"/>
      <c r="L67" s="11"/>
    </row>
    <row r="68" spans="1:12">
      <c r="A68" s="10" t="s">
        <v>2364</v>
      </c>
      <c r="B68" s="10" t="s">
        <v>155</v>
      </c>
      <c r="C68" s="10" t="s">
        <v>156</v>
      </c>
      <c r="D68" s="10" t="s">
        <v>285</v>
      </c>
      <c r="E68" s="10" t="s">
        <v>2365</v>
      </c>
      <c r="F68" s="11" t="s">
        <v>299</v>
      </c>
      <c r="G68" s="11" t="s">
        <v>300</v>
      </c>
      <c r="H68" s="10" t="s">
        <v>753</v>
      </c>
      <c r="I68" s="10"/>
      <c r="J68" s="10"/>
      <c r="K68" s="10"/>
      <c r="L68" s="11"/>
    </row>
    <row r="69" spans="1:12">
      <c r="A69" s="10" t="s">
        <v>2366</v>
      </c>
      <c r="B69" s="10" t="s">
        <v>155</v>
      </c>
      <c r="C69" s="10" t="s">
        <v>156</v>
      </c>
      <c r="D69" s="10" t="s">
        <v>317</v>
      </c>
      <c r="E69" s="10" t="s">
        <v>2367</v>
      </c>
      <c r="F69" s="11" t="s">
        <v>93</v>
      </c>
      <c r="G69" s="11" t="s">
        <v>300</v>
      </c>
      <c r="H69" s="10" t="s">
        <v>819</v>
      </c>
      <c r="I69" s="10"/>
      <c r="J69" s="10"/>
      <c r="K69" s="10"/>
      <c r="L69" s="11"/>
    </row>
    <row r="70" spans="1:12">
      <c r="A70" s="10"/>
      <c r="B70" s="10"/>
      <c r="C70" s="10"/>
      <c r="D70" s="10"/>
      <c r="E70" s="10"/>
      <c r="F70" s="11"/>
      <c r="G70" s="11"/>
      <c r="H70" s="10"/>
      <c r="I70" s="10"/>
      <c r="J70" s="10"/>
      <c r="K70" s="10"/>
      <c r="L70" s="11"/>
    </row>
    <row r="71" spans="1:12">
      <c r="A71" s="10"/>
      <c r="B71" s="10"/>
      <c r="C71" s="10"/>
      <c r="D71" s="10"/>
      <c r="E71" s="10"/>
      <c r="F71" s="11"/>
      <c r="G71" s="11"/>
      <c r="H71" s="10"/>
      <c r="I71" s="10"/>
      <c r="J71" s="10"/>
      <c r="K71" s="10"/>
      <c r="L71" s="11"/>
    </row>
    <row r="72" spans="1:12">
      <c r="A72" s="10"/>
      <c r="B72" s="10"/>
      <c r="C72" s="10"/>
      <c r="D72" s="10"/>
      <c r="E72" s="10"/>
      <c r="F72" s="11"/>
      <c r="G72" s="11"/>
      <c r="H72" s="10"/>
      <c r="I72" s="10"/>
      <c r="J72" s="10"/>
      <c r="K72" s="10"/>
      <c r="L72" s="11"/>
    </row>
    <row r="73" spans="1:12">
      <c r="A73" s="10"/>
      <c r="B73" s="10"/>
      <c r="C73" s="10"/>
      <c r="D73" s="10"/>
      <c r="E73" s="10"/>
      <c r="F73" s="11"/>
      <c r="G73" s="11"/>
      <c r="H73" s="10"/>
      <c r="I73" s="10"/>
      <c r="J73" s="10"/>
      <c r="K73" s="10"/>
      <c r="L73" s="11"/>
    </row>
    <row r="74" spans="1:12">
      <c r="A74" s="10"/>
      <c r="B74" s="10"/>
      <c r="C74" s="10"/>
      <c r="D74" s="10"/>
      <c r="E74" s="10"/>
      <c r="F74" s="11"/>
      <c r="G74" s="11"/>
      <c r="H74" s="10"/>
      <c r="I74" s="10"/>
      <c r="J74" s="10"/>
      <c r="K74" s="10"/>
      <c r="L74" s="11"/>
    </row>
    <row r="75" spans="1:12">
      <c r="A75" s="10"/>
      <c r="B75" s="10"/>
      <c r="C75" s="10"/>
      <c r="D75" s="10"/>
      <c r="E75" s="10"/>
      <c r="F75" s="11"/>
      <c r="G75" s="11"/>
      <c r="H75" s="10"/>
      <c r="I75" s="10"/>
      <c r="J75" s="10"/>
      <c r="K75" s="10"/>
      <c r="L75" s="11"/>
    </row>
    <row r="76" spans="1:12">
      <c r="A76" s="10"/>
      <c r="B76" s="10"/>
      <c r="C76" s="10"/>
      <c r="D76" s="10"/>
      <c r="E76" s="10"/>
      <c r="F76" s="11"/>
      <c r="G76" s="11"/>
      <c r="H76" s="10"/>
      <c r="I76" s="10"/>
      <c r="J76" s="10"/>
      <c r="K76" s="10"/>
      <c r="L76" s="11"/>
    </row>
    <row r="77" spans="1:12">
      <c r="A77" s="10"/>
      <c r="B77" s="10"/>
      <c r="C77" s="10"/>
      <c r="D77" s="10"/>
      <c r="E77" s="10"/>
      <c r="F77" s="11"/>
      <c r="G77" s="11"/>
      <c r="H77" s="10"/>
      <c r="I77" s="10"/>
      <c r="J77" s="10"/>
      <c r="K77" s="10"/>
      <c r="L77" s="11"/>
    </row>
    <row r="78" spans="1:12">
      <c r="A78" s="10"/>
      <c r="B78" s="10"/>
      <c r="C78" s="10"/>
      <c r="D78" s="10"/>
      <c r="E78" s="10"/>
      <c r="F78" s="11"/>
      <c r="G78" s="11"/>
      <c r="H78" s="10"/>
      <c r="I78" s="10"/>
      <c r="J78" s="10"/>
      <c r="K78" s="10"/>
      <c r="L78" s="11"/>
    </row>
    <row r="79" spans="1:12">
      <c r="A79" s="10"/>
      <c r="B79" s="10"/>
      <c r="C79" s="10"/>
      <c r="D79" s="10"/>
      <c r="E79" s="10"/>
      <c r="F79" s="11"/>
      <c r="G79" s="11"/>
      <c r="H79" s="10"/>
      <c r="I79" s="10"/>
      <c r="J79" s="10"/>
      <c r="K79" s="10"/>
      <c r="L79" s="11"/>
    </row>
    <row r="80" spans="1:12">
      <c r="A80" s="10"/>
      <c r="B80" s="10"/>
      <c r="C80" s="10"/>
      <c r="D80" s="10"/>
      <c r="E80" s="10"/>
      <c r="F80" s="11"/>
      <c r="G80" s="11"/>
      <c r="H80" s="10"/>
      <c r="I80" s="10"/>
      <c r="J80" s="10"/>
      <c r="K80" s="10"/>
      <c r="L80" s="11"/>
    </row>
    <row r="81" spans="1:12">
      <c r="A81" s="10"/>
      <c r="B81" s="10"/>
      <c r="C81" s="10"/>
      <c r="D81" s="10"/>
      <c r="E81" s="10"/>
      <c r="F81" s="11"/>
      <c r="G81" s="11"/>
      <c r="H81" s="10"/>
      <c r="I81" s="10"/>
      <c r="J81" s="10"/>
      <c r="K81" s="10"/>
      <c r="L81" s="11"/>
    </row>
    <row r="82" spans="1:12">
      <c r="A82" s="10"/>
      <c r="B82" s="10"/>
      <c r="C82" s="10"/>
      <c r="D82" s="10"/>
      <c r="E82" s="10"/>
      <c r="F82" s="11"/>
      <c r="G82" s="11"/>
      <c r="H82" s="10"/>
      <c r="I82" s="10"/>
      <c r="J82" s="10"/>
      <c r="K82" s="10"/>
      <c r="L82" s="11"/>
    </row>
    <row r="83" spans="1:12">
      <c r="A83" s="10"/>
      <c r="B83" s="10"/>
      <c r="C83" s="10"/>
      <c r="D83" s="10"/>
      <c r="E83" s="10"/>
      <c r="F83" s="11"/>
      <c r="G83" s="11"/>
      <c r="H83" s="10"/>
      <c r="I83" s="10"/>
      <c r="J83" s="10"/>
      <c r="K83" s="10"/>
      <c r="L83" s="11"/>
    </row>
    <row r="84" spans="1:12">
      <c r="A84" s="10"/>
      <c r="B84" s="10"/>
      <c r="C84" s="10"/>
      <c r="D84" s="10"/>
      <c r="E84" s="10"/>
      <c r="F84" s="11"/>
      <c r="G84" s="11"/>
      <c r="H84" s="10"/>
      <c r="I84" s="10"/>
      <c r="J84" s="10"/>
      <c r="K84" s="10"/>
      <c r="L84" s="11"/>
    </row>
    <row r="85" spans="1:12">
      <c r="A85" s="10"/>
      <c r="B85" s="10"/>
      <c r="C85" s="10"/>
      <c r="D85" s="10"/>
      <c r="E85" s="10"/>
      <c r="F85" s="11"/>
      <c r="G85" s="11"/>
      <c r="H85" s="10"/>
      <c r="I85" s="10"/>
      <c r="J85" s="10"/>
      <c r="K85" s="10"/>
      <c r="L85" s="11"/>
    </row>
    <row r="86" spans="1:12">
      <c r="A86" s="10"/>
      <c r="B86" s="10"/>
      <c r="C86" s="10"/>
      <c r="D86" s="10"/>
      <c r="E86" s="10"/>
      <c r="F86" s="11"/>
      <c r="G86" s="11"/>
      <c r="H86" s="10"/>
      <c r="I86" s="10"/>
      <c r="J86" s="10"/>
      <c r="K86" s="10"/>
      <c r="L86" s="11"/>
    </row>
    <row r="87" spans="1:12">
      <c r="A87" s="10"/>
      <c r="B87" s="10"/>
      <c r="C87" s="10"/>
      <c r="D87" s="10"/>
      <c r="E87" s="10"/>
      <c r="F87" s="11"/>
      <c r="G87" s="11"/>
      <c r="H87" s="10"/>
      <c r="I87" s="10"/>
      <c r="J87" s="10"/>
      <c r="K87" s="10"/>
      <c r="L87" s="11"/>
    </row>
    <row r="88" spans="1:12">
      <c r="A88" s="10"/>
      <c r="B88" s="10"/>
      <c r="C88" s="10"/>
      <c r="D88" s="10"/>
      <c r="E88" s="10"/>
      <c r="F88" s="11"/>
      <c r="G88" s="11"/>
      <c r="H88" s="10"/>
      <c r="I88" s="10"/>
      <c r="J88" s="10"/>
      <c r="K88" s="10"/>
      <c r="L88" s="11"/>
    </row>
    <row r="89" spans="1:12">
      <c r="A89" s="10"/>
      <c r="B89" s="10"/>
      <c r="C89" s="10"/>
      <c r="D89" s="10"/>
      <c r="E89" s="10"/>
      <c r="F89" s="11"/>
      <c r="G89" s="11"/>
      <c r="H89" s="10"/>
      <c r="I89" s="10"/>
      <c r="J89" s="10"/>
      <c r="K89" s="10"/>
      <c r="L89" s="11"/>
    </row>
    <row r="90" spans="1:12">
      <c r="A90" s="10"/>
      <c r="B90" s="10"/>
      <c r="C90" s="10"/>
      <c r="D90" s="10"/>
      <c r="E90" s="10"/>
      <c r="F90" s="11"/>
      <c r="G90" s="11"/>
      <c r="H90" s="10"/>
      <c r="I90" s="10"/>
      <c r="J90" s="10"/>
      <c r="K90" s="10"/>
      <c r="L90" s="11"/>
    </row>
    <row r="91" spans="1:12">
      <c r="A91" s="10"/>
      <c r="B91" s="10"/>
      <c r="C91" s="10"/>
      <c r="D91" s="10"/>
      <c r="E91" s="10"/>
      <c r="F91" s="11"/>
      <c r="G91" s="11"/>
      <c r="H91" s="10"/>
      <c r="I91" s="10"/>
      <c r="J91" s="10"/>
      <c r="K91" s="10"/>
      <c r="L91" s="11"/>
    </row>
    <row r="92" spans="1:12">
      <c r="A92" s="10"/>
      <c r="B92" s="10"/>
      <c r="C92" s="10"/>
      <c r="D92" s="10"/>
      <c r="E92" s="10"/>
      <c r="F92" s="11"/>
      <c r="G92" s="11"/>
      <c r="H92" s="10"/>
      <c r="I92" s="10"/>
      <c r="J92" s="10"/>
      <c r="K92" s="10"/>
      <c r="L92" s="11"/>
    </row>
    <row r="93" spans="1:12">
      <c r="A93" s="10"/>
      <c r="B93" s="10"/>
      <c r="C93" s="10"/>
      <c r="D93" s="10"/>
      <c r="E93" s="10"/>
      <c r="F93" s="11"/>
      <c r="G93" s="11"/>
      <c r="H93" s="10"/>
      <c r="I93" s="10"/>
      <c r="J93" s="10"/>
      <c r="K93" s="10"/>
      <c r="L93" s="11"/>
    </row>
    <row r="94" spans="1:12">
      <c r="A94" s="10"/>
      <c r="B94" s="10"/>
      <c r="C94" s="10"/>
      <c r="D94" s="10"/>
      <c r="E94" s="10"/>
      <c r="F94" s="11"/>
      <c r="G94" s="11"/>
      <c r="H94" s="10"/>
      <c r="I94" s="10"/>
      <c r="J94" s="10"/>
      <c r="K94" s="10"/>
      <c r="L94" s="11"/>
    </row>
    <row r="95" spans="1:12">
      <c r="A95" s="10"/>
      <c r="B95" s="10"/>
      <c r="C95" s="10"/>
      <c r="D95" s="10"/>
      <c r="E95" s="10"/>
      <c r="F95" s="11"/>
      <c r="G95" s="11"/>
      <c r="H95" s="10"/>
      <c r="I95" s="10"/>
      <c r="J95" s="10"/>
      <c r="K95" s="10"/>
      <c r="L95" s="11"/>
    </row>
    <row r="96" spans="1:12">
      <c r="A96" s="10"/>
      <c r="B96" s="10"/>
      <c r="C96" s="10"/>
      <c r="D96" s="10"/>
      <c r="E96" s="10"/>
      <c r="F96" s="11"/>
      <c r="G96" s="11"/>
      <c r="H96" s="10"/>
      <c r="I96" s="10"/>
      <c r="J96" s="10"/>
      <c r="K96" s="10"/>
      <c r="L96" s="11"/>
    </row>
    <row r="97" spans="1:12">
      <c r="A97" s="10"/>
      <c r="B97" s="10"/>
      <c r="C97" s="10"/>
      <c r="D97" s="10"/>
      <c r="E97" s="10"/>
      <c r="F97" s="11"/>
      <c r="G97" s="11"/>
      <c r="H97" s="10"/>
      <c r="I97" s="10"/>
      <c r="J97" s="10"/>
      <c r="K97" s="10"/>
      <c r="L97" s="11"/>
    </row>
    <row r="98" spans="1:12">
      <c r="A98" s="10"/>
      <c r="B98" s="10"/>
      <c r="C98" s="10"/>
      <c r="D98" s="10"/>
      <c r="E98" s="10"/>
      <c r="F98" s="11"/>
      <c r="G98" s="11"/>
      <c r="H98" s="10"/>
      <c r="I98" s="10"/>
      <c r="J98" s="10"/>
      <c r="K98" s="10"/>
      <c r="L98" s="11"/>
    </row>
    <row r="99" spans="1:12">
      <c r="A99" s="10"/>
      <c r="B99" s="10"/>
      <c r="C99" s="10"/>
      <c r="D99" s="10"/>
      <c r="E99" s="10"/>
      <c r="F99" s="11"/>
      <c r="G99" s="11"/>
      <c r="H99" s="10"/>
      <c r="I99" s="10"/>
      <c r="J99" s="10"/>
      <c r="K99" s="10"/>
      <c r="L99" s="11"/>
    </row>
    <row r="100" spans="1:12">
      <c r="A100" s="10"/>
      <c r="B100" s="10"/>
      <c r="C100" s="10"/>
      <c r="D100" s="10"/>
      <c r="E100" s="10"/>
      <c r="F100" s="11"/>
      <c r="G100" s="11"/>
      <c r="H100" s="10"/>
      <c r="I100" s="10"/>
      <c r="J100" s="10"/>
      <c r="K100" s="10"/>
      <c r="L100" s="11"/>
    </row>
    <row r="101" spans="1:12">
      <c r="A101" s="10"/>
      <c r="B101" s="10"/>
      <c r="C101" s="10"/>
      <c r="D101" s="10"/>
      <c r="E101" s="10"/>
      <c r="F101" s="11"/>
      <c r="G101" s="11"/>
      <c r="H101" s="10"/>
      <c r="I101" s="10"/>
      <c r="J101" s="10"/>
      <c r="K101" s="10"/>
      <c r="L101" s="11"/>
    </row>
    <row r="102" spans="1:12">
      <c r="A102" s="10"/>
      <c r="B102" s="10"/>
      <c r="C102" s="10"/>
      <c r="D102" s="10"/>
      <c r="E102" s="10"/>
      <c r="F102" s="11"/>
      <c r="G102" s="11"/>
      <c r="H102" s="10"/>
      <c r="I102" s="10"/>
      <c r="J102" s="10"/>
      <c r="K102" s="10"/>
      <c r="L102" s="11"/>
    </row>
    <row r="103" spans="1:12">
      <c r="A103" s="10"/>
      <c r="B103" s="10"/>
      <c r="C103" s="10"/>
      <c r="D103" s="10"/>
      <c r="E103" s="10"/>
      <c r="F103" s="11"/>
      <c r="G103" s="11"/>
      <c r="H103" s="10"/>
      <c r="I103" s="10"/>
      <c r="J103" s="10"/>
      <c r="K103" s="10"/>
      <c r="L103" s="11"/>
    </row>
    <row r="104" spans="1:12">
      <c r="A104" s="10"/>
      <c r="B104" s="10"/>
      <c r="C104" s="10"/>
      <c r="D104" s="10"/>
      <c r="E104" s="10"/>
      <c r="F104" s="11"/>
      <c r="G104" s="11"/>
      <c r="H104" s="10"/>
      <c r="I104" s="10"/>
      <c r="J104" s="10"/>
      <c r="K104" s="10"/>
      <c r="L104" s="11"/>
    </row>
    <row r="105" spans="1:12">
      <c r="A105" s="10"/>
      <c r="B105" s="10"/>
      <c r="C105" s="10"/>
      <c r="D105" s="10"/>
      <c r="E105" s="10"/>
      <c r="F105" s="11"/>
      <c r="G105" s="11"/>
      <c r="H105" s="10"/>
      <c r="I105" s="10"/>
      <c r="J105" s="10"/>
      <c r="K105" s="10"/>
      <c r="L105" s="11"/>
    </row>
    <row r="106" spans="1:12">
      <c r="A106" s="10"/>
      <c r="B106" s="10"/>
      <c r="C106" s="10"/>
      <c r="D106" s="10"/>
      <c r="E106" s="10"/>
      <c r="F106" s="11"/>
      <c r="G106" s="11"/>
      <c r="H106" s="10"/>
      <c r="I106" s="10"/>
      <c r="J106" s="10"/>
      <c r="K106" s="10"/>
      <c r="L106" s="11"/>
    </row>
    <row r="107" spans="1:12">
      <c r="A107" s="10"/>
      <c r="B107" s="10"/>
      <c r="C107" s="10"/>
      <c r="D107" s="10"/>
      <c r="E107" s="10"/>
      <c r="F107" s="11"/>
      <c r="G107" s="11"/>
      <c r="H107" s="10"/>
      <c r="I107" s="10"/>
      <c r="J107" s="10"/>
      <c r="K107" s="10"/>
      <c r="L107" s="11"/>
    </row>
    <row r="108" spans="1:12">
      <c r="A108" s="10"/>
      <c r="B108" s="10"/>
      <c r="C108" s="10"/>
      <c r="D108" s="10"/>
      <c r="E108" s="10"/>
      <c r="F108" s="11"/>
      <c r="G108" s="11"/>
      <c r="H108" s="10"/>
      <c r="I108" s="10"/>
      <c r="J108" s="10"/>
      <c r="K108" s="10"/>
      <c r="L108" s="11"/>
    </row>
    <row r="109" spans="1:12">
      <c r="A109" s="10"/>
      <c r="B109" s="10"/>
      <c r="C109" s="10"/>
      <c r="D109" s="10"/>
      <c r="E109" s="10"/>
      <c r="F109" s="11"/>
      <c r="G109" s="11"/>
      <c r="H109" s="10"/>
      <c r="I109" s="10"/>
      <c r="J109" s="10"/>
      <c r="K109" s="10"/>
      <c r="L109" s="11"/>
    </row>
    <row r="110" spans="1:12">
      <c r="A110" s="10"/>
      <c r="B110" s="10"/>
      <c r="C110" s="10"/>
      <c r="D110" s="10"/>
      <c r="E110" s="10"/>
      <c r="F110" s="11"/>
      <c r="G110" s="11"/>
      <c r="H110" s="10"/>
      <c r="I110" s="10"/>
      <c r="J110" s="10"/>
      <c r="K110" s="10"/>
      <c r="L110" s="11"/>
    </row>
    <row r="111" spans="1:12">
      <c r="A111" s="10"/>
      <c r="B111" s="10"/>
      <c r="C111" s="10"/>
      <c r="D111" s="10"/>
      <c r="E111" s="10"/>
      <c r="F111" s="11"/>
      <c r="G111" s="11"/>
      <c r="H111" s="10"/>
      <c r="I111" s="10"/>
      <c r="J111" s="10"/>
      <c r="K111" s="10"/>
      <c r="L111" s="11"/>
    </row>
    <row r="112" spans="1:12">
      <c r="A112" s="10"/>
      <c r="B112" s="10"/>
      <c r="C112" s="10"/>
      <c r="D112" s="10"/>
      <c r="E112" s="10"/>
      <c r="F112" s="11"/>
      <c r="G112" s="11"/>
      <c r="H112" s="10"/>
      <c r="I112" s="10"/>
      <c r="J112" s="10"/>
      <c r="K112" s="10"/>
      <c r="L112" s="11"/>
    </row>
    <row r="113" spans="1:12">
      <c r="A113" s="10"/>
      <c r="B113" s="10"/>
      <c r="C113" s="10"/>
      <c r="D113" s="10"/>
      <c r="E113" s="10"/>
      <c r="F113" s="11"/>
      <c r="G113" s="11"/>
      <c r="H113" s="10"/>
      <c r="I113" s="10"/>
      <c r="J113" s="10"/>
      <c r="K113" s="10"/>
      <c r="L113" s="11"/>
    </row>
    <row r="114" spans="1:12">
      <c r="A114" s="10"/>
      <c r="B114" s="10"/>
      <c r="C114" s="10"/>
      <c r="D114" s="10"/>
      <c r="E114" s="10"/>
      <c r="F114" s="11"/>
      <c r="G114" s="11"/>
      <c r="H114" s="10"/>
      <c r="I114" s="10"/>
      <c r="J114" s="10"/>
      <c r="K114" s="10"/>
      <c r="L114" s="11"/>
    </row>
    <row r="115" spans="1:12">
      <c r="A115" s="10"/>
      <c r="B115" s="10"/>
      <c r="C115" s="10"/>
      <c r="D115" s="10"/>
      <c r="E115" s="10"/>
      <c r="F115" s="11"/>
      <c r="G115" s="11"/>
      <c r="H115" s="10"/>
      <c r="I115" s="10"/>
      <c r="J115" s="10"/>
      <c r="K115" s="10"/>
      <c r="L115" s="11"/>
    </row>
    <row r="116" spans="1:12">
      <c r="A116" s="10"/>
      <c r="B116" s="10"/>
      <c r="C116" s="10"/>
      <c r="D116" s="10"/>
      <c r="E116" s="10"/>
      <c r="F116" s="11"/>
      <c r="G116" s="11"/>
      <c r="H116" s="10"/>
      <c r="I116" s="10"/>
      <c r="J116" s="10"/>
      <c r="K116" s="10"/>
      <c r="L116" s="11"/>
    </row>
    <row r="117" spans="1:12">
      <c r="A117" s="10"/>
      <c r="B117" s="10"/>
      <c r="C117" s="10"/>
      <c r="D117" s="10"/>
      <c r="E117" s="10"/>
      <c r="F117" s="11"/>
      <c r="G117" s="11"/>
      <c r="H117" s="10"/>
      <c r="I117" s="10"/>
      <c r="J117" s="10"/>
      <c r="K117" s="10"/>
      <c r="L117" s="11"/>
    </row>
    <row r="118" spans="1:12">
      <c r="A118" s="10"/>
      <c r="B118" s="10"/>
      <c r="C118" s="10"/>
      <c r="D118" s="10"/>
      <c r="E118" s="10"/>
      <c r="F118" s="11"/>
      <c r="G118" s="11"/>
      <c r="H118" s="10"/>
      <c r="I118" s="10"/>
      <c r="J118" s="10"/>
      <c r="K118" s="10"/>
      <c r="L118" s="11"/>
    </row>
    <row r="119" spans="1:12">
      <c r="A119" s="10"/>
      <c r="B119" s="10"/>
      <c r="C119" s="10"/>
      <c r="D119" s="10"/>
      <c r="E119" s="10"/>
      <c r="F119" s="11"/>
      <c r="G119" s="11"/>
      <c r="H119" s="10"/>
      <c r="I119" s="10"/>
      <c r="J119" s="10"/>
      <c r="K119" s="10"/>
      <c r="L119" s="11"/>
    </row>
    <row r="120" spans="1:12">
      <c r="A120" s="10"/>
      <c r="B120" s="10"/>
      <c r="C120" s="10"/>
      <c r="D120" s="10"/>
      <c r="E120" s="10"/>
      <c r="F120" s="11"/>
      <c r="G120" s="11"/>
      <c r="H120" s="10"/>
      <c r="I120" s="10"/>
      <c r="J120" s="10"/>
      <c r="K120" s="10"/>
      <c r="L120" s="11"/>
    </row>
    <row r="121" spans="1:12">
      <c r="A121" s="10"/>
      <c r="B121" s="10"/>
      <c r="C121" s="10"/>
      <c r="D121" s="10"/>
      <c r="E121" s="10"/>
      <c r="F121" s="11"/>
      <c r="G121" s="11"/>
      <c r="H121" s="10"/>
      <c r="I121" s="10"/>
      <c r="J121" s="10"/>
      <c r="K121" s="10"/>
      <c r="L121" s="11"/>
    </row>
    <row r="122" spans="1:12">
      <c r="A122" s="10"/>
      <c r="B122" s="10"/>
      <c r="C122" s="10"/>
      <c r="D122" s="10"/>
      <c r="E122" s="10"/>
      <c r="F122" s="11"/>
      <c r="G122" s="11"/>
      <c r="H122" s="10"/>
      <c r="I122" s="10"/>
      <c r="J122" s="10"/>
      <c r="K122" s="10"/>
      <c r="L122" s="11"/>
    </row>
    <row r="123" spans="1:12">
      <c r="A123" s="10"/>
      <c r="B123" s="10"/>
      <c r="C123" s="10"/>
      <c r="D123" s="10"/>
      <c r="E123" s="10"/>
      <c r="F123" s="11"/>
      <c r="G123" s="11"/>
      <c r="H123" s="10"/>
      <c r="I123" s="10"/>
      <c r="J123" s="10"/>
      <c r="K123" s="10"/>
      <c r="L123" s="11"/>
    </row>
    <row r="124" spans="1:12">
      <c r="A124" s="10"/>
      <c r="B124" s="10"/>
      <c r="C124" s="10"/>
      <c r="D124" s="10"/>
      <c r="E124" s="10"/>
      <c r="F124" s="11"/>
      <c r="G124" s="11"/>
      <c r="H124" s="10"/>
      <c r="I124" s="10"/>
      <c r="J124" s="10"/>
      <c r="K124" s="10"/>
      <c r="L124" s="11"/>
    </row>
    <row r="125" spans="1:12">
      <c r="A125" s="10"/>
      <c r="B125" s="10"/>
      <c r="C125" s="10"/>
      <c r="D125" s="10"/>
      <c r="E125" s="10"/>
      <c r="F125" s="11"/>
      <c r="G125" s="11"/>
      <c r="H125" s="10"/>
      <c r="I125" s="10"/>
      <c r="J125" s="10"/>
      <c r="K125" s="10"/>
      <c r="L125" s="11"/>
    </row>
    <row r="126" spans="1:12">
      <c r="A126" s="10"/>
      <c r="B126" s="10"/>
      <c r="C126" s="10"/>
      <c r="D126" s="10"/>
      <c r="E126" s="10"/>
      <c r="F126" s="11"/>
      <c r="G126" s="11"/>
      <c r="H126" s="10"/>
      <c r="I126" s="10"/>
      <c r="J126" s="10"/>
      <c r="K126" s="10"/>
      <c r="L126" s="11"/>
    </row>
    <row r="127" spans="1:12">
      <c r="A127" s="10"/>
      <c r="B127" s="10"/>
      <c r="C127" s="10"/>
      <c r="D127" s="10"/>
      <c r="E127" s="10"/>
      <c r="F127" s="11"/>
      <c r="G127" s="11"/>
      <c r="H127" s="10"/>
      <c r="I127" s="10"/>
      <c r="J127" s="10"/>
      <c r="K127" s="10"/>
      <c r="L127" s="11"/>
    </row>
    <row r="128" spans="1:12">
      <c r="A128" s="10"/>
      <c r="B128" s="10"/>
      <c r="C128" s="10"/>
      <c r="D128" s="10"/>
      <c r="E128" s="10"/>
      <c r="F128" s="11"/>
      <c r="G128" s="11"/>
      <c r="H128" s="10"/>
      <c r="I128" s="10"/>
      <c r="J128" s="10"/>
      <c r="K128" s="10"/>
      <c r="L128" s="11"/>
    </row>
    <row r="129" spans="1:12">
      <c r="A129" s="10"/>
      <c r="B129" s="10"/>
      <c r="C129" s="10"/>
      <c r="D129" s="10"/>
      <c r="E129" s="10"/>
      <c r="F129" s="11"/>
      <c r="G129" s="11"/>
      <c r="H129" s="10"/>
      <c r="I129" s="10"/>
      <c r="J129" s="10"/>
      <c r="K129" s="10"/>
      <c r="L129" s="11"/>
    </row>
    <row r="130" spans="1:12">
      <c r="A130" s="10"/>
      <c r="B130" s="10"/>
      <c r="C130" s="10"/>
      <c r="D130" s="10"/>
      <c r="E130" s="10"/>
      <c r="F130" s="11"/>
      <c r="G130" s="11"/>
      <c r="H130" s="10"/>
      <c r="I130" s="10"/>
      <c r="J130" s="10"/>
      <c r="K130" s="10"/>
      <c r="L130" s="11"/>
    </row>
    <row r="131" spans="1:12">
      <c r="A131" s="10"/>
      <c r="B131" s="10"/>
      <c r="C131" s="10"/>
      <c r="D131" s="10"/>
      <c r="E131" s="10"/>
      <c r="F131" s="11"/>
      <c r="G131" s="11"/>
      <c r="H131" s="10"/>
      <c r="I131" s="10"/>
      <c r="J131" s="10"/>
      <c r="K131" s="10"/>
      <c r="L131" s="11"/>
    </row>
    <row r="132" spans="1:12">
      <c r="A132" s="10"/>
      <c r="B132" s="10"/>
      <c r="C132" s="10"/>
      <c r="D132" s="10"/>
      <c r="E132" s="10"/>
      <c r="F132" s="11"/>
      <c r="G132" s="11"/>
      <c r="H132" s="10"/>
      <c r="I132" s="10"/>
      <c r="J132" s="10"/>
      <c r="K132" s="10"/>
      <c r="L132" s="11"/>
    </row>
    <row r="133" spans="1:12">
      <c r="A133" s="10"/>
      <c r="B133" s="10"/>
      <c r="C133" s="10"/>
      <c r="D133" s="10"/>
      <c r="E133" s="10"/>
      <c r="F133" s="11"/>
      <c r="G133" s="11"/>
      <c r="H133" s="10"/>
      <c r="I133" s="10"/>
      <c r="J133" s="10"/>
      <c r="K133" s="10"/>
      <c r="L133" s="11"/>
    </row>
    <row r="134" spans="1:12">
      <c r="A134" s="10"/>
      <c r="B134" s="10"/>
      <c r="C134" s="10"/>
      <c r="D134" s="10"/>
      <c r="E134" s="10"/>
      <c r="F134" s="11"/>
      <c r="G134" s="11"/>
      <c r="H134" s="10"/>
      <c r="I134" s="10"/>
      <c r="J134" s="10"/>
      <c r="K134" s="10"/>
      <c r="L134" s="11"/>
    </row>
    <row r="135" spans="1:12">
      <c r="A135" s="10"/>
      <c r="B135" s="10"/>
      <c r="C135" s="10"/>
      <c r="D135" s="10"/>
      <c r="E135" s="10"/>
      <c r="F135" s="11"/>
      <c r="G135" s="11"/>
      <c r="H135" s="10"/>
      <c r="I135" s="10"/>
      <c r="J135" s="10"/>
      <c r="K135" s="10"/>
      <c r="L135" s="11"/>
    </row>
    <row r="136" spans="1:12">
      <c r="A136" s="10"/>
      <c r="B136" s="10"/>
      <c r="C136" s="10"/>
      <c r="D136" s="10"/>
      <c r="E136" s="10"/>
      <c r="F136" s="11"/>
      <c r="G136" s="11"/>
      <c r="H136" s="10"/>
      <c r="I136" s="10"/>
      <c r="J136" s="10"/>
      <c r="K136" s="10"/>
      <c r="L136" s="11"/>
    </row>
    <row r="137" spans="1:12">
      <c r="A137" s="10"/>
      <c r="B137" s="10"/>
      <c r="C137" s="10"/>
      <c r="D137" s="10"/>
      <c r="E137" s="10"/>
      <c r="F137" s="11"/>
      <c r="G137" s="11"/>
      <c r="H137" s="10"/>
      <c r="I137" s="10"/>
      <c r="J137" s="10"/>
      <c r="K137" s="10"/>
      <c r="L137" s="11"/>
    </row>
    <row r="138" spans="1:12">
      <c r="A138" s="10"/>
      <c r="B138" s="10"/>
      <c r="C138" s="10"/>
      <c r="D138" s="10"/>
      <c r="E138" s="10"/>
      <c r="F138" s="11"/>
      <c r="G138" s="11"/>
      <c r="H138" s="10"/>
      <c r="I138" s="10"/>
      <c r="J138" s="10"/>
      <c r="K138" s="10"/>
      <c r="L138" s="11"/>
    </row>
    <row r="139" spans="1:12">
      <c r="A139" s="10"/>
      <c r="B139" s="10"/>
      <c r="C139" s="10"/>
      <c r="D139" s="10"/>
      <c r="E139" s="10"/>
      <c r="F139" s="11"/>
      <c r="G139" s="11"/>
      <c r="H139" s="10"/>
      <c r="I139" s="10"/>
      <c r="J139" s="10"/>
      <c r="K139" s="10"/>
      <c r="L139" s="11"/>
    </row>
    <row r="140" spans="1:12">
      <c r="A140" s="10"/>
      <c r="B140" s="10"/>
      <c r="C140" s="10"/>
      <c r="D140" s="10"/>
      <c r="E140" s="10"/>
      <c r="F140" s="11"/>
      <c r="G140" s="11"/>
      <c r="H140" s="10"/>
      <c r="I140" s="10"/>
      <c r="J140" s="10"/>
      <c r="K140" s="10"/>
      <c r="L140" s="11"/>
    </row>
    <row r="141" spans="1:12">
      <c r="A141" s="10"/>
      <c r="B141" s="10"/>
      <c r="C141" s="10"/>
      <c r="D141" s="10"/>
      <c r="E141" s="10"/>
      <c r="F141" s="11"/>
      <c r="G141" s="11"/>
      <c r="H141" s="10"/>
      <c r="I141" s="10"/>
      <c r="J141" s="10"/>
      <c r="K141" s="10"/>
      <c r="L141" s="11"/>
    </row>
    <row r="142" spans="1:12">
      <c r="A142" s="10"/>
      <c r="B142" s="10"/>
      <c r="C142" s="10"/>
      <c r="D142" s="10"/>
      <c r="E142" s="10"/>
      <c r="F142" s="11"/>
      <c r="G142" s="11"/>
      <c r="H142" s="10"/>
      <c r="I142" s="10"/>
      <c r="J142" s="10"/>
      <c r="K142" s="10"/>
      <c r="L142" s="11"/>
    </row>
    <row r="143" spans="1:12">
      <c r="A143" s="10"/>
      <c r="B143" s="10"/>
      <c r="C143" s="10"/>
      <c r="D143" s="10"/>
      <c r="E143" s="10"/>
      <c r="F143" s="11"/>
      <c r="G143" s="11"/>
      <c r="H143" s="10"/>
      <c r="I143" s="10"/>
      <c r="J143" s="10"/>
      <c r="K143" s="10"/>
      <c r="L143" s="11"/>
    </row>
    <row r="144" spans="1:12">
      <c r="A144" s="10"/>
      <c r="B144" s="10"/>
      <c r="C144" s="10"/>
      <c r="D144" s="10"/>
      <c r="E144" s="10"/>
      <c r="F144" s="11"/>
      <c r="G144" s="11"/>
      <c r="H144" s="10"/>
      <c r="I144" s="10"/>
      <c r="J144" s="10"/>
      <c r="K144" s="10"/>
      <c r="L144" s="11"/>
    </row>
    <row r="145" spans="1:12">
      <c r="A145" s="10"/>
      <c r="B145" s="10"/>
      <c r="C145" s="10"/>
      <c r="D145" s="10"/>
      <c r="E145" s="10"/>
      <c r="F145" s="11"/>
      <c r="G145" s="11"/>
      <c r="H145" s="10"/>
      <c r="I145" s="10"/>
      <c r="J145" s="10"/>
      <c r="K145" s="10"/>
      <c r="L145" s="11"/>
    </row>
    <row r="146" spans="1:12">
      <c r="A146" s="10"/>
      <c r="B146" s="10"/>
      <c r="C146" s="10"/>
      <c r="D146" s="10"/>
      <c r="E146" s="10"/>
      <c r="F146" s="11"/>
      <c r="G146" s="11"/>
      <c r="H146" s="10"/>
      <c r="I146" s="10"/>
      <c r="J146" s="10"/>
      <c r="K146" s="10"/>
      <c r="L146" s="11"/>
    </row>
    <row r="147" spans="1:12">
      <c r="A147" s="10"/>
      <c r="B147" s="10"/>
      <c r="C147" s="10"/>
      <c r="D147" s="10"/>
      <c r="E147" s="10"/>
      <c r="F147" s="11"/>
      <c r="G147" s="11"/>
      <c r="H147" s="10"/>
      <c r="I147" s="10"/>
      <c r="J147" s="10"/>
      <c r="K147" s="10"/>
      <c r="L147" s="11"/>
    </row>
    <row r="148" spans="1:12">
      <c r="A148" s="10"/>
      <c r="B148" s="10"/>
      <c r="C148" s="10"/>
      <c r="D148" s="10"/>
      <c r="E148" s="10"/>
      <c r="F148" s="11"/>
      <c r="G148" s="11"/>
      <c r="H148" s="10"/>
      <c r="I148" s="10"/>
      <c r="J148" s="10"/>
      <c r="K148" s="10"/>
      <c r="L148" s="11"/>
    </row>
    <row r="149" spans="1:12">
      <c r="A149" s="10"/>
      <c r="B149" s="10"/>
      <c r="C149" s="10"/>
      <c r="D149" s="10"/>
      <c r="E149" s="10"/>
      <c r="F149" s="11"/>
      <c r="G149" s="11"/>
      <c r="H149" s="10"/>
      <c r="I149" s="10"/>
      <c r="J149" s="10"/>
      <c r="K149" s="10"/>
      <c r="L149" s="11"/>
    </row>
    <row r="150" spans="1:12">
      <c r="A150" s="10"/>
      <c r="B150" s="10"/>
      <c r="C150" s="10"/>
      <c r="D150" s="10"/>
      <c r="E150" s="10"/>
      <c r="F150" s="11"/>
      <c r="G150" s="11"/>
      <c r="H150" s="10"/>
      <c r="I150" s="10"/>
      <c r="J150" s="10"/>
      <c r="K150" s="10"/>
      <c r="L150" s="11"/>
    </row>
    <row r="151" spans="1:12">
      <c r="A151" s="10"/>
      <c r="B151" s="10"/>
      <c r="C151" s="10"/>
      <c r="D151" s="10"/>
      <c r="E151" s="10"/>
      <c r="F151" s="11"/>
      <c r="G151" s="11"/>
      <c r="H151" s="10"/>
      <c r="I151" s="10"/>
      <c r="J151" s="10"/>
      <c r="K151" s="10"/>
      <c r="L151" s="11"/>
    </row>
    <row r="152" spans="1:12">
      <c r="A152" s="10"/>
      <c r="B152" s="10"/>
      <c r="C152" s="10"/>
      <c r="D152" s="10"/>
      <c r="E152" s="10"/>
      <c r="F152" s="11"/>
      <c r="G152" s="11"/>
      <c r="H152" s="10"/>
      <c r="I152" s="10"/>
      <c r="J152" s="10"/>
      <c r="K152" s="10"/>
      <c r="L152" s="11"/>
    </row>
    <row r="153" spans="1:12">
      <c r="A153" s="10"/>
      <c r="B153" s="10"/>
      <c r="C153" s="10"/>
      <c r="D153" s="10"/>
      <c r="E153" s="10"/>
      <c r="F153" s="11"/>
      <c r="G153" s="11"/>
      <c r="H153" s="10"/>
      <c r="I153" s="10"/>
      <c r="J153" s="10"/>
      <c r="K153" s="10"/>
      <c r="L153" s="11"/>
    </row>
    <row r="154" spans="1:12">
      <c r="A154" s="10"/>
      <c r="B154" s="10"/>
      <c r="C154" s="10"/>
      <c r="D154" s="10"/>
      <c r="E154" s="10"/>
      <c r="F154" s="11"/>
      <c r="G154" s="11"/>
      <c r="H154" s="10"/>
      <c r="I154" s="10"/>
      <c r="J154" s="10"/>
      <c r="K154" s="10"/>
      <c r="L154" s="11"/>
    </row>
    <row r="155" spans="1:12">
      <c r="A155" s="10"/>
      <c r="B155" s="10"/>
      <c r="C155" s="10"/>
      <c r="D155" s="10"/>
      <c r="E155" s="10"/>
      <c r="F155" s="11"/>
      <c r="G155" s="11"/>
      <c r="H155" s="10"/>
      <c r="I155" s="10"/>
      <c r="J155" s="10"/>
      <c r="K155" s="10"/>
      <c r="L155" s="11"/>
    </row>
    <row r="156" spans="1:12">
      <c r="A156" s="10"/>
      <c r="B156" s="10"/>
      <c r="C156" s="10"/>
      <c r="D156" s="10"/>
      <c r="E156" s="10"/>
      <c r="F156" s="11"/>
      <c r="G156" s="11"/>
      <c r="H156" s="10"/>
      <c r="I156" s="10"/>
      <c r="J156" s="10"/>
      <c r="K156" s="10"/>
      <c r="L156" s="11"/>
    </row>
    <row r="157" spans="1:12">
      <c r="A157" s="10"/>
      <c r="B157" s="10"/>
      <c r="C157" s="10"/>
      <c r="D157" s="10"/>
      <c r="E157" s="10"/>
      <c r="F157" s="11"/>
      <c r="G157" s="11"/>
      <c r="H157" s="10"/>
      <c r="I157" s="10"/>
      <c r="J157" s="10"/>
      <c r="K157" s="10"/>
      <c r="L157" s="11"/>
    </row>
    <row r="158" spans="1:12">
      <c r="A158" s="10"/>
      <c r="B158" s="10"/>
      <c r="C158" s="10"/>
      <c r="D158" s="10"/>
      <c r="E158" s="10"/>
      <c r="F158" s="11"/>
      <c r="G158" s="11"/>
      <c r="H158" s="10"/>
      <c r="I158" s="10"/>
      <c r="J158" s="10"/>
      <c r="K158" s="10"/>
      <c r="L158" s="11"/>
    </row>
    <row r="159" spans="1:12">
      <c r="A159" s="10"/>
      <c r="B159" s="10"/>
      <c r="C159" s="10"/>
      <c r="D159" s="10"/>
      <c r="E159" s="10"/>
      <c r="F159" s="11"/>
      <c r="G159" s="11"/>
      <c r="H159" s="10"/>
      <c r="I159" s="10"/>
      <c r="J159" s="10"/>
      <c r="K159" s="10"/>
      <c r="L159" s="11"/>
    </row>
    <row r="160" spans="1:12">
      <c r="A160" s="10"/>
      <c r="B160" s="10"/>
      <c r="C160" s="10"/>
      <c r="D160" s="10"/>
      <c r="E160" s="10"/>
      <c r="F160" s="11"/>
      <c r="G160" s="11"/>
      <c r="H160" s="10"/>
      <c r="I160" s="10"/>
      <c r="J160" s="10"/>
      <c r="K160" s="10"/>
      <c r="L160" s="11"/>
    </row>
    <row r="161" spans="1:12">
      <c r="A161" s="10"/>
      <c r="B161" s="10"/>
      <c r="C161" s="10"/>
      <c r="D161" s="10"/>
      <c r="E161" s="10"/>
      <c r="F161" s="11"/>
      <c r="G161" s="11"/>
      <c r="H161" s="10"/>
      <c r="I161" s="10"/>
      <c r="J161" s="10"/>
      <c r="K161" s="10"/>
      <c r="L161" s="11"/>
    </row>
    <row r="162" spans="1:12">
      <c r="A162" s="10"/>
      <c r="B162" s="10"/>
      <c r="C162" s="10"/>
      <c r="D162" s="10"/>
      <c r="E162" s="10"/>
      <c r="F162" s="11"/>
      <c r="G162" s="11"/>
      <c r="H162" s="10"/>
      <c r="I162" s="10"/>
      <c r="J162" s="10"/>
      <c r="K162" s="10"/>
      <c r="L162" s="11"/>
    </row>
    <row r="163" spans="1:12">
      <c r="A163" s="10"/>
      <c r="B163" s="10"/>
      <c r="C163" s="10"/>
      <c r="D163" s="10"/>
      <c r="E163" s="10"/>
      <c r="F163" s="11"/>
      <c r="G163" s="11"/>
      <c r="H163" s="10"/>
      <c r="I163" s="10"/>
      <c r="J163" s="10"/>
      <c r="K163" s="10"/>
      <c r="L163" s="11"/>
    </row>
    <row r="164" spans="1:12">
      <c r="A164" s="10"/>
      <c r="B164" s="10"/>
      <c r="C164" s="10"/>
      <c r="D164" s="10"/>
      <c r="E164" s="10"/>
      <c r="F164" s="11"/>
      <c r="G164" s="11"/>
      <c r="H164" s="10"/>
      <c r="I164" s="10"/>
      <c r="J164" s="10"/>
      <c r="K164" s="10"/>
      <c r="L164" s="11"/>
    </row>
    <row r="165" spans="1:12">
      <c r="A165" s="10"/>
      <c r="B165" s="10"/>
      <c r="C165" s="10"/>
      <c r="D165" s="10"/>
      <c r="E165" s="10"/>
      <c r="F165" s="11"/>
      <c r="G165" s="11"/>
      <c r="H165" s="10"/>
      <c r="I165" s="10"/>
      <c r="J165" s="10"/>
      <c r="K165" s="10"/>
      <c r="L165" s="11"/>
    </row>
    <row r="166" spans="1:12">
      <c r="A166" s="10"/>
      <c r="B166" s="10"/>
      <c r="C166" s="10"/>
      <c r="D166" s="10"/>
      <c r="E166" s="10"/>
      <c r="F166" s="11"/>
      <c r="G166" s="11"/>
      <c r="H166" s="10"/>
      <c r="I166" s="10"/>
      <c r="J166" s="10"/>
      <c r="K166" s="10"/>
      <c r="L166" s="11"/>
    </row>
    <row r="167" spans="1:12">
      <c r="A167" s="10"/>
      <c r="B167" s="10"/>
      <c r="C167" s="10"/>
      <c r="D167" s="10"/>
      <c r="E167" s="10"/>
      <c r="F167" s="11"/>
      <c r="G167" s="11"/>
      <c r="H167" s="10"/>
      <c r="I167" s="10"/>
      <c r="J167" s="10"/>
      <c r="K167" s="10"/>
      <c r="L167" s="11"/>
    </row>
    <row r="168" spans="1:12">
      <c r="A168" s="10"/>
      <c r="B168" s="10"/>
      <c r="C168" s="10"/>
      <c r="D168" s="10"/>
      <c r="E168" s="10"/>
      <c r="F168" s="11"/>
      <c r="G168" s="11"/>
      <c r="H168" s="10"/>
      <c r="I168" s="10"/>
      <c r="J168" s="10"/>
      <c r="K168" s="10"/>
      <c r="L168" s="11"/>
    </row>
    <row r="169" spans="1:12">
      <c r="A169" s="10"/>
      <c r="B169" s="10"/>
      <c r="C169" s="10"/>
      <c r="D169" s="10"/>
      <c r="E169" s="10"/>
      <c r="F169" s="11"/>
      <c r="G169" s="11"/>
      <c r="H169" s="10"/>
      <c r="I169" s="10"/>
      <c r="J169" s="10"/>
      <c r="K169" s="10"/>
      <c r="L169" s="11"/>
    </row>
    <row r="170" spans="1:12">
      <c r="A170" s="10"/>
      <c r="B170" s="10"/>
      <c r="C170" s="10"/>
      <c r="D170" s="10"/>
      <c r="E170" s="10"/>
      <c r="F170" s="11"/>
      <c r="G170" s="11"/>
      <c r="H170" s="10"/>
      <c r="I170" s="10"/>
      <c r="J170" s="10"/>
      <c r="K170" s="10"/>
      <c r="L170" s="11"/>
    </row>
    <row r="171" spans="1:12">
      <c r="A171" s="10"/>
      <c r="B171" s="10"/>
      <c r="C171" s="10"/>
      <c r="D171" s="10"/>
      <c r="E171" s="10"/>
      <c r="F171" s="11"/>
      <c r="G171" s="11"/>
      <c r="H171" s="10"/>
      <c r="I171" s="10"/>
      <c r="J171" s="10"/>
      <c r="K171" s="10"/>
      <c r="L171" s="11"/>
    </row>
    <row r="172" spans="1:12">
      <c r="A172" s="10"/>
      <c r="B172" s="10"/>
      <c r="C172" s="10"/>
      <c r="D172" s="10"/>
      <c r="E172" s="10"/>
      <c r="F172" s="11"/>
      <c r="G172" s="11"/>
      <c r="H172" s="10"/>
      <c r="I172" s="10"/>
      <c r="J172" s="10"/>
      <c r="K172" s="10"/>
      <c r="L172" s="11"/>
    </row>
    <row r="173" spans="1:12">
      <c r="A173" s="10"/>
      <c r="B173" s="10"/>
      <c r="C173" s="10"/>
      <c r="D173" s="10"/>
      <c r="E173" s="10"/>
      <c r="F173" s="11"/>
      <c r="G173" s="11"/>
      <c r="H173" s="10"/>
      <c r="I173" s="10"/>
      <c r="J173" s="10"/>
      <c r="K173" s="10"/>
      <c r="L173" s="11"/>
    </row>
    <row r="174" spans="1:12">
      <c r="A174" s="10"/>
      <c r="B174" s="10"/>
      <c r="C174" s="10"/>
      <c r="D174" s="10"/>
      <c r="E174" s="10"/>
      <c r="F174" s="11"/>
      <c r="G174" s="11"/>
      <c r="H174" s="10"/>
      <c r="I174" s="10"/>
      <c r="J174" s="10"/>
      <c r="K174" s="10"/>
      <c r="L174" s="11"/>
    </row>
    <row r="175" spans="1:12">
      <c r="A175" s="10"/>
      <c r="B175" s="10"/>
      <c r="C175" s="10"/>
      <c r="D175" s="10"/>
      <c r="E175" s="10"/>
      <c r="F175" s="11"/>
      <c r="G175" s="11"/>
      <c r="H175" s="10"/>
      <c r="I175" s="10"/>
      <c r="J175" s="10"/>
      <c r="K175" s="10"/>
      <c r="L175" s="11"/>
    </row>
    <row r="176" spans="1:12">
      <c r="A176" s="10"/>
      <c r="B176" s="10"/>
      <c r="C176" s="10"/>
      <c r="D176" s="10"/>
      <c r="E176" s="10"/>
      <c r="F176" s="11"/>
      <c r="G176" s="11"/>
      <c r="H176" s="10"/>
      <c r="I176" s="10"/>
      <c r="J176" s="10"/>
      <c r="K176" s="10"/>
      <c r="L176" s="11"/>
    </row>
    <row r="177" spans="1:12">
      <c r="A177" s="10"/>
      <c r="B177" s="10"/>
      <c r="C177" s="10"/>
      <c r="D177" s="10"/>
      <c r="E177" s="10"/>
      <c r="F177" s="11"/>
      <c r="G177" s="11"/>
      <c r="H177" s="10"/>
      <c r="I177" s="10"/>
      <c r="J177" s="10"/>
      <c r="K177" s="10"/>
      <c r="L177" s="11"/>
    </row>
    <row r="178" spans="1:12">
      <c r="A178" s="10"/>
      <c r="B178" s="10"/>
      <c r="C178" s="10"/>
      <c r="D178" s="10"/>
      <c r="E178" s="10"/>
      <c r="F178" s="11"/>
      <c r="G178" s="11"/>
      <c r="H178" s="10"/>
      <c r="I178" s="10"/>
      <c r="J178" s="10"/>
      <c r="K178" s="10"/>
      <c r="L178" s="11"/>
    </row>
    <row r="179" spans="1:12">
      <c r="A179" s="10"/>
      <c r="B179" s="10"/>
      <c r="C179" s="10"/>
      <c r="D179" s="10"/>
      <c r="E179" s="10"/>
      <c r="F179" s="11"/>
      <c r="G179" s="11"/>
      <c r="H179" s="10"/>
      <c r="I179" s="10"/>
      <c r="J179" s="10"/>
      <c r="K179" s="10"/>
      <c r="L179" s="11"/>
    </row>
    <row r="180" spans="1:12">
      <c r="A180" s="10"/>
      <c r="B180" s="10"/>
      <c r="C180" s="10"/>
      <c r="D180" s="10"/>
      <c r="E180" s="10"/>
      <c r="F180" s="11"/>
      <c r="G180" s="11"/>
      <c r="H180" s="10"/>
      <c r="I180" s="10"/>
      <c r="J180" s="10"/>
      <c r="K180" s="10"/>
      <c r="L180" s="11"/>
    </row>
    <row r="181" spans="1:12">
      <c r="A181" s="10"/>
      <c r="B181" s="10"/>
      <c r="C181" s="10"/>
      <c r="D181" s="10"/>
      <c r="E181" s="10"/>
      <c r="F181" s="11"/>
      <c r="G181" s="11"/>
      <c r="H181" s="10"/>
      <c r="I181" s="10"/>
      <c r="J181" s="10"/>
      <c r="K181" s="10"/>
      <c r="L181" s="11"/>
    </row>
    <row r="182" spans="1:12">
      <c r="A182" s="10"/>
      <c r="B182" s="10"/>
      <c r="C182" s="10"/>
      <c r="D182" s="10"/>
      <c r="E182" s="10"/>
      <c r="F182" s="11"/>
      <c r="G182" s="11"/>
      <c r="H182" s="10"/>
      <c r="I182" s="10"/>
      <c r="J182" s="10"/>
      <c r="K182" s="10"/>
      <c r="L182" s="11"/>
    </row>
    <row r="183" spans="1:12">
      <c r="A183" s="10"/>
      <c r="B183" s="10"/>
      <c r="C183" s="10"/>
      <c r="D183" s="10"/>
      <c r="E183" s="10"/>
      <c r="F183" s="11"/>
      <c r="G183" s="11"/>
      <c r="H183" s="10"/>
      <c r="I183" s="10"/>
      <c r="J183" s="10"/>
      <c r="K183" s="10"/>
      <c r="L183" s="11"/>
    </row>
    <row r="184" spans="1:12">
      <c r="A184" s="10"/>
      <c r="B184" s="10"/>
      <c r="C184" s="10"/>
      <c r="D184" s="10"/>
      <c r="E184" s="10"/>
      <c r="F184" s="11"/>
      <c r="G184" s="11"/>
      <c r="H184" s="10"/>
      <c r="I184" s="10"/>
      <c r="J184" s="10"/>
      <c r="K184" s="10"/>
      <c r="L184" s="11"/>
    </row>
    <row r="185" spans="1:12">
      <c r="A185" s="10"/>
      <c r="B185" s="10"/>
      <c r="C185" s="10"/>
      <c r="D185" s="10"/>
      <c r="E185" s="10"/>
      <c r="F185" s="11"/>
      <c r="G185" s="11"/>
      <c r="H185" s="10"/>
      <c r="I185" s="10"/>
      <c r="J185" s="10"/>
      <c r="K185" s="10"/>
      <c r="L185" s="11"/>
    </row>
    <row r="186" spans="1:12">
      <c r="A186" s="10"/>
      <c r="B186" s="10"/>
      <c r="C186" s="10"/>
      <c r="D186" s="10"/>
      <c r="E186" s="10"/>
      <c r="F186" s="11"/>
      <c r="G186" s="11"/>
      <c r="H186" s="10"/>
      <c r="I186" s="10"/>
      <c r="J186" s="10"/>
      <c r="K186" s="10"/>
      <c r="L186" s="11"/>
    </row>
    <row r="187" spans="1:12">
      <c r="A187" s="10"/>
      <c r="B187" s="10"/>
      <c r="C187" s="10"/>
      <c r="D187" s="10"/>
      <c r="E187" s="10"/>
      <c r="F187" s="11"/>
      <c r="G187" s="11"/>
      <c r="H187" s="10"/>
      <c r="I187" s="10"/>
      <c r="J187" s="10"/>
      <c r="K187" s="10"/>
      <c r="L187" s="11"/>
    </row>
    <row r="188" spans="1:12">
      <c r="A188" s="10"/>
      <c r="B188" s="10"/>
      <c r="C188" s="10"/>
      <c r="D188" s="10"/>
      <c r="E188" s="10"/>
      <c r="F188" s="11"/>
      <c r="G188" s="11"/>
      <c r="H188" s="10"/>
      <c r="I188" s="10"/>
      <c r="J188" s="10"/>
      <c r="K188" s="10"/>
      <c r="L188" s="11"/>
    </row>
    <row r="189" spans="1:12">
      <c r="A189" s="10"/>
      <c r="B189" s="10"/>
      <c r="C189" s="10"/>
      <c r="D189" s="10"/>
      <c r="E189" s="10"/>
      <c r="F189" s="11"/>
      <c r="G189" s="11"/>
      <c r="H189" s="10"/>
      <c r="I189" s="10"/>
      <c r="J189" s="10"/>
      <c r="K189" s="10"/>
      <c r="L189" s="11"/>
    </row>
    <row r="190" spans="1:12">
      <c r="A190" s="10"/>
      <c r="B190" s="10"/>
      <c r="C190" s="10"/>
      <c r="D190" s="10"/>
      <c r="E190" s="10"/>
      <c r="F190" s="11"/>
      <c r="G190" s="11"/>
      <c r="H190" s="10"/>
      <c r="I190" s="10"/>
      <c r="J190" s="10"/>
      <c r="K190" s="10"/>
      <c r="L190" s="11"/>
    </row>
    <row r="191" spans="1:12">
      <c r="A191" s="10"/>
      <c r="B191" s="10"/>
      <c r="C191" s="10"/>
      <c r="D191" s="10"/>
      <c r="E191" s="10"/>
      <c r="F191" s="11"/>
      <c r="G191" s="11"/>
      <c r="H191" s="10"/>
      <c r="I191" s="10"/>
      <c r="J191" s="10"/>
      <c r="K191" s="10"/>
      <c r="L191" s="11"/>
    </row>
    <row r="192" spans="1:12">
      <c r="A192" s="10"/>
      <c r="B192" s="10"/>
      <c r="C192" s="10"/>
      <c r="D192" s="10"/>
      <c r="E192" s="10"/>
      <c r="F192" s="11"/>
      <c r="G192" s="11"/>
      <c r="H192" s="10"/>
      <c r="I192" s="10"/>
      <c r="J192" s="10"/>
      <c r="K192" s="10"/>
      <c r="L192" s="11"/>
    </row>
    <row r="193" spans="1:12">
      <c r="A193" s="10"/>
      <c r="B193" s="10"/>
      <c r="C193" s="10"/>
      <c r="D193" s="10"/>
      <c r="E193" s="10"/>
      <c r="F193" s="11"/>
      <c r="G193" s="11"/>
      <c r="H193" s="10"/>
      <c r="I193" s="10"/>
      <c r="J193" s="10"/>
      <c r="K193" s="10"/>
      <c r="L193" s="11"/>
    </row>
    <row r="194" spans="1:12">
      <c r="A194" s="10"/>
      <c r="B194" s="10"/>
      <c r="C194" s="10"/>
      <c r="D194" s="10"/>
      <c r="E194" s="10"/>
      <c r="F194" s="11"/>
      <c r="G194" s="11"/>
      <c r="H194" s="10"/>
      <c r="I194" s="10"/>
      <c r="J194" s="10"/>
      <c r="K194" s="10"/>
      <c r="L194" s="11"/>
    </row>
    <row r="195" spans="1:12">
      <c r="A195" s="10"/>
      <c r="B195" s="10"/>
      <c r="C195" s="10"/>
      <c r="D195" s="10"/>
      <c r="E195" s="10"/>
      <c r="F195" s="11"/>
      <c r="G195" s="11"/>
      <c r="H195" s="10"/>
      <c r="I195" s="10"/>
      <c r="J195" s="10"/>
      <c r="K195" s="10"/>
      <c r="L195" s="11"/>
    </row>
    <row r="196" spans="1:12">
      <c r="A196" s="10"/>
      <c r="B196" s="10"/>
      <c r="C196" s="10"/>
      <c r="D196" s="10"/>
      <c r="E196" s="10"/>
      <c r="F196" s="11"/>
      <c r="G196" s="11"/>
      <c r="H196" s="10"/>
      <c r="I196" s="10"/>
      <c r="J196" s="10"/>
      <c r="K196" s="10"/>
      <c r="L196" s="11"/>
    </row>
    <row r="197" spans="1:12">
      <c r="A197" s="10"/>
      <c r="B197" s="10"/>
      <c r="C197" s="10"/>
      <c r="D197" s="10"/>
      <c r="E197" s="10"/>
      <c r="F197" s="11"/>
      <c r="G197" s="11"/>
      <c r="H197" s="10"/>
      <c r="I197" s="10"/>
      <c r="J197" s="10"/>
      <c r="K197" s="10"/>
      <c r="L197" s="11"/>
    </row>
    <row r="198" spans="1:12">
      <c r="A198" s="10"/>
      <c r="B198" s="10"/>
      <c r="C198" s="10"/>
      <c r="D198" s="10"/>
      <c r="E198" s="10"/>
      <c r="F198" s="11"/>
      <c r="G198" s="11"/>
      <c r="H198" s="10"/>
      <c r="I198" s="10"/>
      <c r="J198" s="10"/>
      <c r="K198" s="10"/>
      <c r="L198" s="11"/>
    </row>
    <row r="199" spans="1:12">
      <c r="A199" s="10"/>
      <c r="B199" s="10"/>
      <c r="C199" s="10"/>
      <c r="D199" s="10"/>
      <c r="E199" s="10"/>
      <c r="F199" s="11"/>
      <c r="G199" s="11"/>
      <c r="H199" s="10"/>
      <c r="I199" s="10"/>
      <c r="J199" s="10"/>
      <c r="K199" s="10"/>
      <c r="L199" s="11"/>
    </row>
    <row r="200" spans="1:12">
      <c r="A200" s="10"/>
      <c r="B200" s="10"/>
      <c r="C200" s="10"/>
      <c r="D200" s="10"/>
      <c r="E200" s="10"/>
      <c r="F200" s="11"/>
      <c r="G200" s="11"/>
      <c r="H200" s="10"/>
      <c r="I200" s="10"/>
      <c r="J200" s="10"/>
      <c r="K200" s="10"/>
      <c r="L200" s="11"/>
    </row>
    <row r="201" spans="1:12">
      <c r="A201" s="10"/>
      <c r="B201" s="10"/>
      <c r="C201" s="10"/>
      <c r="D201" s="10"/>
      <c r="E201" s="10"/>
      <c r="F201" s="11"/>
      <c r="G201" s="11"/>
      <c r="H201" s="10"/>
      <c r="I201" s="10"/>
      <c r="J201" s="10"/>
      <c r="K201" s="10"/>
      <c r="L201" s="11"/>
    </row>
    <row r="202" spans="1:12">
      <c r="A202" s="10"/>
      <c r="B202" s="10"/>
      <c r="C202" s="10"/>
      <c r="D202" s="10"/>
      <c r="E202" s="10"/>
      <c r="F202" s="11"/>
      <c r="G202" s="11"/>
      <c r="H202" s="10"/>
      <c r="I202" s="10"/>
      <c r="J202" s="10"/>
      <c r="K202" s="10"/>
      <c r="L202" s="11"/>
    </row>
    <row r="203" spans="1:12">
      <c r="A203" s="10"/>
      <c r="B203" s="10"/>
      <c r="C203" s="10"/>
      <c r="D203" s="10"/>
      <c r="E203" s="10"/>
      <c r="F203" s="11"/>
      <c r="G203" s="11"/>
      <c r="H203" s="10"/>
      <c r="I203" s="10"/>
      <c r="J203" s="10"/>
      <c r="K203" s="10"/>
      <c r="L203" s="11"/>
    </row>
    <row r="204" spans="1:12">
      <c r="A204" s="10"/>
      <c r="B204" s="10"/>
      <c r="C204" s="10"/>
      <c r="D204" s="10"/>
      <c r="E204" s="10"/>
      <c r="F204" s="11"/>
      <c r="G204" s="11"/>
      <c r="H204" s="10"/>
      <c r="I204" s="10"/>
      <c r="J204" s="10"/>
      <c r="K204" s="10"/>
      <c r="L204" s="11"/>
    </row>
    <row r="205" spans="1:12">
      <c r="A205" s="10"/>
      <c r="B205" s="10"/>
      <c r="C205" s="10"/>
      <c r="D205" s="10"/>
      <c r="E205" s="10"/>
      <c r="F205" s="11"/>
      <c r="G205" s="11"/>
      <c r="H205" s="10"/>
      <c r="I205" s="10"/>
      <c r="J205" s="10"/>
      <c r="K205" s="10"/>
      <c r="L205" s="11"/>
    </row>
    <row r="206" spans="1:12">
      <c r="A206" s="10"/>
      <c r="B206" s="10"/>
      <c r="C206" s="10"/>
      <c r="D206" s="10"/>
      <c r="E206" s="10"/>
      <c r="F206" s="11"/>
      <c r="G206" s="11"/>
      <c r="H206" s="10"/>
      <c r="I206" s="10"/>
      <c r="J206" s="10"/>
      <c r="K206" s="10"/>
      <c r="L206" s="11"/>
    </row>
    <row r="207" spans="1:12">
      <c r="A207" s="10"/>
      <c r="B207" s="10"/>
      <c r="C207" s="10"/>
      <c r="D207" s="10"/>
      <c r="E207" s="10"/>
      <c r="F207" s="11"/>
      <c r="G207" s="11"/>
      <c r="H207" s="10"/>
      <c r="I207" s="10"/>
      <c r="J207" s="10"/>
      <c r="K207" s="10"/>
      <c r="L207" s="11"/>
    </row>
    <row r="208" spans="1:12">
      <c r="A208" s="10"/>
      <c r="B208" s="10"/>
      <c r="C208" s="10"/>
      <c r="D208" s="10"/>
      <c r="E208" s="10"/>
      <c r="F208" s="11"/>
      <c r="G208" s="11"/>
      <c r="H208" s="10"/>
      <c r="I208" s="10"/>
      <c r="J208" s="10"/>
      <c r="K208" s="10"/>
      <c r="L208" s="11"/>
    </row>
    <row r="209" spans="1:12">
      <c r="A209" s="10"/>
      <c r="B209" s="10"/>
      <c r="C209" s="10"/>
      <c r="D209" s="10"/>
      <c r="E209" s="10"/>
      <c r="F209" s="11"/>
      <c r="G209" s="11"/>
      <c r="H209" s="10"/>
      <c r="I209" s="10"/>
      <c r="J209" s="10"/>
      <c r="K209" s="10"/>
      <c r="L209" s="11"/>
    </row>
    <row r="210" spans="1:12">
      <c r="A210" s="10"/>
      <c r="B210" s="10"/>
      <c r="C210" s="10"/>
      <c r="D210" s="10"/>
      <c r="E210" s="10"/>
      <c r="F210" s="11"/>
      <c r="G210" s="11"/>
      <c r="H210" s="10"/>
      <c r="I210" s="10"/>
      <c r="J210" s="10"/>
      <c r="K210" s="10"/>
      <c r="L210" s="11"/>
    </row>
    <row r="211" spans="1:12">
      <c r="A211" s="10"/>
      <c r="B211" s="10"/>
      <c r="C211" s="10"/>
      <c r="D211" s="10"/>
      <c r="E211" s="10"/>
      <c r="F211" s="11"/>
      <c r="G211" s="11"/>
      <c r="H211" s="10"/>
      <c r="I211" s="10"/>
      <c r="J211" s="10"/>
      <c r="K211" s="10"/>
      <c r="L211" s="11"/>
    </row>
    <row r="212" spans="1:12">
      <c r="A212" s="10"/>
      <c r="B212" s="10"/>
      <c r="C212" s="10"/>
      <c r="D212" s="10"/>
      <c r="E212" s="10"/>
      <c r="F212" s="11"/>
      <c r="G212" s="11"/>
      <c r="H212" s="10"/>
      <c r="I212" s="10"/>
      <c r="J212" s="10"/>
      <c r="K212" s="10"/>
      <c r="L212" s="11"/>
    </row>
    <row r="213" spans="1:12">
      <c r="A213" s="10"/>
      <c r="B213" s="10"/>
      <c r="C213" s="10"/>
      <c r="D213" s="10"/>
      <c r="E213" s="10"/>
      <c r="F213" s="11"/>
      <c r="G213" s="11"/>
      <c r="H213" s="10"/>
      <c r="I213" s="10"/>
      <c r="J213" s="10"/>
      <c r="K213" s="10"/>
      <c r="L213" s="11"/>
    </row>
    <row r="214" spans="1:12">
      <c r="A214" s="10"/>
      <c r="B214" s="10"/>
      <c r="C214" s="10"/>
      <c r="D214" s="10"/>
      <c r="E214" s="10"/>
      <c r="F214" s="11"/>
      <c r="G214" s="11"/>
      <c r="H214" s="10"/>
      <c r="I214" s="10"/>
      <c r="J214" s="10"/>
      <c r="K214" s="10"/>
      <c r="L214" s="11"/>
    </row>
    <row r="215" spans="1:12">
      <c r="A215" s="10"/>
      <c r="B215" s="10"/>
      <c r="C215" s="10"/>
      <c r="D215" s="10"/>
      <c r="E215" s="10"/>
      <c r="F215" s="11"/>
      <c r="G215" s="11"/>
      <c r="H215" s="10"/>
      <c r="I215" s="10"/>
      <c r="J215" s="10"/>
      <c r="K215" s="10"/>
      <c r="L215" s="11"/>
    </row>
    <row r="216" spans="1:12">
      <c r="A216" s="10"/>
      <c r="B216" s="10"/>
      <c r="C216" s="10"/>
      <c r="D216" s="10"/>
      <c r="E216" s="10"/>
      <c r="F216" s="11"/>
      <c r="G216" s="11"/>
      <c r="H216" s="10"/>
      <c r="I216" s="10"/>
      <c r="J216" s="10"/>
      <c r="K216" s="10"/>
      <c r="L216" s="11"/>
    </row>
    <row r="217" spans="1:12">
      <c r="A217" s="10"/>
      <c r="B217" s="10"/>
      <c r="C217" s="10"/>
      <c r="D217" s="10"/>
      <c r="E217" s="10"/>
      <c r="F217" s="11"/>
      <c r="G217" s="11"/>
      <c r="H217" s="10"/>
      <c r="I217" s="10"/>
      <c r="J217" s="10"/>
      <c r="K217" s="10"/>
      <c r="L217" s="11"/>
    </row>
    <row r="218" spans="1:12">
      <c r="A218" s="10"/>
      <c r="B218" s="10"/>
      <c r="C218" s="10"/>
      <c r="D218" s="10"/>
      <c r="E218" s="10"/>
      <c r="F218" s="11"/>
      <c r="G218" s="11"/>
      <c r="H218" s="10"/>
      <c r="I218" s="10"/>
      <c r="J218" s="10"/>
      <c r="K218" s="10"/>
      <c r="L218" s="11"/>
    </row>
    <row r="219" spans="1:12">
      <c r="A219" s="10"/>
      <c r="B219" s="10"/>
      <c r="C219" s="10"/>
      <c r="D219" s="10"/>
      <c r="E219" s="10"/>
      <c r="F219" s="11"/>
      <c r="G219" s="11"/>
      <c r="H219" s="10"/>
      <c r="I219" s="10"/>
      <c r="J219" s="10"/>
      <c r="K219" s="10"/>
      <c r="L219" s="11"/>
    </row>
    <row r="220" spans="1:12">
      <c r="A220" s="10"/>
      <c r="B220" s="10"/>
      <c r="C220" s="10"/>
      <c r="D220" s="10"/>
      <c r="E220" s="10"/>
      <c r="F220" s="11"/>
      <c r="G220" s="11"/>
      <c r="H220" s="10"/>
      <c r="I220" s="10"/>
      <c r="J220" s="10"/>
      <c r="K220" s="10"/>
      <c r="L220" s="11"/>
    </row>
    <row r="221" spans="1:12">
      <c r="A221" s="10"/>
      <c r="B221" s="10"/>
      <c r="C221" s="10"/>
      <c r="D221" s="10"/>
      <c r="E221" s="10"/>
      <c r="F221" s="11"/>
      <c r="G221" s="11"/>
      <c r="H221" s="10"/>
      <c r="I221" s="10"/>
      <c r="J221" s="10"/>
      <c r="K221" s="10"/>
      <c r="L221" s="11"/>
    </row>
    <row r="222" spans="1:12">
      <c r="A222" s="10"/>
      <c r="B222" s="10"/>
      <c r="C222" s="10"/>
      <c r="D222" s="10"/>
      <c r="E222" s="10"/>
      <c r="F222" s="11"/>
      <c r="G222" s="11"/>
      <c r="H222" s="10"/>
      <c r="I222" s="10"/>
      <c r="J222" s="10"/>
      <c r="K222" s="10"/>
      <c r="L222" s="11"/>
    </row>
    <row r="223" spans="1:12">
      <c r="A223" s="10"/>
      <c r="B223" s="10"/>
      <c r="C223" s="10"/>
      <c r="D223" s="10"/>
      <c r="E223" s="10"/>
      <c r="F223" s="11"/>
      <c r="G223" s="11"/>
      <c r="H223" s="10"/>
      <c r="I223" s="10"/>
      <c r="J223" s="10"/>
      <c r="K223" s="10"/>
      <c r="L223" s="11"/>
    </row>
    <row r="224" spans="1:12">
      <c r="A224" s="10"/>
      <c r="B224" s="10"/>
      <c r="C224" s="10"/>
      <c r="D224" s="10"/>
      <c r="E224" s="10"/>
      <c r="F224" s="11"/>
      <c r="G224" s="11"/>
      <c r="H224" s="10"/>
      <c r="I224" s="10"/>
      <c r="J224" s="10"/>
      <c r="K224" s="10"/>
      <c r="L224" s="11"/>
    </row>
    <row r="225" spans="1:12">
      <c r="A225" s="10"/>
      <c r="B225" s="10"/>
      <c r="C225" s="10"/>
      <c r="D225" s="10"/>
      <c r="E225" s="10"/>
      <c r="F225" s="11"/>
      <c r="G225" s="11"/>
      <c r="H225" s="10"/>
      <c r="I225" s="10"/>
      <c r="J225" s="10"/>
      <c r="K225" s="10"/>
      <c r="L225" s="11"/>
    </row>
    <row r="226" spans="1:12">
      <c r="A226" s="10"/>
      <c r="B226" s="10"/>
      <c r="C226" s="10"/>
      <c r="D226" s="10"/>
      <c r="E226" s="10"/>
      <c r="F226" s="11"/>
      <c r="G226" s="11"/>
      <c r="H226" s="10"/>
      <c r="I226" s="10"/>
      <c r="J226" s="10"/>
      <c r="K226" s="10"/>
      <c r="L226" s="11"/>
    </row>
    <row r="227" spans="1:12">
      <c r="A227" s="10"/>
      <c r="B227" s="10"/>
      <c r="C227" s="10"/>
      <c r="D227" s="10"/>
      <c r="E227" s="10"/>
      <c r="F227" s="11"/>
      <c r="G227" s="11"/>
      <c r="H227" s="10"/>
      <c r="I227" s="10"/>
      <c r="J227" s="10"/>
      <c r="K227" s="10"/>
      <c r="L227" s="11"/>
    </row>
    <row r="228" spans="1:12">
      <c r="A228" s="10"/>
      <c r="B228" s="10"/>
      <c r="C228" s="10"/>
      <c r="D228" s="10"/>
      <c r="E228" s="10"/>
      <c r="F228" s="11"/>
      <c r="G228" s="11"/>
      <c r="H228" s="10"/>
      <c r="I228" s="10"/>
      <c r="J228" s="10"/>
      <c r="K228" s="10"/>
      <c r="L228" s="11"/>
    </row>
    <row r="229" spans="1:12">
      <c r="A229" s="10"/>
      <c r="B229" s="10"/>
      <c r="C229" s="10"/>
      <c r="D229" s="10"/>
      <c r="E229" s="10"/>
      <c r="F229" s="11"/>
      <c r="G229" s="11"/>
      <c r="H229" s="10"/>
      <c r="I229" s="10"/>
      <c r="J229" s="10"/>
      <c r="K229" s="10"/>
      <c r="L229" s="11"/>
    </row>
    <row r="230" spans="1:12">
      <c r="A230" s="10"/>
      <c r="B230" s="10"/>
      <c r="C230" s="10"/>
      <c r="D230" s="10"/>
      <c r="E230" s="10"/>
      <c r="F230" s="11"/>
      <c r="G230" s="11"/>
      <c r="H230" s="10"/>
      <c r="I230" s="10"/>
      <c r="J230" s="10"/>
      <c r="K230" s="10"/>
      <c r="L230" s="11"/>
    </row>
    <row r="231" spans="1:12">
      <c r="A231" s="10"/>
      <c r="B231" s="10"/>
      <c r="C231" s="10"/>
      <c r="D231" s="10"/>
      <c r="E231" s="10"/>
      <c r="F231" s="11"/>
      <c r="G231" s="11"/>
      <c r="H231" s="10"/>
      <c r="I231" s="10"/>
      <c r="J231" s="10"/>
      <c r="K231" s="10"/>
      <c r="L231" s="11"/>
    </row>
    <row r="232" spans="1:12">
      <c r="A232" s="10"/>
      <c r="B232" s="10"/>
      <c r="C232" s="10"/>
      <c r="D232" s="10"/>
      <c r="E232" s="10"/>
      <c r="F232" s="11"/>
      <c r="G232" s="11"/>
      <c r="H232" s="10"/>
      <c r="I232" s="10"/>
      <c r="J232" s="10"/>
      <c r="K232" s="10"/>
      <c r="L232" s="11"/>
    </row>
    <row r="233" spans="1:12">
      <c r="A233" s="10"/>
      <c r="B233" s="10"/>
      <c r="C233" s="10"/>
      <c r="D233" s="10"/>
      <c r="E233" s="10"/>
      <c r="F233" s="11"/>
      <c r="G233" s="11"/>
      <c r="H233" s="10"/>
      <c r="I233" s="10"/>
      <c r="J233" s="10"/>
      <c r="K233" s="10"/>
      <c r="L233" s="11"/>
    </row>
    <row r="234" spans="1:12">
      <c r="A234" s="10"/>
      <c r="B234" s="10"/>
      <c r="C234" s="10"/>
      <c r="D234" s="10"/>
      <c r="E234" s="10"/>
      <c r="F234" s="11"/>
      <c r="G234" s="11"/>
      <c r="H234" s="10"/>
      <c r="I234" s="10"/>
      <c r="J234" s="10"/>
      <c r="K234" s="10"/>
      <c r="L234" s="11"/>
    </row>
    <row r="235" spans="1:12">
      <c r="A235" s="10"/>
      <c r="B235" s="10"/>
      <c r="C235" s="10"/>
      <c r="D235" s="10"/>
      <c r="E235" s="10"/>
      <c r="F235" s="11"/>
      <c r="G235" s="11"/>
      <c r="H235" s="10"/>
      <c r="I235" s="10"/>
      <c r="J235" s="10"/>
      <c r="K235" s="10"/>
      <c r="L235" s="11"/>
    </row>
    <row r="236" spans="1:12">
      <c r="A236" s="10"/>
      <c r="B236" s="10"/>
      <c r="C236" s="10"/>
      <c r="D236" s="10"/>
      <c r="E236" s="10"/>
      <c r="F236" s="11"/>
      <c r="G236" s="11"/>
      <c r="H236" s="10"/>
      <c r="I236" s="10"/>
      <c r="J236" s="10"/>
      <c r="K236" s="10"/>
      <c r="L236" s="11"/>
    </row>
    <row r="237" spans="1:12">
      <c r="A237" s="10"/>
      <c r="B237" s="10"/>
      <c r="C237" s="10"/>
      <c r="D237" s="10"/>
      <c r="E237" s="10"/>
      <c r="F237" s="11"/>
      <c r="G237" s="11"/>
      <c r="H237" s="10"/>
      <c r="I237" s="10"/>
      <c r="J237" s="10"/>
      <c r="K237" s="10"/>
      <c r="L237" s="11"/>
    </row>
    <row r="238" spans="1:12">
      <c r="A238" s="10"/>
      <c r="B238" s="10"/>
      <c r="C238" s="10"/>
      <c r="D238" s="10"/>
      <c r="E238" s="10"/>
      <c r="F238" s="11"/>
      <c r="G238" s="11"/>
      <c r="H238" s="10"/>
      <c r="I238" s="10"/>
      <c r="J238" s="10"/>
      <c r="K238" s="10"/>
      <c r="L238" s="11"/>
    </row>
    <row r="239" spans="1:12">
      <c r="A239" s="10"/>
      <c r="B239" s="10"/>
      <c r="C239" s="10"/>
      <c r="D239" s="10"/>
      <c r="E239" s="10"/>
      <c r="F239" s="11"/>
      <c r="G239" s="11"/>
      <c r="H239" s="10"/>
      <c r="I239" s="10"/>
      <c r="J239" s="10"/>
      <c r="K239" s="10"/>
      <c r="L239" s="11"/>
    </row>
    <row r="240" spans="1:12">
      <c r="A240" s="10"/>
      <c r="B240" s="10"/>
      <c r="C240" s="10"/>
      <c r="D240" s="10"/>
      <c r="E240" s="10"/>
      <c r="F240" s="11"/>
      <c r="G240" s="11"/>
      <c r="H240" s="10"/>
      <c r="I240" s="10"/>
      <c r="J240" s="10"/>
      <c r="K240" s="10"/>
      <c r="L240" s="11"/>
    </row>
    <row r="241" spans="1:12">
      <c r="A241" s="10"/>
      <c r="B241" s="10"/>
      <c r="C241" s="10"/>
      <c r="D241" s="10"/>
      <c r="E241" s="10"/>
      <c r="F241" s="11"/>
      <c r="G241" s="11"/>
      <c r="H241" s="10"/>
      <c r="I241" s="10"/>
      <c r="J241" s="10"/>
      <c r="K241" s="10"/>
      <c r="L241" s="11"/>
    </row>
    <row r="242" spans="1:12">
      <c r="A242" s="10"/>
      <c r="B242" s="10"/>
      <c r="C242" s="10"/>
      <c r="D242" s="10"/>
      <c r="E242" s="10"/>
      <c r="F242" s="11"/>
      <c r="G242" s="11"/>
      <c r="H242" s="10"/>
      <c r="I242" s="10"/>
      <c r="J242" s="10"/>
      <c r="K242" s="10"/>
      <c r="L242" s="11"/>
    </row>
    <row r="243" spans="1:12">
      <c r="A243" s="10"/>
      <c r="B243" s="10"/>
      <c r="C243" s="10"/>
      <c r="D243" s="10"/>
      <c r="E243" s="10"/>
      <c r="F243" s="11"/>
      <c r="G243" s="11"/>
      <c r="H243" s="10"/>
      <c r="I243" s="10"/>
      <c r="J243" s="10"/>
      <c r="K243" s="10"/>
      <c r="L243" s="11"/>
    </row>
    <row r="244" spans="1:12">
      <c r="A244" s="10"/>
      <c r="B244" s="10"/>
      <c r="C244" s="10"/>
      <c r="D244" s="10"/>
      <c r="E244" s="10"/>
      <c r="F244" s="11"/>
      <c r="G244" s="11"/>
      <c r="H244" s="10"/>
      <c r="I244" s="10"/>
      <c r="J244" s="10"/>
      <c r="K244" s="10"/>
      <c r="L244" s="11"/>
    </row>
    <row r="245" spans="1:12">
      <c r="A245" s="10"/>
      <c r="B245" s="10"/>
      <c r="C245" s="10"/>
      <c r="D245" s="10"/>
      <c r="E245" s="10"/>
      <c r="F245" s="11"/>
      <c r="G245" s="11"/>
      <c r="H245" s="10"/>
      <c r="I245" s="10"/>
      <c r="J245" s="10"/>
      <c r="K245" s="10"/>
      <c r="L245" s="11"/>
    </row>
    <row r="246" spans="1:12">
      <c r="A246" s="10"/>
      <c r="B246" s="10"/>
      <c r="C246" s="10"/>
      <c r="D246" s="10"/>
      <c r="E246" s="10"/>
      <c r="F246" s="11"/>
      <c r="G246" s="11"/>
      <c r="H246" s="10"/>
      <c r="I246" s="10"/>
      <c r="J246" s="10"/>
      <c r="K246" s="10"/>
      <c r="L246" s="11"/>
    </row>
    <row r="247" spans="1:12">
      <c r="A247" s="10"/>
      <c r="B247" s="10"/>
      <c r="C247" s="10"/>
      <c r="D247" s="10"/>
      <c r="E247" s="10"/>
      <c r="F247" s="11"/>
      <c r="G247" s="11"/>
      <c r="H247" s="10"/>
      <c r="I247" s="10"/>
      <c r="J247" s="10"/>
      <c r="K247" s="10"/>
      <c r="L247" s="11"/>
    </row>
    <row r="248" spans="1:12">
      <c r="A248" s="10"/>
      <c r="B248" s="10"/>
      <c r="C248" s="10"/>
      <c r="D248" s="10"/>
      <c r="E248" s="10"/>
      <c r="F248" s="11"/>
      <c r="G248" s="11"/>
      <c r="H248" s="10"/>
      <c r="I248" s="10"/>
      <c r="J248" s="10"/>
      <c r="K248" s="10"/>
      <c r="L248" s="11"/>
    </row>
    <row r="249" spans="1:12">
      <c r="A249" s="10"/>
      <c r="B249" s="10"/>
      <c r="C249" s="10"/>
      <c r="D249" s="10"/>
      <c r="E249" s="10"/>
      <c r="F249" s="11"/>
      <c r="G249" s="11"/>
      <c r="H249" s="10"/>
      <c r="I249" s="10"/>
      <c r="J249" s="10"/>
      <c r="K249" s="10"/>
      <c r="L249" s="11"/>
    </row>
    <row r="250" spans="1:12">
      <c r="A250" s="10"/>
      <c r="B250" s="10"/>
      <c r="C250" s="10"/>
      <c r="D250" s="10"/>
      <c r="E250" s="10"/>
      <c r="F250" s="11"/>
      <c r="G250" s="11"/>
      <c r="H250" s="10"/>
      <c r="I250" s="10"/>
      <c r="J250" s="10"/>
      <c r="K250" s="10"/>
      <c r="L250" s="11"/>
    </row>
  </sheetData>
  <mergeCells count="2">
    <mergeCell ref="A2:L2"/>
    <mergeCell ref="A1:L1"/>
  </mergeCells>
  <conditionalFormatting sqref="B4:B250">
    <cfRule type="expression" dxfId="7" priority="1">
      <formula>LEN($B4)=0</formula>
    </cfRule>
  </conditionalFormatting>
  <dataValidations count="6">
    <dataValidation type="list" allowBlank="1" sqref="B4:B250" xr:uid="{00000000-0002-0000-0D00-000000000000}">
      <formula1>TechIDs</formula1>
    </dataValidation>
    <dataValidation type="list" allowBlank="1" sqref="E4:E250" xr:uid="{00000000-0002-0000-0D00-000001000000}">
      <formula1>SettoriEconomici</formula1>
    </dataValidation>
    <dataValidation type="list" allowBlank="1" sqref="H4:H250" xr:uid="{00000000-0002-0000-0D00-000002000000}">
      <formula1>IntensitaImpatto</formula1>
    </dataValidation>
    <dataValidation type="list" allowBlank="1" sqref="I4:I250" xr:uid="{00000000-0002-0000-0D00-000003000000}">
      <formula1>Orizzonti</formula1>
    </dataValidation>
    <dataValidation type="list" allowBlank="1" sqref="J4:J250" xr:uid="{00000000-0002-0000-0D00-000004000000}">
      <formula1>Geografie</formula1>
    </dataValidation>
    <dataValidation type="list" allowBlank="1" sqref="K4:K250" xr:uid="{00000000-0002-0000-0D00-000005000000}">
      <formula1>SourceIDs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tabColor rgb="FF0F766E"/>
  </sheetPr>
  <dimension ref="A1:L250"/>
  <sheetViews>
    <sheetView showGridLines="0" topLeftCell="A2" workbookViewId="0">
      <selection activeCell="K38" sqref="K38"/>
    </sheetView>
  </sheetViews>
  <sheetFormatPr defaultRowHeight="14.45"/>
  <cols>
    <col min="1" max="1" width="14" customWidth="1"/>
    <col min="2" max="2" width="10" customWidth="1"/>
    <col min="3" max="3" width="22" customWidth="1"/>
    <col min="4" max="4" width="16" customWidth="1"/>
    <col min="5" max="5" width="14" customWidth="1"/>
    <col min="6" max="6" width="18" customWidth="1"/>
    <col min="7" max="7" width="14" customWidth="1"/>
    <col min="8" max="8" width="20" customWidth="1"/>
    <col min="9" max="9" width="22" customWidth="1"/>
    <col min="10" max="10" width="34" customWidth="1"/>
    <col min="11" max="11" width="12" customWidth="1"/>
    <col min="12" max="12" width="24" customWidth="1"/>
  </cols>
  <sheetData>
    <row r="1" spans="1:12" ht="24" customHeight="1">
      <c r="A1" s="28" t="s">
        <v>2368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36" customHeight="1">
      <c r="A2" s="29" t="s">
        <v>2369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27.95" customHeight="1">
      <c r="A3" s="9" t="s">
        <v>203</v>
      </c>
      <c r="B3" s="9" t="s">
        <v>64</v>
      </c>
      <c r="C3" s="9" t="s">
        <v>23</v>
      </c>
      <c r="D3" s="9" t="s">
        <v>199</v>
      </c>
      <c r="E3" s="9" t="s">
        <v>2370</v>
      </c>
      <c r="F3" s="9" t="s">
        <v>2371</v>
      </c>
      <c r="G3" s="9" t="s">
        <v>2372</v>
      </c>
      <c r="H3" s="9" t="s">
        <v>2373</v>
      </c>
      <c r="I3" s="9" t="s">
        <v>2374</v>
      </c>
      <c r="J3" s="9" t="s">
        <v>2375</v>
      </c>
      <c r="K3" s="9" t="s">
        <v>1061</v>
      </c>
      <c r="L3" s="9" t="s">
        <v>1062</v>
      </c>
    </row>
    <row r="4" spans="1:12" ht="57.95" hidden="1" customHeight="1">
      <c r="A4" s="10" t="s">
        <v>2376</v>
      </c>
      <c r="B4" s="10" t="s">
        <v>117</v>
      </c>
      <c r="C4" s="10" t="s">
        <v>118</v>
      </c>
      <c r="D4" s="10"/>
      <c r="E4" s="10" t="s">
        <v>2377</v>
      </c>
      <c r="F4" s="10">
        <v>23</v>
      </c>
      <c r="G4" s="10" t="s">
        <v>2378</v>
      </c>
      <c r="H4" s="10" t="s">
        <v>2379</v>
      </c>
      <c r="I4" s="10" t="s">
        <v>2380</v>
      </c>
      <c r="J4" s="11" t="s">
        <v>2381</v>
      </c>
      <c r="K4" s="10" t="s">
        <v>2382</v>
      </c>
      <c r="L4" s="11" t="s">
        <v>2383</v>
      </c>
    </row>
    <row r="5" spans="1:12" ht="43.5" hidden="1" customHeight="1">
      <c r="A5" s="10" t="s">
        <v>2384</v>
      </c>
      <c r="B5" s="10" t="s">
        <v>117</v>
      </c>
      <c r="C5" s="10" t="s">
        <v>118</v>
      </c>
      <c r="D5" s="10" t="s">
        <v>200</v>
      </c>
      <c r="E5" s="10" t="s">
        <v>2377</v>
      </c>
      <c r="F5" s="10">
        <v>23</v>
      </c>
      <c r="G5" s="10" t="s">
        <v>2378</v>
      </c>
      <c r="H5" s="10" t="s">
        <v>2385</v>
      </c>
      <c r="I5" s="10" t="s">
        <v>2386</v>
      </c>
      <c r="J5" s="11" t="s">
        <v>2387</v>
      </c>
      <c r="K5" s="10" t="s">
        <v>2388</v>
      </c>
      <c r="L5" s="11" t="s">
        <v>2389</v>
      </c>
    </row>
    <row r="6" spans="1:12" ht="43.5" hidden="1" customHeight="1">
      <c r="A6" s="10" t="s">
        <v>2390</v>
      </c>
      <c r="B6" s="10" t="s">
        <v>117</v>
      </c>
      <c r="C6" s="10" t="s">
        <v>118</v>
      </c>
      <c r="D6" s="10" t="s">
        <v>1110</v>
      </c>
      <c r="E6" s="10" t="s">
        <v>2391</v>
      </c>
      <c r="F6" s="10">
        <v>23</v>
      </c>
      <c r="G6" s="10" t="s">
        <v>2378</v>
      </c>
      <c r="H6" s="10" t="s">
        <v>2392</v>
      </c>
      <c r="I6" s="10" t="s">
        <v>2393</v>
      </c>
      <c r="J6" s="11" t="s">
        <v>2394</v>
      </c>
      <c r="K6" s="10" t="s">
        <v>2395</v>
      </c>
      <c r="L6" s="11" t="s">
        <v>2396</v>
      </c>
    </row>
    <row r="7" spans="1:12" ht="43.5" hidden="1" customHeight="1">
      <c r="A7" s="10" t="s">
        <v>2397</v>
      </c>
      <c r="B7" s="10" t="s">
        <v>131</v>
      </c>
      <c r="C7" s="10" t="s">
        <v>132</v>
      </c>
      <c r="D7" s="10"/>
      <c r="E7" s="10" t="s">
        <v>2377</v>
      </c>
      <c r="F7" s="10">
        <v>12</v>
      </c>
      <c r="G7" s="10" t="s">
        <v>2378</v>
      </c>
      <c r="H7" s="10" t="s">
        <v>2398</v>
      </c>
      <c r="I7" s="10" t="s">
        <v>2399</v>
      </c>
      <c r="J7" s="11" t="s">
        <v>2400</v>
      </c>
      <c r="K7" s="10" t="s">
        <v>2401</v>
      </c>
      <c r="L7" s="11" t="s">
        <v>2402</v>
      </c>
    </row>
    <row r="8" spans="1:12" ht="29.1" hidden="1" customHeight="1">
      <c r="A8" s="10" t="s">
        <v>2403</v>
      </c>
      <c r="B8" s="10" t="s">
        <v>131</v>
      </c>
      <c r="C8" s="10" t="s">
        <v>132</v>
      </c>
      <c r="D8" s="10" t="s">
        <v>1144</v>
      </c>
      <c r="E8" s="10" t="s">
        <v>2391</v>
      </c>
      <c r="F8" s="10">
        <v>12</v>
      </c>
      <c r="G8" s="10" t="s">
        <v>2378</v>
      </c>
      <c r="H8" s="10" t="s">
        <v>2404</v>
      </c>
      <c r="I8" s="10" t="s">
        <v>2405</v>
      </c>
      <c r="J8" s="11" t="s">
        <v>2406</v>
      </c>
      <c r="K8" s="10" t="s">
        <v>623</v>
      </c>
      <c r="L8" s="11" t="s">
        <v>2407</v>
      </c>
    </row>
    <row r="9" spans="1:12" ht="57.95" hidden="1" customHeight="1">
      <c r="A9" s="10" t="s">
        <v>2408</v>
      </c>
      <c r="B9" s="10" t="s">
        <v>131</v>
      </c>
      <c r="C9" s="10" t="s">
        <v>132</v>
      </c>
      <c r="D9" s="10" t="s">
        <v>1168</v>
      </c>
      <c r="E9" s="10" t="s">
        <v>2377</v>
      </c>
      <c r="F9" s="10">
        <v>14</v>
      </c>
      <c r="G9" s="10" t="s">
        <v>2378</v>
      </c>
      <c r="H9" s="10" t="s">
        <v>2409</v>
      </c>
      <c r="I9" s="10" t="s">
        <v>2410</v>
      </c>
      <c r="J9" s="11" t="s">
        <v>2411</v>
      </c>
      <c r="K9" s="10" t="s">
        <v>1599</v>
      </c>
      <c r="L9" s="11" t="s">
        <v>2412</v>
      </c>
    </row>
    <row r="10" spans="1:12" ht="43.5" customHeight="1">
      <c r="A10" s="10" t="s">
        <v>2413</v>
      </c>
      <c r="B10" s="10" t="s">
        <v>161</v>
      </c>
      <c r="C10" s="10" t="s">
        <v>162</v>
      </c>
      <c r="D10" s="10"/>
      <c r="E10" s="10" t="s">
        <v>2377</v>
      </c>
      <c r="F10" s="10">
        <v>1.5</v>
      </c>
      <c r="G10" s="10" t="s">
        <v>2414</v>
      </c>
      <c r="H10" s="10" t="s">
        <v>2415</v>
      </c>
      <c r="I10" s="10" t="s">
        <v>2416</v>
      </c>
      <c r="J10" s="11" t="s">
        <v>2417</v>
      </c>
      <c r="K10" s="10" t="s">
        <v>2418</v>
      </c>
      <c r="L10" s="11" t="s">
        <v>2419</v>
      </c>
    </row>
    <row r="11" spans="1:12" ht="43.5" customHeight="1">
      <c r="A11" s="10" t="s">
        <v>2420</v>
      </c>
      <c r="B11" s="10" t="s">
        <v>161</v>
      </c>
      <c r="C11" s="10" t="s">
        <v>162</v>
      </c>
      <c r="D11" s="10" t="s">
        <v>1132</v>
      </c>
      <c r="E11" s="10" t="s">
        <v>2377</v>
      </c>
      <c r="F11" s="10">
        <v>1.5</v>
      </c>
      <c r="G11" s="10" t="s">
        <v>2414</v>
      </c>
      <c r="H11" s="10" t="s">
        <v>2421</v>
      </c>
      <c r="I11" s="10" t="s">
        <v>2422</v>
      </c>
      <c r="J11" s="11" t="s">
        <v>2423</v>
      </c>
      <c r="K11" s="10" t="s">
        <v>2424</v>
      </c>
      <c r="L11" s="11" t="s">
        <v>2425</v>
      </c>
    </row>
    <row r="12" spans="1:12" ht="43.5" customHeight="1">
      <c r="A12" s="10" t="s">
        <v>2426</v>
      </c>
      <c r="B12" s="10" t="s">
        <v>161</v>
      </c>
      <c r="C12" s="10" t="s">
        <v>162</v>
      </c>
      <c r="D12" s="10" t="s">
        <v>1213</v>
      </c>
      <c r="E12" s="10" t="s">
        <v>2391</v>
      </c>
      <c r="F12" s="10">
        <v>1.5</v>
      </c>
      <c r="G12" s="10" t="s">
        <v>2414</v>
      </c>
      <c r="H12" s="10" t="s">
        <v>2427</v>
      </c>
      <c r="I12" s="10" t="s">
        <v>2428</v>
      </c>
      <c r="J12" s="11" t="s">
        <v>2429</v>
      </c>
      <c r="K12" s="10" t="s">
        <v>2430</v>
      </c>
      <c r="L12" s="11" t="s">
        <v>2431</v>
      </c>
    </row>
    <row r="13" spans="1:12" ht="43.5" hidden="1" customHeight="1">
      <c r="A13" s="10" t="s">
        <v>2432</v>
      </c>
      <c r="B13" s="10" t="s">
        <v>90</v>
      </c>
      <c r="C13" s="10" t="s">
        <v>91</v>
      </c>
      <c r="D13" s="10"/>
      <c r="E13" s="10" t="s">
        <v>2433</v>
      </c>
      <c r="F13" s="10">
        <v>1000</v>
      </c>
      <c r="G13" s="10" t="s">
        <v>2378</v>
      </c>
      <c r="H13" s="10" t="s">
        <v>2434</v>
      </c>
      <c r="I13" s="10" t="s">
        <v>2435</v>
      </c>
      <c r="J13" s="11" t="s">
        <v>2436</v>
      </c>
      <c r="K13" s="10"/>
      <c r="L13" s="11"/>
    </row>
    <row r="14" spans="1:12" ht="29.1" hidden="1" customHeight="1">
      <c r="A14" s="10" t="s">
        <v>2437</v>
      </c>
      <c r="B14" s="10" t="s">
        <v>90</v>
      </c>
      <c r="C14" s="10" t="s">
        <v>91</v>
      </c>
      <c r="D14" s="10"/>
      <c r="E14" s="10" t="s">
        <v>2438</v>
      </c>
      <c r="F14" s="10">
        <v>850</v>
      </c>
      <c r="G14" s="10" t="s">
        <v>2378</v>
      </c>
      <c r="H14" s="10" t="s">
        <v>2439</v>
      </c>
      <c r="I14" s="10" t="s">
        <v>2440</v>
      </c>
      <c r="J14" s="11" t="s">
        <v>2441</v>
      </c>
      <c r="K14" s="10"/>
      <c r="L14" s="11"/>
    </row>
    <row r="15" spans="1:12" ht="43.5" hidden="1" customHeight="1">
      <c r="A15" s="10" t="s">
        <v>2442</v>
      </c>
      <c r="B15" s="10" t="s">
        <v>90</v>
      </c>
      <c r="C15" s="10" t="s">
        <v>91</v>
      </c>
      <c r="D15" s="10"/>
      <c r="E15" s="10" t="s">
        <v>2438</v>
      </c>
      <c r="F15" s="10">
        <v>200</v>
      </c>
      <c r="G15" s="10" t="s">
        <v>2378</v>
      </c>
      <c r="H15" s="10" t="s">
        <v>2443</v>
      </c>
      <c r="I15" s="10" t="s">
        <v>2444</v>
      </c>
      <c r="J15" s="11" t="s">
        <v>2445</v>
      </c>
      <c r="K15" s="10"/>
      <c r="L15" s="11"/>
    </row>
    <row r="16" spans="1:12" ht="29.1" hidden="1" customHeight="1">
      <c r="A16" s="10" t="s">
        <v>2446</v>
      </c>
      <c r="B16" s="10" t="s">
        <v>102</v>
      </c>
      <c r="C16" s="10" t="s">
        <v>103</v>
      </c>
      <c r="D16" s="10"/>
      <c r="E16" s="10" t="s">
        <v>2433</v>
      </c>
      <c r="F16" s="10">
        <v>780</v>
      </c>
      <c r="G16" s="10" t="s">
        <v>2378</v>
      </c>
      <c r="H16" s="10" t="s">
        <v>2447</v>
      </c>
      <c r="I16" s="10" t="s">
        <v>99</v>
      </c>
      <c r="J16" s="11" t="s">
        <v>2448</v>
      </c>
      <c r="K16" s="10"/>
      <c r="L16" s="11"/>
    </row>
    <row r="17" spans="1:12" ht="43.5" hidden="1" customHeight="1">
      <c r="A17" s="10" t="s">
        <v>2449</v>
      </c>
      <c r="B17" s="10" t="s">
        <v>102</v>
      </c>
      <c r="C17" s="10" t="s">
        <v>103</v>
      </c>
      <c r="D17" s="10"/>
      <c r="E17" s="10" t="s">
        <v>2438</v>
      </c>
      <c r="F17" s="10">
        <v>650</v>
      </c>
      <c r="G17" s="10" t="s">
        <v>2378</v>
      </c>
      <c r="H17" s="10" t="s">
        <v>2450</v>
      </c>
      <c r="I17" s="10" t="s">
        <v>2451</v>
      </c>
      <c r="J17" s="11" t="s">
        <v>2452</v>
      </c>
      <c r="K17" s="10"/>
      <c r="L17" s="11"/>
    </row>
    <row r="18" spans="1:12" ht="43.5" hidden="1" customHeight="1">
      <c r="A18" s="10" t="s">
        <v>2453</v>
      </c>
      <c r="B18" s="10" t="s">
        <v>102</v>
      </c>
      <c r="C18" s="10" t="s">
        <v>103</v>
      </c>
      <c r="D18" s="10"/>
      <c r="E18" s="10" t="s">
        <v>2438</v>
      </c>
      <c r="F18" s="10">
        <v>600</v>
      </c>
      <c r="G18" s="10" t="s">
        <v>2378</v>
      </c>
      <c r="H18" s="10" t="s">
        <v>2454</v>
      </c>
      <c r="I18" s="10" t="s">
        <v>99</v>
      </c>
      <c r="J18" s="11" t="s">
        <v>2455</v>
      </c>
      <c r="K18" s="10"/>
      <c r="L18" s="11"/>
    </row>
    <row r="19" spans="1:12" ht="29.1" hidden="1" customHeight="1">
      <c r="A19" s="10" t="s">
        <v>2456</v>
      </c>
      <c r="B19" s="10" t="s">
        <v>108</v>
      </c>
      <c r="C19" s="10" t="s">
        <v>109</v>
      </c>
      <c r="D19" s="10"/>
      <c r="E19" s="10" t="s">
        <v>2433</v>
      </c>
      <c r="F19" s="10">
        <v>450</v>
      </c>
      <c r="G19" s="10" t="s">
        <v>2378</v>
      </c>
      <c r="H19" s="10" t="s">
        <v>2457</v>
      </c>
      <c r="I19" s="10" t="s">
        <v>2458</v>
      </c>
      <c r="J19" s="11" t="s">
        <v>2459</v>
      </c>
      <c r="K19" s="10"/>
      <c r="L19" s="11"/>
    </row>
    <row r="20" spans="1:12" ht="29.1" hidden="1" customHeight="1">
      <c r="A20" s="10" t="s">
        <v>2460</v>
      </c>
      <c r="B20" s="10" t="s">
        <v>108</v>
      </c>
      <c r="C20" s="10" t="s">
        <v>109</v>
      </c>
      <c r="D20" s="10"/>
      <c r="E20" s="10" t="s">
        <v>2438</v>
      </c>
      <c r="F20" s="10">
        <v>380</v>
      </c>
      <c r="G20" s="10" t="s">
        <v>2378</v>
      </c>
      <c r="H20" s="10" t="s">
        <v>2461</v>
      </c>
      <c r="I20" s="10" t="s">
        <v>2462</v>
      </c>
      <c r="J20" s="11" t="s">
        <v>2463</v>
      </c>
      <c r="K20" s="10"/>
      <c r="L20" s="11"/>
    </row>
    <row r="21" spans="1:12" ht="29.1" hidden="1" customHeight="1">
      <c r="A21" s="10" t="s">
        <v>2464</v>
      </c>
      <c r="B21" s="10" t="s">
        <v>108</v>
      </c>
      <c r="C21" s="10" t="s">
        <v>109</v>
      </c>
      <c r="D21" s="10"/>
      <c r="E21" s="10" t="s">
        <v>2438</v>
      </c>
      <c r="F21" s="10">
        <v>70</v>
      </c>
      <c r="G21" s="10" t="s">
        <v>2378</v>
      </c>
      <c r="H21" s="10" t="s">
        <v>2465</v>
      </c>
      <c r="I21" s="10" t="s">
        <v>2466</v>
      </c>
      <c r="J21" s="11" t="s">
        <v>2467</v>
      </c>
      <c r="K21" s="10"/>
      <c r="L21" s="11"/>
    </row>
    <row r="22" spans="1:12" ht="43.5" hidden="1" customHeight="1">
      <c r="A22" s="10" t="s">
        <v>2468</v>
      </c>
      <c r="B22" s="10" t="s">
        <v>124</v>
      </c>
      <c r="C22" s="10" t="s">
        <v>125</v>
      </c>
      <c r="D22" s="10"/>
      <c r="E22" s="10" t="s">
        <v>2377</v>
      </c>
      <c r="F22" s="10">
        <v>30</v>
      </c>
      <c r="G22" s="10" t="s">
        <v>2378</v>
      </c>
      <c r="H22" s="10" t="s">
        <v>2469</v>
      </c>
      <c r="I22" s="10" t="s">
        <v>2470</v>
      </c>
      <c r="J22" s="11" t="s">
        <v>2471</v>
      </c>
      <c r="K22" s="10"/>
      <c r="L22" s="11"/>
    </row>
    <row r="23" spans="1:12" ht="29.1" hidden="1" customHeight="1">
      <c r="A23" s="10" t="s">
        <v>2472</v>
      </c>
      <c r="B23" s="10" t="s">
        <v>124</v>
      </c>
      <c r="C23" s="10" t="s">
        <v>125</v>
      </c>
      <c r="D23" s="10"/>
      <c r="E23" s="10" t="s">
        <v>2377</v>
      </c>
      <c r="F23" s="10">
        <v>20</v>
      </c>
      <c r="G23" s="10" t="s">
        <v>2378</v>
      </c>
      <c r="H23" s="10" t="s">
        <v>2473</v>
      </c>
      <c r="I23" s="10" t="s">
        <v>122</v>
      </c>
      <c r="J23" s="11" t="s">
        <v>2474</v>
      </c>
      <c r="K23" s="10"/>
      <c r="L23" s="11"/>
    </row>
    <row r="24" spans="1:12" ht="29.1" hidden="1" customHeight="1">
      <c r="A24" s="10" t="s">
        <v>2475</v>
      </c>
      <c r="B24" s="10" t="s">
        <v>124</v>
      </c>
      <c r="C24" s="10" t="s">
        <v>125</v>
      </c>
      <c r="D24" s="10"/>
      <c r="E24" s="10" t="s">
        <v>2391</v>
      </c>
      <c r="F24" s="10">
        <v>30</v>
      </c>
      <c r="G24" s="10" t="s">
        <v>2378</v>
      </c>
      <c r="H24" s="10" t="s">
        <v>2476</v>
      </c>
      <c r="I24" s="10" t="s">
        <v>2477</v>
      </c>
      <c r="J24" s="11" t="s">
        <v>2478</v>
      </c>
      <c r="K24" s="10"/>
      <c r="L24" s="11"/>
    </row>
    <row r="25" spans="1:12" ht="43.5" hidden="1" customHeight="1">
      <c r="A25" s="10" t="s">
        <v>2479</v>
      </c>
      <c r="B25" s="10" t="s">
        <v>136</v>
      </c>
      <c r="C25" s="10" t="s">
        <v>137</v>
      </c>
      <c r="D25" s="10"/>
      <c r="E25" s="10" t="s">
        <v>2377</v>
      </c>
      <c r="F25" s="10">
        <v>15</v>
      </c>
      <c r="G25" s="10" t="s">
        <v>2378</v>
      </c>
      <c r="H25" s="10" t="s">
        <v>2480</v>
      </c>
      <c r="I25" s="10" t="s">
        <v>2481</v>
      </c>
      <c r="J25" s="11" t="s">
        <v>2482</v>
      </c>
      <c r="K25" s="10"/>
      <c r="L25" s="11"/>
    </row>
    <row r="26" spans="1:12" ht="29.1" hidden="1" customHeight="1">
      <c r="A26" s="10" t="s">
        <v>2483</v>
      </c>
      <c r="B26" s="10" t="s">
        <v>136</v>
      </c>
      <c r="C26" s="10" t="s">
        <v>137</v>
      </c>
      <c r="D26" s="10"/>
      <c r="E26" s="10" t="s">
        <v>2484</v>
      </c>
      <c r="F26" s="10">
        <v>30</v>
      </c>
      <c r="G26" s="10" t="s">
        <v>2378</v>
      </c>
      <c r="H26" s="10" t="s">
        <v>2485</v>
      </c>
      <c r="I26" s="10" t="s">
        <v>2486</v>
      </c>
      <c r="J26" s="11" t="s">
        <v>2487</v>
      </c>
      <c r="K26" s="10"/>
      <c r="L26" s="11"/>
    </row>
    <row r="27" spans="1:12" ht="29.1" hidden="1" customHeight="1">
      <c r="A27" s="10" t="s">
        <v>2488</v>
      </c>
      <c r="B27" s="10" t="s">
        <v>136</v>
      </c>
      <c r="C27" s="10" t="s">
        <v>137</v>
      </c>
      <c r="D27" s="10"/>
      <c r="E27" s="10" t="s">
        <v>2377</v>
      </c>
      <c r="F27" s="10">
        <v>10</v>
      </c>
      <c r="G27" s="10" t="s">
        <v>2378</v>
      </c>
      <c r="H27" s="10" t="s">
        <v>2489</v>
      </c>
      <c r="I27" s="10" t="s">
        <v>122</v>
      </c>
      <c r="J27" s="11" t="s">
        <v>2490</v>
      </c>
      <c r="K27" s="10"/>
      <c r="L27" s="11"/>
    </row>
    <row r="28" spans="1:12" ht="29.1" hidden="1" customHeight="1">
      <c r="A28" s="10" t="s">
        <v>2491</v>
      </c>
      <c r="B28" s="10" t="s">
        <v>143</v>
      </c>
      <c r="C28" s="10" t="s">
        <v>144</v>
      </c>
      <c r="D28" s="10"/>
      <c r="E28" s="10" t="s">
        <v>2492</v>
      </c>
      <c r="F28" s="10">
        <v>70</v>
      </c>
      <c r="G28" s="10" t="s">
        <v>2378</v>
      </c>
      <c r="H28" s="10" t="s">
        <v>2493</v>
      </c>
      <c r="I28" s="10" t="s">
        <v>2494</v>
      </c>
      <c r="J28" s="11" t="s">
        <v>2495</v>
      </c>
      <c r="K28" s="10"/>
      <c r="L28" s="11"/>
    </row>
    <row r="29" spans="1:12" ht="29.1" hidden="1" customHeight="1">
      <c r="A29" s="10" t="s">
        <v>2496</v>
      </c>
      <c r="B29" s="10" t="s">
        <v>143</v>
      </c>
      <c r="C29" s="10" t="s">
        <v>144</v>
      </c>
      <c r="D29" s="10"/>
      <c r="E29" s="10" t="s">
        <v>2377</v>
      </c>
      <c r="F29" s="10">
        <v>30</v>
      </c>
      <c r="G29" s="10" t="s">
        <v>2378</v>
      </c>
      <c r="H29" s="10" t="s">
        <v>2497</v>
      </c>
      <c r="I29" s="10" t="s">
        <v>2498</v>
      </c>
      <c r="J29" s="11" t="s">
        <v>2499</v>
      </c>
      <c r="K29" s="10"/>
      <c r="L29" s="11"/>
    </row>
    <row r="30" spans="1:12" ht="29.1" hidden="1" customHeight="1">
      <c r="A30" s="10" t="s">
        <v>2500</v>
      </c>
      <c r="B30" s="10" t="s">
        <v>143</v>
      </c>
      <c r="C30" s="10" t="s">
        <v>144</v>
      </c>
      <c r="D30" s="10"/>
      <c r="E30" s="10" t="s">
        <v>2391</v>
      </c>
      <c r="F30" s="10">
        <v>0</v>
      </c>
      <c r="G30" s="10" t="s">
        <v>2378</v>
      </c>
      <c r="H30" s="10" t="s">
        <v>2501</v>
      </c>
      <c r="I30" s="10" t="s">
        <v>2502</v>
      </c>
      <c r="J30" s="11" t="s">
        <v>2503</v>
      </c>
      <c r="K30" s="10"/>
      <c r="L30" s="11"/>
    </row>
    <row r="31" spans="1:12" ht="43.5" hidden="1" customHeight="1">
      <c r="A31" s="10" t="s">
        <v>2504</v>
      </c>
      <c r="B31" s="10" t="s">
        <v>150</v>
      </c>
      <c r="C31" s="10" t="s">
        <v>151</v>
      </c>
      <c r="D31" s="10"/>
      <c r="E31" s="10" t="s">
        <v>2377</v>
      </c>
      <c r="F31" s="10">
        <v>25</v>
      </c>
      <c r="G31" s="10" t="s">
        <v>2378</v>
      </c>
      <c r="H31" s="10" t="s">
        <v>2505</v>
      </c>
      <c r="I31" s="10" t="s">
        <v>2506</v>
      </c>
      <c r="J31" s="11" t="s">
        <v>2507</v>
      </c>
      <c r="K31" s="10"/>
      <c r="L31" s="11"/>
    </row>
    <row r="32" spans="1:12" ht="29.1" hidden="1" customHeight="1">
      <c r="A32" s="10" t="s">
        <v>2508</v>
      </c>
      <c r="B32" s="10" t="s">
        <v>150</v>
      </c>
      <c r="C32" s="10" t="s">
        <v>151</v>
      </c>
      <c r="D32" s="10"/>
      <c r="E32" s="10" t="s">
        <v>2377</v>
      </c>
      <c r="F32" s="10">
        <v>10</v>
      </c>
      <c r="G32" s="10" t="s">
        <v>2378</v>
      </c>
      <c r="H32" s="10" t="s">
        <v>2509</v>
      </c>
      <c r="I32" s="10" t="s">
        <v>122</v>
      </c>
      <c r="J32" s="11" t="s">
        <v>2510</v>
      </c>
      <c r="K32" s="10"/>
      <c r="L32" s="11"/>
    </row>
    <row r="33" spans="1:12" ht="43.5" hidden="1" customHeight="1">
      <c r="A33" s="10" t="s">
        <v>2511</v>
      </c>
      <c r="B33" s="10" t="s">
        <v>150</v>
      </c>
      <c r="C33" s="10" t="s">
        <v>151</v>
      </c>
      <c r="D33" s="10"/>
      <c r="E33" s="10" t="s">
        <v>2391</v>
      </c>
      <c r="F33" s="10">
        <v>20</v>
      </c>
      <c r="G33" s="10" t="s">
        <v>2378</v>
      </c>
      <c r="H33" s="10" t="s">
        <v>2512</v>
      </c>
      <c r="I33" s="10" t="s">
        <v>2513</v>
      </c>
      <c r="J33" s="11" t="s">
        <v>2514</v>
      </c>
      <c r="K33" s="10"/>
      <c r="L33" s="11"/>
    </row>
    <row r="34" spans="1:12" ht="43.5" hidden="1" customHeight="1">
      <c r="A34" s="10" t="s">
        <v>2515</v>
      </c>
      <c r="B34" s="10" t="s">
        <v>155</v>
      </c>
      <c r="C34" s="10" t="s">
        <v>156</v>
      </c>
      <c r="D34" s="10"/>
      <c r="E34" s="10" t="s">
        <v>2377</v>
      </c>
      <c r="F34" s="10">
        <v>12</v>
      </c>
      <c r="G34" s="10" t="s">
        <v>2378</v>
      </c>
      <c r="H34" s="10" t="s">
        <v>2516</v>
      </c>
      <c r="I34" s="10" t="s">
        <v>2517</v>
      </c>
      <c r="J34" s="11" t="s">
        <v>2518</v>
      </c>
      <c r="K34" s="10"/>
      <c r="L34" s="11"/>
    </row>
    <row r="35" spans="1:12" ht="29.1" hidden="1" customHeight="1">
      <c r="A35" s="10" t="s">
        <v>2519</v>
      </c>
      <c r="B35" s="10" t="s">
        <v>155</v>
      </c>
      <c r="C35" s="10" t="s">
        <v>156</v>
      </c>
      <c r="D35" s="10"/>
      <c r="E35" s="10" t="s">
        <v>2520</v>
      </c>
      <c r="F35" s="10">
        <v>12</v>
      </c>
      <c r="G35" s="10" t="s">
        <v>2378</v>
      </c>
      <c r="H35" s="10" t="s">
        <v>2521</v>
      </c>
      <c r="I35" s="10" t="s">
        <v>148</v>
      </c>
      <c r="J35" s="11" t="s">
        <v>2522</v>
      </c>
      <c r="K35" s="10"/>
      <c r="L35" s="11"/>
    </row>
    <row r="36" spans="1:12" ht="43.5" hidden="1" customHeight="1">
      <c r="A36" s="10" t="s">
        <v>2523</v>
      </c>
      <c r="B36" s="10" t="s">
        <v>155</v>
      </c>
      <c r="C36" s="10" t="s">
        <v>156</v>
      </c>
      <c r="D36" s="10"/>
      <c r="E36" s="10" t="s">
        <v>2391</v>
      </c>
      <c r="F36" s="10">
        <v>12</v>
      </c>
      <c r="G36" s="10" t="s">
        <v>2378</v>
      </c>
      <c r="H36" s="10" t="s">
        <v>2524</v>
      </c>
      <c r="I36" s="10" t="s">
        <v>2525</v>
      </c>
      <c r="J36" s="11" t="s">
        <v>2526</v>
      </c>
      <c r="K36" s="10"/>
      <c r="L36" s="11"/>
    </row>
    <row r="37" spans="1:12">
      <c r="A37" s="10"/>
      <c r="B37" s="10"/>
      <c r="C37" s="10"/>
      <c r="D37" s="10"/>
      <c r="E37" s="10"/>
      <c r="F37" s="10"/>
      <c r="G37" s="10"/>
      <c r="H37" s="10"/>
      <c r="I37" s="10"/>
      <c r="J37" s="11"/>
      <c r="K37" s="10"/>
      <c r="L37" s="11"/>
    </row>
    <row r="38" spans="1:12">
      <c r="A38" s="10"/>
      <c r="B38" s="10"/>
      <c r="C38" s="10"/>
      <c r="D38" s="10"/>
      <c r="E38" s="10"/>
      <c r="F38" s="10"/>
      <c r="G38" s="10"/>
      <c r="H38" s="10"/>
      <c r="I38" s="10"/>
      <c r="J38" s="11"/>
      <c r="K38" s="10"/>
      <c r="L38" s="11"/>
    </row>
    <row r="39" spans="1:12">
      <c r="A39" s="10"/>
      <c r="B39" s="10"/>
      <c r="C39" s="10"/>
      <c r="D39" s="10"/>
      <c r="E39" s="10"/>
      <c r="F39" s="10"/>
      <c r="G39" s="10"/>
      <c r="H39" s="10"/>
      <c r="I39" s="10"/>
      <c r="J39" s="11"/>
      <c r="K39" s="10"/>
      <c r="L39" s="11"/>
    </row>
    <row r="40" spans="1:12">
      <c r="A40" s="10"/>
      <c r="B40" s="10"/>
      <c r="C40" s="10"/>
      <c r="D40" s="10"/>
      <c r="E40" s="10"/>
      <c r="F40" s="10"/>
      <c r="G40" s="10"/>
      <c r="H40" s="10"/>
      <c r="I40" s="10"/>
      <c r="J40" s="11"/>
      <c r="K40" s="10"/>
      <c r="L40" s="11"/>
    </row>
    <row r="41" spans="1:12">
      <c r="A41" s="10"/>
      <c r="B41" s="10"/>
      <c r="C41" s="10"/>
      <c r="D41" s="10"/>
      <c r="E41" s="10"/>
      <c r="F41" s="10"/>
      <c r="G41" s="10"/>
      <c r="H41" s="10"/>
      <c r="I41" s="10"/>
      <c r="J41" s="11"/>
      <c r="K41" s="10"/>
      <c r="L41" s="11"/>
    </row>
    <row r="42" spans="1:12">
      <c r="A42" s="10"/>
      <c r="B42" s="10"/>
      <c r="C42" s="10"/>
      <c r="D42" s="10"/>
      <c r="E42" s="10"/>
      <c r="F42" s="10"/>
      <c r="G42" s="10"/>
      <c r="H42" s="10"/>
      <c r="I42" s="10"/>
      <c r="J42" s="11"/>
      <c r="K42" s="10"/>
      <c r="L42" s="11"/>
    </row>
    <row r="43" spans="1:12">
      <c r="A43" s="10"/>
      <c r="B43" s="10"/>
      <c r="C43" s="10"/>
      <c r="D43" s="10"/>
      <c r="E43" s="10"/>
      <c r="F43" s="10"/>
      <c r="G43" s="10"/>
      <c r="H43" s="10"/>
      <c r="I43" s="10"/>
      <c r="J43" s="11"/>
      <c r="K43" s="10"/>
      <c r="L43" s="11"/>
    </row>
    <row r="44" spans="1:12">
      <c r="A44" s="10"/>
      <c r="B44" s="10"/>
      <c r="C44" s="10"/>
      <c r="D44" s="10"/>
      <c r="E44" s="10"/>
      <c r="F44" s="10"/>
      <c r="G44" s="10"/>
      <c r="H44" s="10"/>
      <c r="I44" s="10"/>
      <c r="J44" s="11"/>
      <c r="K44" s="10"/>
      <c r="L44" s="11"/>
    </row>
    <row r="45" spans="1:12">
      <c r="A45" s="10"/>
      <c r="B45" s="10"/>
      <c r="C45" s="10"/>
      <c r="D45" s="10"/>
      <c r="E45" s="10"/>
      <c r="F45" s="10"/>
      <c r="G45" s="10"/>
      <c r="H45" s="10"/>
      <c r="I45" s="10"/>
      <c r="J45" s="11"/>
      <c r="K45" s="10"/>
      <c r="L45" s="11"/>
    </row>
    <row r="46" spans="1:12">
      <c r="A46" s="10"/>
      <c r="B46" s="10"/>
      <c r="C46" s="10"/>
      <c r="D46" s="10"/>
      <c r="E46" s="10"/>
      <c r="F46" s="10"/>
      <c r="G46" s="10"/>
      <c r="H46" s="10"/>
      <c r="I46" s="10"/>
      <c r="J46" s="11"/>
      <c r="K46" s="10"/>
      <c r="L46" s="11"/>
    </row>
    <row r="47" spans="1:12">
      <c r="A47" s="10"/>
      <c r="B47" s="10"/>
      <c r="C47" s="10"/>
      <c r="D47" s="10"/>
      <c r="E47" s="10"/>
      <c r="F47" s="10"/>
      <c r="G47" s="10"/>
      <c r="H47" s="10"/>
      <c r="I47" s="10"/>
      <c r="J47" s="11"/>
      <c r="K47" s="10"/>
      <c r="L47" s="11"/>
    </row>
    <row r="48" spans="1:12">
      <c r="A48" s="10"/>
      <c r="B48" s="10"/>
      <c r="C48" s="10"/>
      <c r="D48" s="10"/>
      <c r="E48" s="10"/>
      <c r="F48" s="10"/>
      <c r="G48" s="10"/>
      <c r="H48" s="10"/>
      <c r="I48" s="10"/>
      <c r="J48" s="11"/>
      <c r="K48" s="10"/>
      <c r="L48" s="11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  <c r="J49" s="11"/>
      <c r="K49" s="10"/>
      <c r="L49" s="11"/>
    </row>
    <row r="50" spans="1:12">
      <c r="A50" s="10"/>
      <c r="B50" s="10"/>
      <c r="C50" s="10"/>
      <c r="D50" s="10"/>
      <c r="E50" s="10"/>
      <c r="F50" s="10"/>
      <c r="G50" s="10"/>
      <c r="H50" s="10"/>
      <c r="I50" s="10"/>
      <c r="J50" s="11"/>
      <c r="K50" s="10"/>
      <c r="L50" s="11"/>
    </row>
    <row r="51" spans="1:12">
      <c r="A51" s="10"/>
      <c r="B51" s="10"/>
      <c r="C51" s="10"/>
      <c r="D51" s="10"/>
      <c r="E51" s="10"/>
      <c r="F51" s="10"/>
      <c r="G51" s="10"/>
      <c r="H51" s="10"/>
      <c r="I51" s="10"/>
      <c r="J51" s="11"/>
      <c r="K51" s="10"/>
      <c r="L51" s="11"/>
    </row>
    <row r="52" spans="1:12">
      <c r="A52" s="10"/>
      <c r="B52" s="10"/>
      <c r="C52" s="10"/>
      <c r="D52" s="10"/>
      <c r="E52" s="10"/>
      <c r="F52" s="10"/>
      <c r="G52" s="10"/>
      <c r="H52" s="10"/>
      <c r="I52" s="10"/>
      <c r="J52" s="11"/>
      <c r="K52" s="10"/>
      <c r="L52" s="11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1"/>
      <c r="K53" s="10"/>
      <c r="L53" s="11"/>
    </row>
    <row r="54" spans="1:12">
      <c r="A54" s="10"/>
      <c r="B54" s="10"/>
      <c r="C54" s="10"/>
      <c r="D54" s="10"/>
      <c r="E54" s="10"/>
      <c r="F54" s="10"/>
      <c r="G54" s="10"/>
      <c r="H54" s="10"/>
      <c r="I54" s="10"/>
      <c r="J54" s="11"/>
      <c r="K54" s="10"/>
      <c r="L54" s="11"/>
    </row>
    <row r="55" spans="1:12">
      <c r="A55" s="10"/>
      <c r="B55" s="10"/>
      <c r="C55" s="10"/>
      <c r="D55" s="10"/>
      <c r="E55" s="10"/>
      <c r="F55" s="10"/>
      <c r="G55" s="10"/>
      <c r="H55" s="10"/>
      <c r="I55" s="10"/>
      <c r="J55" s="11"/>
      <c r="K55" s="10"/>
      <c r="L55" s="11"/>
    </row>
    <row r="56" spans="1:12">
      <c r="A56" s="10"/>
      <c r="B56" s="10"/>
      <c r="C56" s="10"/>
      <c r="D56" s="10"/>
      <c r="E56" s="10"/>
      <c r="F56" s="10"/>
      <c r="G56" s="10"/>
      <c r="H56" s="10"/>
      <c r="I56" s="10"/>
      <c r="J56" s="11"/>
      <c r="K56" s="10"/>
      <c r="L56" s="11"/>
    </row>
    <row r="57" spans="1:12">
      <c r="A57" s="10"/>
      <c r="B57" s="10"/>
      <c r="C57" s="10"/>
      <c r="D57" s="10"/>
      <c r="E57" s="10"/>
      <c r="F57" s="10"/>
      <c r="G57" s="10"/>
      <c r="H57" s="10"/>
      <c r="I57" s="10"/>
      <c r="J57" s="11"/>
      <c r="K57" s="10"/>
      <c r="L57" s="11"/>
    </row>
    <row r="58" spans="1:12">
      <c r="A58" s="10"/>
      <c r="B58" s="10"/>
      <c r="C58" s="10"/>
      <c r="D58" s="10"/>
      <c r="E58" s="10"/>
      <c r="F58" s="10"/>
      <c r="G58" s="10"/>
      <c r="H58" s="10"/>
      <c r="I58" s="10"/>
      <c r="J58" s="11"/>
      <c r="K58" s="10"/>
      <c r="L58" s="11"/>
    </row>
    <row r="59" spans="1:12">
      <c r="A59" s="10"/>
      <c r="B59" s="10"/>
      <c r="C59" s="10"/>
      <c r="D59" s="10"/>
      <c r="E59" s="10"/>
      <c r="F59" s="10"/>
      <c r="G59" s="10"/>
      <c r="H59" s="10"/>
      <c r="I59" s="10"/>
      <c r="J59" s="11"/>
      <c r="K59" s="10"/>
      <c r="L59" s="11"/>
    </row>
    <row r="60" spans="1:12">
      <c r="A60" s="10"/>
      <c r="B60" s="10"/>
      <c r="C60" s="10"/>
      <c r="D60" s="10"/>
      <c r="E60" s="10"/>
      <c r="F60" s="10"/>
      <c r="G60" s="10"/>
      <c r="H60" s="10"/>
      <c r="I60" s="10"/>
      <c r="J60" s="11"/>
      <c r="K60" s="10"/>
      <c r="L60" s="11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  <c r="J61" s="11"/>
      <c r="K61" s="10"/>
      <c r="L61" s="11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  <c r="J62" s="11"/>
      <c r="K62" s="10"/>
      <c r="L62" s="11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  <c r="J63" s="11"/>
      <c r="K63" s="10"/>
      <c r="L63" s="11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  <c r="J64" s="11"/>
      <c r="K64" s="10"/>
      <c r="L64" s="11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  <c r="J65" s="11"/>
      <c r="K65" s="10"/>
      <c r="L65" s="11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  <c r="J66" s="11"/>
      <c r="K66" s="10"/>
      <c r="L66" s="11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  <c r="J67" s="11"/>
      <c r="K67" s="10"/>
      <c r="L67" s="11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  <c r="J68" s="11"/>
      <c r="K68" s="10"/>
      <c r="L68" s="11"/>
    </row>
    <row r="69" spans="1:12">
      <c r="A69" s="10"/>
      <c r="B69" s="10"/>
      <c r="C69" s="10"/>
      <c r="D69" s="10"/>
      <c r="E69" s="10"/>
      <c r="F69" s="10"/>
      <c r="G69" s="10"/>
      <c r="H69" s="10"/>
      <c r="I69" s="10"/>
      <c r="J69" s="11"/>
      <c r="K69" s="10"/>
      <c r="L69" s="11"/>
    </row>
    <row r="70" spans="1:12">
      <c r="A70" s="10"/>
      <c r="B70" s="10"/>
      <c r="C70" s="10"/>
      <c r="D70" s="10"/>
      <c r="E70" s="10"/>
      <c r="F70" s="10"/>
      <c r="G70" s="10"/>
      <c r="H70" s="10"/>
      <c r="I70" s="10"/>
      <c r="J70" s="11"/>
      <c r="K70" s="10"/>
      <c r="L70" s="11"/>
    </row>
    <row r="71" spans="1:12">
      <c r="A71" s="10"/>
      <c r="B71" s="10"/>
      <c r="C71" s="10"/>
      <c r="D71" s="10"/>
      <c r="E71" s="10"/>
      <c r="F71" s="10"/>
      <c r="G71" s="10"/>
      <c r="H71" s="10"/>
      <c r="I71" s="10"/>
      <c r="J71" s="11"/>
      <c r="K71" s="10"/>
      <c r="L71" s="11"/>
    </row>
    <row r="72" spans="1:12">
      <c r="A72" s="10"/>
      <c r="B72" s="10"/>
      <c r="C72" s="10"/>
      <c r="D72" s="10"/>
      <c r="E72" s="10"/>
      <c r="F72" s="10"/>
      <c r="G72" s="10"/>
      <c r="H72" s="10"/>
      <c r="I72" s="10"/>
      <c r="J72" s="11"/>
      <c r="K72" s="10"/>
      <c r="L72" s="11"/>
    </row>
    <row r="73" spans="1:12">
      <c r="A73" s="10"/>
      <c r="B73" s="10"/>
      <c r="C73" s="10"/>
      <c r="D73" s="10"/>
      <c r="E73" s="10"/>
      <c r="F73" s="10"/>
      <c r="G73" s="10"/>
      <c r="H73" s="10"/>
      <c r="I73" s="10"/>
      <c r="J73" s="11"/>
      <c r="K73" s="10"/>
      <c r="L73" s="11"/>
    </row>
    <row r="74" spans="1:12">
      <c r="A74" s="10"/>
      <c r="B74" s="10"/>
      <c r="C74" s="10"/>
      <c r="D74" s="10"/>
      <c r="E74" s="10"/>
      <c r="F74" s="10"/>
      <c r="G74" s="10"/>
      <c r="H74" s="10"/>
      <c r="I74" s="10"/>
      <c r="J74" s="11"/>
      <c r="K74" s="10"/>
      <c r="L74" s="11"/>
    </row>
    <row r="75" spans="1:12">
      <c r="A75" s="10"/>
      <c r="B75" s="10"/>
      <c r="C75" s="10"/>
      <c r="D75" s="10"/>
      <c r="E75" s="10"/>
      <c r="F75" s="10"/>
      <c r="G75" s="10"/>
      <c r="H75" s="10"/>
      <c r="I75" s="10"/>
      <c r="J75" s="11"/>
      <c r="K75" s="10"/>
      <c r="L75" s="11"/>
    </row>
    <row r="76" spans="1:12">
      <c r="A76" s="10"/>
      <c r="B76" s="10"/>
      <c r="C76" s="10"/>
      <c r="D76" s="10"/>
      <c r="E76" s="10"/>
      <c r="F76" s="10"/>
      <c r="G76" s="10"/>
      <c r="H76" s="10"/>
      <c r="I76" s="10"/>
      <c r="J76" s="11"/>
      <c r="K76" s="10"/>
      <c r="L76" s="11"/>
    </row>
    <row r="77" spans="1:12">
      <c r="A77" s="10"/>
      <c r="B77" s="10"/>
      <c r="C77" s="10"/>
      <c r="D77" s="10"/>
      <c r="E77" s="10"/>
      <c r="F77" s="10"/>
      <c r="G77" s="10"/>
      <c r="H77" s="10"/>
      <c r="I77" s="10"/>
      <c r="J77" s="11"/>
      <c r="K77" s="10"/>
      <c r="L77" s="11"/>
    </row>
    <row r="78" spans="1:12">
      <c r="A78" s="10"/>
      <c r="B78" s="10"/>
      <c r="C78" s="10"/>
      <c r="D78" s="10"/>
      <c r="E78" s="10"/>
      <c r="F78" s="10"/>
      <c r="G78" s="10"/>
      <c r="H78" s="10"/>
      <c r="I78" s="10"/>
      <c r="J78" s="11"/>
      <c r="K78" s="10"/>
      <c r="L78" s="11"/>
    </row>
    <row r="79" spans="1:12">
      <c r="A79" s="10"/>
      <c r="B79" s="10"/>
      <c r="C79" s="10"/>
      <c r="D79" s="10"/>
      <c r="E79" s="10"/>
      <c r="F79" s="10"/>
      <c r="G79" s="10"/>
      <c r="H79" s="10"/>
      <c r="I79" s="10"/>
      <c r="J79" s="11"/>
      <c r="K79" s="10"/>
      <c r="L79" s="11"/>
    </row>
    <row r="80" spans="1:12">
      <c r="A80" s="10"/>
      <c r="B80" s="10"/>
      <c r="C80" s="10"/>
      <c r="D80" s="10"/>
      <c r="E80" s="10"/>
      <c r="F80" s="10"/>
      <c r="G80" s="10"/>
      <c r="H80" s="10"/>
      <c r="I80" s="10"/>
      <c r="J80" s="11"/>
      <c r="K80" s="10"/>
      <c r="L80" s="11"/>
    </row>
    <row r="81" spans="1:12">
      <c r="A81" s="10"/>
      <c r="B81" s="10"/>
      <c r="C81" s="10"/>
      <c r="D81" s="10"/>
      <c r="E81" s="10"/>
      <c r="F81" s="10"/>
      <c r="G81" s="10"/>
      <c r="H81" s="10"/>
      <c r="I81" s="10"/>
      <c r="J81" s="11"/>
      <c r="K81" s="10"/>
      <c r="L81" s="11"/>
    </row>
    <row r="82" spans="1:12">
      <c r="A82" s="10"/>
      <c r="B82" s="10"/>
      <c r="C82" s="10"/>
      <c r="D82" s="10"/>
      <c r="E82" s="10"/>
      <c r="F82" s="10"/>
      <c r="G82" s="10"/>
      <c r="H82" s="10"/>
      <c r="I82" s="10"/>
      <c r="J82" s="11"/>
      <c r="K82" s="10"/>
      <c r="L82" s="11"/>
    </row>
    <row r="83" spans="1:12">
      <c r="A83" s="10"/>
      <c r="B83" s="10"/>
      <c r="C83" s="10"/>
      <c r="D83" s="10"/>
      <c r="E83" s="10"/>
      <c r="F83" s="10"/>
      <c r="G83" s="10"/>
      <c r="H83" s="10"/>
      <c r="I83" s="10"/>
      <c r="J83" s="11"/>
      <c r="K83" s="10"/>
      <c r="L83" s="11"/>
    </row>
    <row r="84" spans="1:12">
      <c r="A84" s="10"/>
      <c r="B84" s="10"/>
      <c r="C84" s="10"/>
      <c r="D84" s="10"/>
      <c r="E84" s="10"/>
      <c r="F84" s="10"/>
      <c r="G84" s="10"/>
      <c r="H84" s="10"/>
      <c r="I84" s="10"/>
      <c r="J84" s="11"/>
      <c r="K84" s="10"/>
      <c r="L84" s="11"/>
    </row>
    <row r="85" spans="1:12">
      <c r="A85" s="10"/>
      <c r="B85" s="10"/>
      <c r="C85" s="10"/>
      <c r="D85" s="10"/>
      <c r="E85" s="10"/>
      <c r="F85" s="10"/>
      <c r="G85" s="10"/>
      <c r="H85" s="10"/>
      <c r="I85" s="10"/>
      <c r="J85" s="11"/>
      <c r="K85" s="10"/>
      <c r="L85" s="11"/>
    </row>
    <row r="86" spans="1:12">
      <c r="A86" s="10"/>
      <c r="B86" s="10"/>
      <c r="C86" s="10"/>
      <c r="D86" s="10"/>
      <c r="E86" s="10"/>
      <c r="F86" s="10"/>
      <c r="G86" s="10"/>
      <c r="H86" s="10"/>
      <c r="I86" s="10"/>
      <c r="J86" s="11"/>
      <c r="K86" s="10"/>
      <c r="L86" s="11"/>
    </row>
    <row r="87" spans="1:12">
      <c r="A87" s="10"/>
      <c r="B87" s="10"/>
      <c r="C87" s="10"/>
      <c r="D87" s="10"/>
      <c r="E87" s="10"/>
      <c r="F87" s="10"/>
      <c r="G87" s="10"/>
      <c r="H87" s="10"/>
      <c r="I87" s="10"/>
      <c r="J87" s="11"/>
      <c r="K87" s="10"/>
      <c r="L87" s="11"/>
    </row>
    <row r="88" spans="1:12">
      <c r="A88" s="10"/>
      <c r="B88" s="10"/>
      <c r="C88" s="10"/>
      <c r="D88" s="10"/>
      <c r="E88" s="10"/>
      <c r="F88" s="10"/>
      <c r="G88" s="10"/>
      <c r="H88" s="10"/>
      <c r="I88" s="10"/>
      <c r="J88" s="11"/>
      <c r="K88" s="10"/>
      <c r="L88" s="11"/>
    </row>
    <row r="89" spans="1:12">
      <c r="A89" s="10"/>
      <c r="B89" s="10"/>
      <c r="C89" s="10"/>
      <c r="D89" s="10"/>
      <c r="E89" s="10"/>
      <c r="F89" s="10"/>
      <c r="G89" s="10"/>
      <c r="H89" s="10"/>
      <c r="I89" s="10"/>
      <c r="J89" s="11"/>
      <c r="K89" s="10"/>
      <c r="L89" s="11"/>
    </row>
    <row r="90" spans="1:12">
      <c r="A90" s="10"/>
      <c r="B90" s="10"/>
      <c r="C90" s="10"/>
      <c r="D90" s="10"/>
      <c r="E90" s="10"/>
      <c r="F90" s="10"/>
      <c r="G90" s="10"/>
      <c r="H90" s="10"/>
      <c r="I90" s="10"/>
      <c r="J90" s="11"/>
      <c r="K90" s="10"/>
      <c r="L90" s="11"/>
    </row>
    <row r="91" spans="1:12">
      <c r="A91" s="10"/>
      <c r="B91" s="10"/>
      <c r="C91" s="10"/>
      <c r="D91" s="10"/>
      <c r="E91" s="10"/>
      <c r="F91" s="10"/>
      <c r="G91" s="10"/>
      <c r="H91" s="10"/>
      <c r="I91" s="10"/>
      <c r="J91" s="11"/>
      <c r="K91" s="10"/>
      <c r="L91" s="11"/>
    </row>
    <row r="92" spans="1:12">
      <c r="A92" s="10"/>
      <c r="B92" s="10"/>
      <c r="C92" s="10"/>
      <c r="D92" s="10"/>
      <c r="E92" s="10"/>
      <c r="F92" s="10"/>
      <c r="G92" s="10"/>
      <c r="H92" s="10"/>
      <c r="I92" s="10"/>
      <c r="J92" s="11"/>
      <c r="K92" s="10"/>
      <c r="L92" s="11"/>
    </row>
    <row r="93" spans="1:12">
      <c r="A93" s="10"/>
      <c r="B93" s="10"/>
      <c r="C93" s="10"/>
      <c r="D93" s="10"/>
      <c r="E93" s="10"/>
      <c r="F93" s="10"/>
      <c r="G93" s="10"/>
      <c r="H93" s="10"/>
      <c r="I93" s="10"/>
      <c r="J93" s="11"/>
      <c r="K93" s="10"/>
      <c r="L93" s="11"/>
    </row>
    <row r="94" spans="1:12">
      <c r="A94" s="10"/>
      <c r="B94" s="10"/>
      <c r="C94" s="10"/>
      <c r="D94" s="10"/>
      <c r="E94" s="10"/>
      <c r="F94" s="10"/>
      <c r="G94" s="10"/>
      <c r="H94" s="10"/>
      <c r="I94" s="10"/>
      <c r="J94" s="11"/>
      <c r="K94" s="10"/>
      <c r="L94" s="11"/>
    </row>
    <row r="95" spans="1:12">
      <c r="A95" s="10"/>
      <c r="B95" s="10"/>
      <c r="C95" s="10"/>
      <c r="D95" s="10"/>
      <c r="E95" s="10"/>
      <c r="F95" s="10"/>
      <c r="G95" s="10"/>
      <c r="H95" s="10"/>
      <c r="I95" s="10"/>
      <c r="J95" s="11"/>
      <c r="K95" s="10"/>
      <c r="L95" s="11"/>
    </row>
    <row r="96" spans="1:12">
      <c r="A96" s="10"/>
      <c r="B96" s="10"/>
      <c r="C96" s="10"/>
      <c r="D96" s="10"/>
      <c r="E96" s="10"/>
      <c r="F96" s="10"/>
      <c r="G96" s="10"/>
      <c r="H96" s="10"/>
      <c r="I96" s="10"/>
      <c r="J96" s="11"/>
      <c r="K96" s="10"/>
      <c r="L96" s="11"/>
    </row>
    <row r="97" spans="1:12">
      <c r="A97" s="10"/>
      <c r="B97" s="10"/>
      <c r="C97" s="10"/>
      <c r="D97" s="10"/>
      <c r="E97" s="10"/>
      <c r="F97" s="10"/>
      <c r="G97" s="10"/>
      <c r="H97" s="10"/>
      <c r="I97" s="10"/>
      <c r="J97" s="11"/>
      <c r="K97" s="10"/>
      <c r="L97" s="11"/>
    </row>
    <row r="98" spans="1:12">
      <c r="A98" s="10"/>
      <c r="B98" s="10"/>
      <c r="C98" s="10"/>
      <c r="D98" s="10"/>
      <c r="E98" s="10"/>
      <c r="F98" s="10"/>
      <c r="G98" s="10"/>
      <c r="H98" s="10"/>
      <c r="I98" s="10"/>
      <c r="J98" s="11"/>
      <c r="K98" s="10"/>
      <c r="L98" s="11"/>
    </row>
    <row r="99" spans="1:12">
      <c r="A99" s="10"/>
      <c r="B99" s="10"/>
      <c r="C99" s="10"/>
      <c r="D99" s="10"/>
      <c r="E99" s="10"/>
      <c r="F99" s="10"/>
      <c r="G99" s="10"/>
      <c r="H99" s="10"/>
      <c r="I99" s="10"/>
      <c r="J99" s="11"/>
      <c r="K99" s="10"/>
      <c r="L99" s="11"/>
    </row>
    <row r="100" spans="1:12">
      <c r="A100" s="10"/>
      <c r="B100" s="10"/>
      <c r="C100" s="10"/>
      <c r="D100" s="10"/>
      <c r="E100" s="10"/>
      <c r="F100" s="10"/>
      <c r="G100" s="10"/>
      <c r="H100" s="10"/>
      <c r="I100" s="10"/>
      <c r="J100" s="11"/>
      <c r="K100" s="10"/>
      <c r="L100" s="11"/>
    </row>
    <row r="101" spans="1:12">
      <c r="A101" s="10"/>
      <c r="B101" s="10"/>
      <c r="C101" s="10"/>
      <c r="D101" s="10"/>
      <c r="E101" s="10"/>
      <c r="F101" s="10"/>
      <c r="G101" s="10"/>
      <c r="H101" s="10"/>
      <c r="I101" s="10"/>
      <c r="J101" s="11"/>
      <c r="K101" s="10"/>
      <c r="L101" s="11"/>
    </row>
    <row r="102" spans="1:12">
      <c r="A102" s="10"/>
      <c r="B102" s="10"/>
      <c r="C102" s="10"/>
      <c r="D102" s="10"/>
      <c r="E102" s="10"/>
      <c r="F102" s="10"/>
      <c r="G102" s="10"/>
      <c r="H102" s="10"/>
      <c r="I102" s="10"/>
      <c r="J102" s="11"/>
      <c r="K102" s="10"/>
      <c r="L102" s="11"/>
    </row>
    <row r="103" spans="1:12">
      <c r="A103" s="10"/>
      <c r="B103" s="10"/>
      <c r="C103" s="10"/>
      <c r="D103" s="10"/>
      <c r="E103" s="10"/>
      <c r="F103" s="10"/>
      <c r="G103" s="10"/>
      <c r="H103" s="10"/>
      <c r="I103" s="10"/>
      <c r="J103" s="11"/>
      <c r="K103" s="10"/>
      <c r="L103" s="11"/>
    </row>
    <row r="104" spans="1:12">
      <c r="A104" s="10"/>
      <c r="B104" s="10"/>
      <c r="C104" s="10"/>
      <c r="D104" s="10"/>
      <c r="E104" s="10"/>
      <c r="F104" s="10"/>
      <c r="G104" s="10"/>
      <c r="H104" s="10"/>
      <c r="I104" s="10"/>
      <c r="J104" s="11"/>
      <c r="K104" s="10"/>
      <c r="L104" s="11"/>
    </row>
    <row r="105" spans="1:12">
      <c r="A105" s="10"/>
      <c r="B105" s="10"/>
      <c r="C105" s="10"/>
      <c r="D105" s="10"/>
      <c r="E105" s="10"/>
      <c r="F105" s="10"/>
      <c r="G105" s="10"/>
      <c r="H105" s="10"/>
      <c r="I105" s="10"/>
      <c r="J105" s="11"/>
      <c r="K105" s="10"/>
      <c r="L105" s="11"/>
    </row>
    <row r="106" spans="1:12">
      <c r="A106" s="10"/>
      <c r="B106" s="10"/>
      <c r="C106" s="10"/>
      <c r="D106" s="10"/>
      <c r="E106" s="10"/>
      <c r="F106" s="10"/>
      <c r="G106" s="10"/>
      <c r="H106" s="10"/>
      <c r="I106" s="10"/>
      <c r="J106" s="11"/>
      <c r="K106" s="10"/>
      <c r="L106" s="11"/>
    </row>
    <row r="107" spans="1:12">
      <c r="A107" s="10"/>
      <c r="B107" s="10"/>
      <c r="C107" s="10"/>
      <c r="D107" s="10"/>
      <c r="E107" s="10"/>
      <c r="F107" s="10"/>
      <c r="G107" s="10"/>
      <c r="H107" s="10"/>
      <c r="I107" s="10"/>
      <c r="J107" s="11"/>
      <c r="K107" s="10"/>
      <c r="L107" s="11"/>
    </row>
    <row r="108" spans="1:12">
      <c r="A108" s="10"/>
      <c r="B108" s="10"/>
      <c r="C108" s="10"/>
      <c r="D108" s="10"/>
      <c r="E108" s="10"/>
      <c r="F108" s="10"/>
      <c r="G108" s="10"/>
      <c r="H108" s="10"/>
      <c r="I108" s="10"/>
      <c r="J108" s="11"/>
      <c r="K108" s="10"/>
      <c r="L108" s="11"/>
    </row>
    <row r="109" spans="1:12">
      <c r="A109" s="10"/>
      <c r="B109" s="10"/>
      <c r="C109" s="10"/>
      <c r="D109" s="10"/>
      <c r="E109" s="10"/>
      <c r="F109" s="10"/>
      <c r="G109" s="10"/>
      <c r="H109" s="10"/>
      <c r="I109" s="10"/>
      <c r="J109" s="11"/>
      <c r="K109" s="10"/>
      <c r="L109" s="11"/>
    </row>
    <row r="110" spans="1:12">
      <c r="A110" s="10"/>
      <c r="B110" s="10"/>
      <c r="C110" s="10"/>
      <c r="D110" s="10"/>
      <c r="E110" s="10"/>
      <c r="F110" s="10"/>
      <c r="G110" s="10"/>
      <c r="H110" s="10"/>
      <c r="I110" s="10"/>
      <c r="J110" s="11"/>
      <c r="K110" s="10"/>
      <c r="L110" s="11"/>
    </row>
    <row r="111" spans="1:12">
      <c r="A111" s="10"/>
      <c r="B111" s="10"/>
      <c r="C111" s="10"/>
      <c r="D111" s="10"/>
      <c r="E111" s="10"/>
      <c r="F111" s="10"/>
      <c r="G111" s="10"/>
      <c r="H111" s="10"/>
      <c r="I111" s="10"/>
      <c r="J111" s="11"/>
      <c r="K111" s="10"/>
      <c r="L111" s="11"/>
    </row>
    <row r="112" spans="1:12">
      <c r="A112" s="10"/>
      <c r="B112" s="10"/>
      <c r="C112" s="10"/>
      <c r="D112" s="10"/>
      <c r="E112" s="10"/>
      <c r="F112" s="10"/>
      <c r="G112" s="10"/>
      <c r="H112" s="10"/>
      <c r="I112" s="10"/>
      <c r="J112" s="11"/>
      <c r="K112" s="10"/>
      <c r="L112" s="11"/>
    </row>
    <row r="113" spans="1:12">
      <c r="A113" s="10"/>
      <c r="B113" s="10"/>
      <c r="C113" s="10"/>
      <c r="D113" s="10"/>
      <c r="E113" s="10"/>
      <c r="F113" s="10"/>
      <c r="G113" s="10"/>
      <c r="H113" s="10"/>
      <c r="I113" s="10"/>
      <c r="J113" s="11"/>
      <c r="K113" s="10"/>
      <c r="L113" s="11"/>
    </row>
    <row r="114" spans="1:12">
      <c r="A114" s="10"/>
      <c r="B114" s="10"/>
      <c r="C114" s="10"/>
      <c r="D114" s="10"/>
      <c r="E114" s="10"/>
      <c r="F114" s="10"/>
      <c r="G114" s="10"/>
      <c r="H114" s="10"/>
      <c r="I114" s="10"/>
      <c r="J114" s="11"/>
      <c r="K114" s="10"/>
      <c r="L114" s="11"/>
    </row>
    <row r="115" spans="1:12">
      <c r="A115" s="10"/>
      <c r="B115" s="10"/>
      <c r="C115" s="10"/>
      <c r="D115" s="10"/>
      <c r="E115" s="10"/>
      <c r="F115" s="10"/>
      <c r="G115" s="10"/>
      <c r="H115" s="10"/>
      <c r="I115" s="10"/>
      <c r="J115" s="11"/>
      <c r="K115" s="10"/>
      <c r="L115" s="11"/>
    </row>
    <row r="116" spans="1:12">
      <c r="A116" s="10"/>
      <c r="B116" s="10"/>
      <c r="C116" s="10"/>
      <c r="D116" s="10"/>
      <c r="E116" s="10"/>
      <c r="F116" s="10"/>
      <c r="G116" s="10"/>
      <c r="H116" s="10"/>
      <c r="I116" s="10"/>
      <c r="J116" s="11"/>
      <c r="K116" s="10"/>
      <c r="L116" s="11"/>
    </row>
    <row r="117" spans="1:12">
      <c r="A117" s="10"/>
      <c r="B117" s="10"/>
      <c r="C117" s="10"/>
      <c r="D117" s="10"/>
      <c r="E117" s="10"/>
      <c r="F117" s="10"/>
      <c r="G117" s="10"/>
      <c r="H117" s="10"/>
      <c r="I117" s="10"/>
      <c r="J117" s="11"/>
      <c r="K117" s="10"/>
      <c r="L117" s="11"/>
    </row>
    <row r="118" spans="1:12">
      <c r="A118" s="10"/>
      <c r="B118" s="10"/>
      <c r="C118" s="10"/>
      <c r="D118" s="10"/>
      <c r="E118" s="10"/>
      <c r="F118" s="10"/>
      <c r="G118" s="10"/>
      <c r="H118" s="10"/>
      <c r="I118" s="10"/>
      <c r="J118" s="11"/>
      <c r="K118" s="10"/>
      <c r="L118" s="11"/>
    </row>
    <row r="119" spans="1:12">
      <c r="A119" s="10"/>
      <c r="B119" s="10"/>
      <c r="C119" s="10"/>
      <c r="D119" s="10"/>
      <c r="E119" s="10"/>
      <c r="F119" s="10"/>
      <c r="G119" s="10"/>
      <c r="H119" s="10"/>
      <c r="I119" s="10"/>
      <c r="J119" s="11"/>
      <c r="K119" s="10"/>
      <c r="L119" s="11"/>
    </row>
    <row r="120" spans="1:12">
      <c r="A120" s="10"/>
      <c r="B120" s="10"/>
      <c r="C120" s="10"/>
      <c r="D120" s="10"/>
      <c r="E120" s="10"/>
      <c r="F120" s="10"/>
      <c r="G120" s="10"/>
      <c r="H120" s="10"/>
      <c r="I120" s="10"/>
      <c r="J120" s="11"/>
      <c r="K120" s="10"/>
      <c r="L120" s="11"/>
    </row>
    <row r="121" spans="1:12">
      <c r="A121" s="10"/>
      <c r="B121" s="10"/>
      <c r="C121" s="10"/>
      <c r="D121" s="10"/>
      <c r="E121" s="10"/>
      <c r="F121" s="10"/>
      <c r="G121" s="10"/>
      <c r="H121" s="10"/>
      <c r="I121" s="10"/>
      <c r="J121" s="11"/>
      <c r="K121" s="10"/>
      <c r="L121" s="11"/>
    </row>
    <row r="122" spans="1:12">
      <c r="A122" s="10"/>
      <c r="B122" s="10"/>
      <c r="C122" s="10"/>
      <c r="D122" s="10"/>
      <c r="E122" s="10"/>
      <c r="F122" s="10"/>
      <c r="G122" s="10"/>
      <c r="H122" s="10"/>
      <c r="I122" s="10"/>
      <c r="J122" s="11"/>
      <c r="K122" s="10"/>
      <c r="L122" s="11"/>
    </row>
    <row r="123" spans="1:12">
      <c r="A123" s="10"/>
      <c r="B123" s="10"/>
      <c r="C123" s="10"/>
      <c r="D123" s="10"/>
      <c r="E123" s="10"/>
      <c r="F123" s="10"/>
      <c r="G123" s="10"/>
      <c r="H123" s="10"/>
      <c r="I123" s="10"/>
      <c r="J123" s="11"/>
      <c r="K123" s="10"/>
      <c r="L123" s="11"/>
    </row>
    <row r="124" spans="1:12">
      <c r="A124" s="10"/>
      <c r="B124" s="10"/>
      <c r="C124" s="10"/>
      <c r="D124" s="10"/>
      <c r="E124" s="10"/>
      <c r="F124" s="10"/>
      <c r="G124" s="10"/>
      <c r="H124" s="10"/>
      <c r="I124" s="10"/>
      <c r="J124" s="11"/>
      <c r="K124" s="10"/>
      <c r="L124" s="11"/>
    </row>
    <row r="125" spans="1:12">
      <c r="A125" s="10"/>
      <c r="B125" s="10"/>
      <c r="C125" s="10"/>
      <c r="D125" s="10"/>
      <c r="E125" s="10"/>
      <c r="F125" s="10"/>
      <c r="G125" s="10"/>
      <c r="H125" s="10"/>
      <c r="I125" s="10"/>
      <c r="J125" s="11"/>
      <c r="K125" s="10"/>
      <c r="L125" s="11"/>
    </row>
    <row r="126" spans="1:12">
      <c r="A126" s="10"/>
      <c r="B126" s="10"/>
      <c r="C126" s="10"/>
      <c r="D126" s="10"/>
      <c r="E126" s="10"/>
      <c r="F126" s="10"/>
      <c r="G126" s="10"/>
      <c r="H126" s="10"/>
      <c r="I126" s="10"/>
      <c r="J126" s="11"/>
      <c r="K126" s="10"/>
      <c r="L126" s="11"/>
    </row>
    <row r="127" spans="1:12">
      <c r="A127" s="10"/>
      <c r="B127" s="10"/>
      <c r="C127" s="10"/>
      <c r="D127" s="10"/>
      <c r="E127" s="10"/>
      <c r="F127" s="10"/>
      <c r="G127" s="10"/>
      <c r="H127" s="10"/>
      <c r="I127" s="10"/>
      <c r="J127" s="11"/>
      <c r="K127" s="10"/>
      <c r="L127" s="11"/>
    </row>
    <row r="128" spans="1:12">
      <c r="A128" s="10"/>
      <c r="B128" s="10"/>
      <c r="C128" s="10"/>
      <c r="D128" s="10"/>
      <c r="E128" s="10"/>
      <c r="F128" s="10"/>
      <c r="G128" s="10"/>
      <c r="H128" s="10"/>
      <c r="I128" s="10"/>
      <c r="J128" s="11"/>
      <c r="K128" s="10"/>
      <c r="L128" s="11"/>
    </row>
    <row r="129" spans="1:12">
      <c r="A129" s="10"/>
      <c r="B129" s="10"/>
      <c r="C129" s="10"/>
      <c r="D129" s="10"/>
      <c r="E129" s="10"/>
      <c r="F129" s="10"/>
      <c r="G129" s="10"/>
      <c r="H129" s="10"/>
      <c r="I129" s="10"/>
      <c r="J129" s="11"/>
      <c r="K129" s="10"/>
      <c r="L129" s="11"/>
    </row>
    <row r="130" spans="1:12">
      <c r="A130" s="10"/>
      <c r="B130" s="10"/>
      <c r="C130" s="10"/>
      <c r="D130" s="10"/>
      <c r="E130" s="10"/>
      <c r="F130" s="10"/>
      <c r="G130" s="10"/>
      <c r="H130" s="10"/>
      <c r="I130" s="10"/>
      <c r="J130" s="11"/>
      <c r="K130" s="10"/>
      <c r="L130" s="11"/>
    </row>
    <row r="131" spans="1:12">
      <c r="A131" s="10"/>
      <c r="B131" s="10"/>
      <c r="C131" s="10"/>
      <c r="D131" s="10"/>
      <c r="E131" s="10"/>
      <c r="F131" s="10"/>
      <c r="G131" s="10"/>
      <c r="H131" s="10"/>
      <c r="I131" s="10"/>
      <c r="J131" s="11"/>
      <c r="K131" s="10"/>
      <c r="L131" s="11"/>
    </row>
    <row r="132" spans="1:12">
      <c r="A132" s="10"/>
      <c r="B132" s="10"/>
      <c r="C132" s="10"/>
      <c r="D132" s="10"/>
      <c r="E132" s="10"/>
      <c r="F132" s="10"/>
      <c r="G132" s="10"/>
      <c r="H132" s="10"/>
      <c r="I132" s="10"/>
      <c r="J132" s="11"/>
      <c r="K132" s="10"/>
      <c r="L132" s="11"/>
    </row>
    <row r="133" spans="1:12">
      <c r="A133" s="10"/>
      <c r="B133" s="10"/>
      <c r="C133" s="10"/>
      <c r="D133" s="10"/>
      <c r="E133" s="10"/>
      <c r="F133" s="10"/>
      <c r="G133" s="10"/>
      <c r="H133" s="10"/>
      <c r="I133" s="10"/>
      <c r="J133" s="11"/>
      <c r="K133" s="10"/>
      <c r="L133" s="11"/>
    </row>
    <row r="134" spans="1:12">
      <c r="A134" s="10"/>
      <c r="B134" s="10"/>
      <c r="C134" s="10"/>
      <c r="D134" s="10"/>
      <c r="E134" s="10"/>
      <c r="F134" s="10"/>
      <c r="G134" s="10"/>
      <c r="H134" s="10"/>
      <c r="I134" s="10"/>
      <c r="J134" s="11"/>
      <c r="K134" s="10"/>
      <c r="L134" s="11"/>
    </row>
    <row r="135" spans="1:12">
      <c r="A135" s="10"/>
      <c r="B135" s="10"/>
      <c r="C135" s="10"/>
      <c r="D135" s="10"/>
      <c r="E135" s="10"/>
      <c r="F135" s="10"/>
      <c r="G135" s="10"/>
      <c r="H135" s="10"/>
      <c r="I135" s="10"/>
      <c r="J135" s="11"/>
      <c r="K135" s="10"/>
      <c r="L135" s="11"/>
    </row>
    <row r="136" spans="1:12">
      <c r="A136" s="10"/>
      <c r="B136" s="10"/>
      <c r="C136" s="10"/>
      <c r="D136" s="10"/>
      <c r="E136" s="10"/>
      <c r="F136" s="10"/>
      <c r="G136" s="10"/>
      <c r="H136" s="10"/>
      <c r="I136" s="10"/>
      <c r="J136" s="11"/>
      <c r="K136" s="10"/>
      <c r="L136" s="11"/>
    </row>
    <row r="137" spans="1:12">
      <c r="A137" s="10"/>
      <c r="B137" s="10"/>
      <c r="C137" s="10"/>
      <c r="D137" s="10"/>
      <c r="E137" s="10"/>
      <c r="F137" s="10"/>
      <c r="G137" s="10"/>
      <c r="H137" s="10"/>
      <c r="I137" s="10"/>
      <c r="J137" s="11"/>
      <c r="K137" s="10"/>
      <c r="L137" s="11"/>
    </row>
    <row r="138" spans="1:12">
      <c r="A138" s="10"/>
      <c r="B138" s="10"/>
      <c r="C138" s="10"/>
      <c r="D138" s="10"/>
      <c r="E138" s="10"/>
      <c r="F138" s="10"/>
      <c r="G138" s="10"/>
      <c r="H138" s="10"/>
      <c r="I138" s="10"/>
      <c r="J138" s="11"/>
      <c r="K138" s="10"/>
      <c r="L138" s="11"/>
    </row>
    <row r="139" spans="1:12">
      <c r="A139" s="10"/>
      <c r="B139" s="10"/>
      <c r="C139" s="10"/>
      <c r="D139" s="10"/>
      <c r="E139" s="10"/>
      <c r="F139" s="10"/>
      <c r="G139" s="10"/>
      <c r="H139" s="10"/>
      <c r="I139" s="10"/>
      <c r="J139" s="11"/>
      <c r="K139" s="10"/>
      <c r="L139" s="11"/>
    </row>
    <row r="140" spans="1:12">
      <c r="A140" s="10"/>
      <c r="B140" s="10"/>
      <c r="C140" s="10"/>
      <c r="D140" s="10"/>
      <c r="E140" s="10"/>
      <c r="F140" s="10"/>
      <c r="G140" s="10"/>
      <c r="H140" s="10"/>
      <c r="I140" s="10"/>
      <c r="J140" s="11"/>
      <c r="K140" s="10"/>
      <c r="L140" s="11"/>
    </row>
    <row r="141" spans="1:12">
      <c r="A141" s="10"/>
      <c r="B141" s="10"/>
      <c r="C141" s="10"/>
      <c r="D141" s="10"/>
      <c r="E141" s="10"/>
      <c r="F141" s="10"/>
      <c r="G141" s="10"/>
      <c r="H141" s="10"/>
      <c r="I141" s="10"/>
      <c r="J141" s="11"/>
      <c r="K141" s="10"/>
      <c r="L141" s="11"/>
    </row>
    <row r="142" spans="1:12">
      <c r="A142" s="10"/>
      <c r="B142" s="10"/>
      <c r="C142" s="10"/>
      <c r="D142" s="10"/>
      <c r="E142" s="10"/>
      <c r="F142" s="10"/>
      <c r="G142" s="10"/>
      <c r="H142" s="10"/>
      <c r="I142" s="10"/>
      <c r="J142" s="11"/>
      <c r="K142" s="10"/>
      <c r="L142" s="11"/>
    </row>
    <row r="143" spans="1:12">
      <c r="A143" s="10"/>
      <c r="B143" s="10"/>
      <c r="C143" s="10"/>
      <c r="D143" s="10"/>
      <c r="E143" s="10"/>
      <c r="F143" s="10"/>
      <c r="G143" s="10"/>
      <c r="H143" s="10"/>
      <c r="I143" s="10"/>
      <c r="J143" s="11"/>
      <c r="K143" s="10"/>
      <c r="L143" s="11"/>
    </row>
    <row r="144" spans="1:12">
      <c r="A144" s="10"/>
      <c r="B144" s="10"/>
      <c r="C144" s="10"/>
      <c r="D144" s="10"/>
      <c r="E144" s="10"/>
      <c r="F144" s="10"/>
      <c r="G144" s="10"/>
      <c r="H144" s="10"/>
      <c r="I144" s="10"/>
      <c r="J144" s="11"/>
      <c r="K144" s="10"/>
      <c r="L144" s="11"/>
    </row>
    <row r="145" spans="1:12">
      <c r="A145" s="10"/>
      <c r="B145" s="10"/>
      <c r="C145" s="10"/>
      <c r="D145" s="10"/>
      <c r="E145" s="10"/>
      <c r="F145" s="10"/>
      <c r="G145" s="10"/>
      <c r="H145" s="10"/>
      <c r="I145" s="10"/>
      <c r="J145" s="11"/>
      <c r="K145" s="10"/>
      <c r="L145" s="11"/>
    </row>
    <row r="146" spans="1:12">
      <c r="A146" s="10"/>
      <c r="B146" s="10"/>
      <c r="C146" s="10"/>
      <c r="D146" s="10"/>
      <c r="E146" s="10"/>
      <c r="F146" s="10"/>
      <c r="G146" s="10"/>
      <c r="H146" s="10"/>
      <c r="I146" s="10"/>
      <c r="J146" s="11"/>
      <c r="K146" s="10"/>
      <c r="L146" s="11"/>
    </row>
    <row r="147" spans="1:12">
      <c r="A147" s="10"/>
      <c r="B147" s="10"/>
      <c r="C147" s="10"/>
      <c r="D147" s="10"/>
      <c r="E147" s="10"/>
      <c r="F147" s="10"/>
      <c r="G147" s="10"/>
      <c r="H147" s="10"/>
      <c r="I147" s="10"/>
      <c r="J147" s="11"/>
      <c r="K147" s="10"/>
      <c r="L147" s="11"/>
    </row>
    <row r="148" spans="1:12">
      <c r="A148" s="10"/>
      <c r="B148" s="10"/>
      <c r="C148" s="10"/>
      <c r="D148" s="10"/>
      <c r="E148" s="10"/>
      <c r="F148" s="10"/>
      <c r="G148" s="10"/>
      <c r="H148" s="10"/>
      <c r="I148" s="10"/>
      <c r="J148" s="11"/>
      <c r="K148" s="10"/>
      <c r="L148" s="11"/>
    </row>
    <row r="149" spans="1:12">
      <c r="A149" s="10"/>
      <c r="B149" s="10"/>
      <c r="C149" s="10"/>
      <c r="D149" s="10"/>
      <c r="E149" s="10"/>
      <c r="F149" s="10"/>
      <c r="G149" s="10"/>
      <c r="H149" s="10"/>
      <c r="I149" s="10"/>
      <c r="J149" s="11"/>
      <c r="K149" s="10"/>
      <c r="L149" s="11"/>
    </row>
    <row r="150" spans="1:12">
      <c r="A150" s="10"/>
      <c r="B150" s="10"/>
      <c r="C150" s="10"/>
      <c r="D150" s="10"/>
      <c r="E150" s="10"/>
      <c r="F150" s="10"/>
      <c r="G150" s="10"/>
      <c r="H150" s="10"/>
      <c r="I150" s="10"/>
      <c r="J150" s="11"/>
      <c r="K150" s="10"/>
      <c r="L150" s="11"/>
    </row>
    <row r="151" spans="1:12">
      <c r="A151" s="10"/>
      <c r="B151" s="10"/>
      <c r="C151" s="10"/>
      <c r="D151" s="10"/>
      <c r="E151" s="10"/>
      <c r="F151" s="10"/>
      <c r="G151" s="10"/>
      <c r="H151" s="10"/>
      <c r="I151" s="10"/>
      <c r="J151" s="11"/>
      <c r="K151" s="10"/>
      <c r="L151" s="11"/>
    </row>
    <row r="152" spans="1:12">
      <c r="A152" s="10"/>
      <c r="B152" s="10"/>
      <c r="C152" s="10"/>
      <c r="D152" s="10"/>
      <c r="E152" s="10"/>
      <c r="F152" s="10"/>
      <c r="G152" s="10"/>
      <c r="H152" s="10"/>
      <c r="I152" s="10"/>
      <c r="J152" s="11"/>
      <c r="K152" s="10"/>
      <c r="L152" s="11"/>
    </row>
    <row r="153" spans="1:12">
      <c r="A153" s="10"/>
      <c r="B153" s="10"/>
      <c r="C153" s="10"/>
      <c r="D153" s="10"/>
      <c r="E153" s="10"/>
      <c r="F153" s="10"/>
      <c r="G153" s="10"/>
      <c r="H153" s="10"/>
      <c r="I153" s="10"/>
      <c r="J153" s="11"/>
      <c r="K153" s="10"/>
      <c r="L153" s="11"/>
    </row>
    <row r="154" spans="1:12">
      <c r="A154" s="10"/>
      <c r="B154" s="10"/>
      <c r="C154" s="10"/>
      <c r="D154" s="10"/>
      <c r="E154" s="10"/>
      <c r="F154" s="10"/>
      <c r="G154" s="10"/>
      <c r="H154" s="10"/>
      <c r="I154" s="10"/>
      <c r="J154" s="11"/>
      <c r="K154" s="10"/>
      <c r="L154" s="11"/>
    </row>
    <row r="155" spans="1:12">
      <c r="A155" s="10"/>
      <c r="B155" s="10"/>
      <c r="C155" s="10"/>
      <c r="D155" s="10"/>
      <c r="E155" s="10"/>
      <c r="F155" s="10"/>
      <c r="G155" s="10"/>
      <c r="H155" s="10"/>
      <c r="I155" s="10"/>
      <c r="J155" s="11"/>
      <c r="K155" s="10"/>
      <c r="L155" s="11"/>
    </row>
    <row r="156" spans="1:12">
      <c r="A156" s="10"/>
      <c r="B156" s="10"/>
      <c r="C156" s="10"/>
      <c r="D156" s="10"/>
      <c r="E156" s="10"/>
      <c r="F156" s="10"/>
      <c r="G156" s="10"/>
      <c r="H156" s="10"/>
      <c r="I156" s="10"/>
      <c r="J156" s="11"/>
      <c r="K156" s="10"/>
      <c r="L156" s="11"/>
    </row>
    <row r="157" spans="1:12">
      <c r="A157" s="10"/>
      <c r="B157" s="10"/>
      <c r="C157" s="10"/>
      <c r="D157" s="10"/>
      <c r="E157" s="10"/>
      <c r="F157" s="10"/>
      <c r="G157" s="10"/>
      <c r="H157" s="10"/>
      <c r="I157" s="10"/>
      <c r="J157" s="11"/>
      <c r="K157" s="10"/>
      <c r="L157" s="11"/>
    </row>
    <row r="158" spans="1:12">
      <c r="A158" s="10"/>
      <c r="B158" s="10"/>
      <c r="C158" s="10"/>
      <c r="D158" s="10"/>
      <c r="E158" s="10"/>
      <c r="F158" s="10"/>
      <c r="G158" s="10"/>
      <c r="H158" s="10"/>
      <c r="I158" s="10"/>
      <c r="J158" s="11"/>
      <c r="K158" s="10"/>
      <c r="L158" s="11"/>
    </row>
    <row r="159" spans="1:12">
      <c r="A159" s="10"/>
      <c r="B159" s="10"/>
      <c r="C159" s="10"/>
      <c r="D159" s="10"/>
      <c r="E159" s="10"/>
      <c r="F159" s="10"/>
      <c r="G159" s="10"/>
      <c r="H159" s="10"/>
      <c r="I159" s="10"/>
      <c r="J159" s="11"/>
      <c r="K159" s="10"/>
      <c r="L159" s="11"/>
    </row>
    <row r="160" spans="1:12">
      <c r="A160" s="10"/>
      <c r="B160" s="10"/>
      <c r="C160" s="10"/>
      <c r="D160" s="10"/>
      <c r="E160" s="10"/>
      <c r="F160" s="10"/>
      <c r="G160" s="10"/>
      <c r="H160" s="10"/>
      <c r="I160" s="10"/>
      <c r="J160" s="11"/>
      <c r="K160" s="10"/>
      <c r="L160" s="11"/>
    </row>
    <row r="161" spans="1:12">
      <c r="A161" s="10"/>
      <c r="B161" s="10"/>
      <c r="C161" s="10"/>
      <c r="D161" s="10"/>
      <c r="E161" s="10"/>
      <c r="F161" s="10"/>
      <c r="G161" s="10"/>
      <c r="H161" s="10"/>
      <c r="I161" s="10"/>
      <c r="J161" s="11"/>
      <c r="K161" s="10"/>
      <c r="L161" s="11"/>
    </row>
    <row r="162" spans="1:12">
      <c r="A162" s="10"/>
      <c r="B162" s="10"/>
      <c r="C162" s="10"/>
      <c r="D162" s="10"/>
      <c r="E162" s="10"/>
      <c r="F162" s="10"/>
      <c r="G162" s="10"/>
      <c r="H162" s="10"/>
      <c r="I162" s="10"/>
      <c r="J162" s="11"/>
      <c r="K162" s="10"/>
      <c r="L162" s="11"/>
    </row>
    <row r="163" spans="1:12">
      <c r="A163" s="10"/>
      <c r="B163" s="10"/>
      <c r="C163" s="10"/>
      <c r="D163" s="10"/>
      <c r="E163" s="10"/>
      <c r="F163" s="10"/>
      <c r="G163" s="10"/>
      <c r="H163" s="10"/>
      <c r="I163" s="10"/>
      <c r="J163" s="11"/>
      <c r="K163" s="10"/>
      <c r="L163" s="11"/>
    </row>
    <row r="164" spans="1:12">
      <c r="A164" s="10"/>
      <c r="B164" s="10"/>
      <c r="C164" s="10"/>
      <c r="D164" s="10"/>
      <c r="E164" s="10"/>
      <c r="F164" s="10"/>
      <c r="G164" s="10"/>
      <c r="H164" s="10"/>
      <c r="I164" s="10"/>
      <c r="J164" s="11"/>
      <c r="K164" s="10"/>
      <c r="L164" s="11"/>
    </row>
    <row r="165" spans="1:12">
      <c r="A165" s="10"/>
      <c r="B165" s="10"/>
      <c r="C165" s="10"/>
      <c r="D165" s="10"/>
      <c r="E165" s="10"/>
      <c r="F165" s="10"/>
      <c r="G165" s="10"/>
      <c r="H165" s="10"/>
      <c r="I165" s="10"/>
      <c r="J165" s="11"/>
      <c r="K165" s="10"/>
      <c r="L165" s="11"/>
    </row>
    <row r="166" spans="1:12">
      <c r="A166" s="10"/>
      <c r="B166" s="10"/>
      <c r="C166" s="10"/>
      <c r="D166" s="10"/>
      <c r="E166" s="10"/>
      <c r="F166" s="10"/>
      <c r="G166" s="10"/>
      <c r="H166" s="10"/>
      <c r="I166" s="10"/>
      <c r="J166" s="11"/>
      <c r="K166" s="10"/>
      <c r="L166" s="11"/>
    </row>
    <row r="167" spans="1:12">
      <c r="A167" s="10"/>
      <c r="B167" s="10"/>
      <c r="C167" s="10"/>
      <c r="D167" s="10"/>
      <c r="E167" s="10"/>
      <c r="F167" s="10"/>
      <c r="G167" s="10"/>
      <c r="H167" s="10"/>
      <c r="I167" s="10"/>
      <c r="J167" s="11"/>
      <c r="K167" s="10"/>
      <c r="L167" s="11"/>
    </row>
    <row r="168" spans="1:12">
      <c r="A168" s="10"/>
      <c r="B168" s="10"/>
      <c r="C168" s="10"/>
      <c r="D168" s="10"/>
      <c r="E168" s="10"/>
      <c r="F168" s="10"/>
      <c r="G168" s="10"/>
      <c r="H168" s="10"/>
      <c r="I168" s="10"/>
      <c r="J168" s="11"/>
      <c r="K168" s="10"/>
      <c r="L168" s="11"/>
    </row>
    <row r="169" spans="1:12">
      <c r="A169" s="10"/>
      <c r="B169" s="10"/>
      <c r="C169" s="10"/>
      <c r="D169" s="10"/>
      <c r="E169" s="10"/>
      <c r="F169" s="10"/>
      <c r="G169" s="10"/>
      <c r="H169" s="10"/>
      <c r="I169" s="10"/>
      <c r="J169" s="11"/>
      <c r="K169" s="10"/>
      <c r="L169" s="11"/>
    </row>
    <row r="170" spans="1:12">
      <c r="A170" s="10"/>
      <c r="B170" s="10"/>
      <c r="C170" s="10"/>
      <c r="D170" s="10"/>
      <c r="E170" s="10"/>
      <c r="F170" s="10"/>
      <c r="G170" s="10"/>
      <c r="H170" s="10"/>
      <c r="I170" s="10"/>
      <c r="J170" s="11"/>
      <c r="K170" s="10"/>
      <c r="L170" s="11"/>
    </row>
    <row r="171" spans="1:12">
      <c r="A171" s="10"/>
      <c r="B171" s="10"/>
      <c r="C171" s="10"/>
      <c r="D171" s="10"/>
      <c r="E171" s="10"/>
      <c r="F171" s="10"/>
      <c r="G171" s="10"/>
      <c r="H171" s="10"/>
      <c r="I171" s="10"/>
      <c r="J171" s="11"/>
      <c r="K171" s="10"/>
      <c r="L171" s="11"/>
    </row>
    <row r="172" spans="1:12">
      <c r="A172" s="10"/>
      <c r="B172" s="10"/>
      <c r="C172" s="10"/>
      <c r="D172" s="10"/>
      <c r="E172" s="10"/>
      <c r="F172" s="10"/>
      <c r="G172" s="10"/>
      <c r="H172" s="10"/>
      <c r="I172" s="10"/>
      <c r="J172" s="11"/>
      <c r="K172" s="10"/>
      <c r="L172" s="11"/>
    </row>
    <row r="173" spans="1:12">
      <c r="A173" s="10"/>
      <c r="B173" s="10"/>
      <c r="C173" s="10"/>
      <c r="D173" s="10"/>
      <c r="E173" s="10"/>
      <c r="F173" s="10"/>
      <c r="G173" s="10"/>
      <c r="H173" s="10"/>
      <c r="I173" s="10"/>
      <c r="J173" s="11"/>
      <c r="K173" s="10"/>
      <c r="L173" s="11"/>
    </row>
    <row r="174" spans="1:12">
      <c r="A174" s="10"/>
      <c r="B174" s="10"/>
      <c r="C174" s="10"/>
      <c r="D174" s="10"/>
      <c r="E174" s="10"/>
      <c r="F174" s="10"/>
      <c r="G174" s="10"/>
      <c r="H174" s="10"/>
      <c r="I174" s="10"/>
      <c r="J174" s="11"/>
      <c r="K174" s="10"/>
      <c r="L174" s="11"/>
    </row>
    <row r="175" spans="1:12">
      <c r="A175" s="10"/>
      <c r="B175" s="10"/>
      <c r="C175" s="10"/>
      <c r="D175" s="10"/>
      <c r="E175" s="10"/>
      <c r="F175" s="10"/>
      <c r="G175" s="10"/>
      <c r="H175" s="10"/>
      <c r="I175" s="10"/>
      <c r="J175" s="11"/>
      <c r="K175" s="10"/>
      <c r="L175" s="11"/>
    </row>
    <row r="176" spans="1:12">
      <c r="A176" s="10"/>
      <c r="B176" s="10"/>
      <c r="C176" s="10"/>
      <c r="D176" s="10"/>
      <c r="E176" s="10"/>
      <c r="F176" s="10"/>
      <c r="G176" s="10"/>
      <c r="H176" s="10"/>
      <c r="I176" s="10"/>
      <c r="J176" s="11"/>
      <c r="K176" s="10"/>
      <c r="L176" s="11"/>
    </row>
    <row r="177" spans="1:12">
      <c r="A177" s="10"/>
      <c r="B177" s="10"/>
      <c r="C177" s="10"/>
      <c r="D177" s="10"/>
      <c r="E177" s="10"/>
      <c r="F177" s="10"/>
      <c r="G177" s="10"/>
      <c r="H177" s="10"/>
      <c r="I177" s="10"/>
      <c r="J177" s="11"/>
      <c r="K177" s="10"/>
      <c r="L177" s="11"/>
    </row>
    <row r="178" spans="1:12">
      <c r="A178" s="10"/>
      <c r="B178" s="10"/>
      <c r="C178" s="10"/>
      <c r="D178" s="10"/>
      <c r="E178" s="10"/>
      <c r="F178" s="10"/>
      <c r="G178" s="10"/>
      <c r="H178" s="10"/>
      <c r="I178" s="10"/>
      <c r="J178" s="11"/>
      <c r="K178" s="10"/>
      <c r="L178" s="11"/>
    </row>
    <row r="179" spans="1:12">
      <c r="A179" s="10"/>
      <c r="B179" s="10"/>
      <c r="C179" s="10"/>
      <c r="D179" s="10"/>
      <c r="E179" s="10"/>
      <c r="F179" s="10"/>
      <c r="G179" s="10"/>
      <c r="H179" s="10"/>
      <c r="I179" s="10"/>
      <c r="J179" s="11"/>
      <c r="K179" s="10"/>
      <c r="L179" s="11"/>
    </row>
    <row r="180" spans="1:12">
      <c r="A180" s="10"/>
      <c r="B180" s="10"/>
      <c r="C180" s="10"/>
      <c r="D180" s="10"/>
      <c r="E180" s="10"/>
      <c r="F180" s="10"/>
      <c r="G180" s="10"/>
      <c r="H180" s="10"/>
      <c r="I180" s="10"/>
      <c r="J180" s="11"/>
      <c r="K180" s="10"/>
      <c r="L180" s="11"/>
    </row>
    <row r="181" spans="1:12">
      <c r="A181" s="10"/>
      <c r="B181" s="10"/>
      <c r="C181" s="10"/>
      <c r="D181" s="10"/>
      <c r="E181" s="10"/>
      <c r="F181" s="10"/>
      <c r="G181" s="10"/>
      <c r="H181" s="10"/>
      <c r="I181" s="10"/>
      <c r="J181" s="11"/>
      <c r="K181" s="10"/>
      <c r="L181" s="11"/>
    </row>
    <row r="182" spans="1:12">
      <c r="A182" s="10"/>
      <c r="B182" s="10"/>
      <c r="C182" s="10"/>
      <c r="D182" s="10"/>
      <c r="E182" s="10"/>
      <c r="F182" s="10"/>
      <c r="G182" s="10"/>
      <c r="H182" s="10"/>
      <c r="I182" s="10"/>
      <c r="J182" s="11"/>
      <c r="K182" s="10"/>
      <c r="L182" s="11"/>
    </row>
    <row r="183" spans="1:12">
      <c r="A183" s="10"/>
      <c r="B183" s="10"/>
      <c r="C183" s="10"/>
      <c r="D183" s="10"/>
      <c r="E183" s="10"/>
      <c r="F183" s="10"/>
      <c r="G183" s="10"/>
      <c r="H183" s="10"/>
      <c r="I183" s="10"/>
      <c r="J183" s="11"/>
      <c r="K183" s="10"/>
      <c r="L183" s="11"/>
    </row>
    <row r="184" spans="1:12">
      <c r="A184" s="10"/>
      <c r="B184" s="10"/>
      <c r="C184" s="10"/>
      <c r="D184" s="10"/>
      <c r="E184" s="10"/>
      <c r="F184" s="10"/>
      <c r="G184" s="10"/>
      <c r="H184" s="10"/>
      <c r="I184" s="10"/>
      <c r="J184" s="11"/>
      <c r="K184" s="10"/>
      <c r="L184" s="11"/>
    </row>
    <row r="185" spans="1:12">
      <c r="A185" s="10"/>
      <c r="B185" s="10"/>
      <c r="C185" s="10"/>
      <c r="D185" s="10"/>
      <c r="E185" s="10"/>
      <c r="F185" s="10"/>
      <c r="G185" s="10"/>
      <c r="H185" s="10"/>
      <c r="I185" s="10"/>
      <c r="J185" s="11"/>
      <c r="K185" s="10"/>
      <c r="L185" s="11"/>
    </row>
    <row r="186" spans="1:12">
      <c r="A186" s="10"/>
      <c r="B186" s="10"/>
      <c r="C186" s="10"/>
      <c r="D186" s="10"/>
      <c r="E186" s="10"/>
      <c r="F186" s="10"/>
      <c r="G186" s="10"/>
      <c r="H186" s="10"/>
      <c r="I186" s="10"/>
      <c r="J186" s="11"/>
      <c r="K186" s="10"/>
      <c r="L186" s="11"/>
    </row>
    <row r="187" spans="1:12">
      <c r="A187" s="10"/>
      <c r="B187" s="10"/>
      <c r="C187" s="10"/>
      <c r="D187" s="10"/>
      <c r="E187" s="10"/>
      <c r="F187" s="10"/>
      <c r="G187" s="10"/>
      <c r="H187" s="10"/>
      <c r="I187" s="10"/>
      <c r="J187" s="11"/>
      <c r="K187" s="10"/>
      <c r="L187" s="11"/>
    </row>
    <row r="188" spans="1:12">
      <c r="A188" s="10"/>
      <c r="B188" s="10"/>
      <c r="C188" s="10"/>
      <c r="D188" s="10"/>
      <c r="E188" s="10"/>
      <c r="F188" s="10"/>
      <c r="G188" s="10"/>
      <c r="H188" s="10"/>
      <c r="I188" s="10"/>
      <c r="J188" s="11"/>
      <c r="K188" s="10"/>
      <c r="L188" s="11"/>
    </row>
    <row r="189" spans="1:12">
      <c r="A189" s="10"/>
      <c r="B189" s="10"/>
      <c r="C189" s="10"/>
      <c r="D189" s="10"/>
      <c r="E189" s="10"/>
      <c r="F189" s="10"/>
      <c r="G189" s="10"/>
      <c r="H189" s="10"/>
      <c r="I189" s="10"/>
      <c r="J189" s="11"/>
      <c r="K189" s="10"/>
      <c r="L189" s="11"/>
    </row>
    <row r="190" spans="1:12">
      <c r="A190" s="10"/>
      <c r="B190" s="10"/>
      <c r="C190" s="10"/>
      <c r="D190" s="10"/>
      <c r="E190" s="10"/>
      <c r="F190" s="10"/>
      <c r="G190" s="10"/>
      <c r="H190" s="10"/>
      <c r="I190" s="10"/>
      <c r="J190" s="11"/>
      <c r="K190" s="10"/>
      <c r="L190" s="11"/>
    </row>
    <row r="191" spans="1:12">
      <c r="A191" s="10"/>
      <c r="B191" s="10"/>
      <c r="C191" s="10"/>
      <c r="D191" s="10"/>
      <c r="E191" s="10"/>
      <c r="F191" s="10"/>
      <c r="G191" s="10"/>
      <c r="H191" s="10"/>
      <c r="I191" s="10"/>
      <c r="J191" s="11"/>
      <c r="K191" s="10"/>
      <c r="L191" s="11"/>
    </row>
    <row r="192" spans="1:12">
      <c r="A192" s="10"/>
      <c r="B192" s="10"/>
      <c r="C192" s="10"/>
      <c r="D192" s="10"/>
      <c r="E192" s="10"/>
      <c r="F192" s="10"/>
      <c r="G192" s="10"/>
      <c r="H192" s="10"/>
      <c r="I192" s="10"/>
      <c r="J192" s="11"/>
      <c r="K192" s="10"/>
      <c r="L192" s="11"/>
    </row>
    <row r="193" spans="1:12">
      <c r="A193" s="10"/>
      <c r="B193" s="10"/>
      <c r="C193" s="10"/>
      <c r="D193" s="10"/>
      <c r="E193" s="10"/>
      <c r="F193" s="10"/>
      <c r="G193" s="10"/>
      <c r="H193" s="10"/>
      <c r="I193" s="10"/>
      <c r="J193" s="11"/>
      <c r="K193" s="10"/>
      <c r="L193" s="11"/>
    </row>
    <row r="194" spans="1:12">
      <c r="A194" s="10"/>
      <c r="B194" s="10"/>
      <c r="C194" s="10"/>
      <c r="D194" s="10"/>
      <c r="E194" s="10"/>
      <c r="F194" s="10"/>
      <c r="G194" s="10"/>
      <c r="H194" s="10"/>
      <c r="I194" s="10"/>
      <c r="J194" s="11"/>
      <c r="K194" s="10"/>
      <c r="L194" s="11"/>
    </row>
    <row r="195" spans="1:12">
      <c r="A195" s="10"/>
      <c r="B195" s="10"/>
      <c r="C195" s="10"/>
      <c r="D195" s="10"/>
      <c r="E195" s="10"/>
      <c r="F195" s="10"/>
      <c r="G195" s="10"/>
      <c r="H195" s="10"/>
      <c r="I195" s="10"/>
      <c r="J195" s="11"/>
      <c r="K195" s="10"/>
      <c r="L195" s="11"/>
    </row>
    <row r="196" spans="1:12">
      <c r="A196" s="10"/>
      <c r="B196" s="10"/>
      <c r="C196" s="10"/>
      <c r="D196" s="10"/>
      <c r="E196" s="10"/>
      <c r="F196" s="10"/>
      <c r="G196" s="10"/>
      <c r="H196" s="10"/>
      <c r="I196" s="10"/>
      <c r="J196" s="11"/>
      <c r="K196" s="10"/>
      <c r="L196" s="11"/>
    </row>
    <row r="197" spans="1:12">
      <c r="A197" s="10"/>
      <c r="B197" s="10"/>
      <c r="C197" s="10"/>
      <c r="D197" s="10"/>
      <c r="E197" s="10"/>
      <c r="F197" s="10"/>
      <c r="G197" s="10"/>
      <c r="H197" s="10"/>
      <c r="I197" s="10"/>
      <c r="J197" s="11"/>
      <c r="K197" s="10"/>
      <c r="L197" s="11"/>
    </row>
    <row r="198" spans="1:12">
      <c r="A198" s="10"/>
      <c r="B198" s="10"/>
      <c r="C198" s="10"/>
      <c r="D198" s="10"/>
      <c r="E198" s="10"/>
      <c r="F198" s="10"/>
      <c r="G198" s="10"/>
      <c r="H198" s="10"/>
      <c r="I198" s="10"/>
      <c r="J198" s="11"/>
      <c r="K198" s="10"/>
      <c r="L198" s="11"/>
    </row>
    <row r="199" spans="1:12">
      <c r="A199" s="10"/>
      <c r="B199" s="10"/>
      <c r="C199" s="10"/>
      <c r="D199" s="10"/>
      <c r="E199" s="10"/>
      <c r="F199" s="10"/>
      <c r="G199" s="10"/>
      <c r="H199" s="10"/>
      <c r="I199" s="10"/>
      <c r="J199" s="11"/>
      <c r="K199" s="10"/>
      <c r="L199" s="11"/>
    </row>
    <row r="200" spans="1:12">
      <c r="A200" s="10"/>
      <c r="B200" s="10"/>
      <c r="C200" s="10"/>
      <c r="D200" s="10"/>
      <c r="E200" s="10"/>
      <c r="F200" s="10"/>
      <c r="G200" s="10"/>
      <c r="H200" s="10"/>
      <c r="I200" s="10"/>
      <c r="J200" s="11"/>
      <c r="K200" s="10"/>
      <c r="L200" s="11"/>
    </row>
    <row r="201" spans="1:12">
      <c r="A201" s="10"/>
      <c r="B201" s="10"/>
      <c r="C201" s="10"/>
      <c r="D201" s="10"/>
      <c r="E201" s="10"/>
      <c r="F201" s="10"/>
      <c r="G201" s="10"/>
      <c r="H201" s="10"/>
      <c r="I201" s="10"/>
      <c r="J201" s="11"/>
      <c r="K201" s="10"/>
      <c r="L201" s="11"/>
    </row>
    <row r="202" spans="1:12">
      <c r="A202" s="10"/>
      <c r="B202" s="10"/>
      <c r="C202" s="10"/>
      <c r="D202" s="10"/>
      <c r="E202" s="10"/>
      <c r="F202" s="10"/>
      <c r="G202" s="10"/>
      <c r="H202" s="10"/>
      <c r="I202" s="10"/>
      <c r="J202" s="11"/>
      <c r="K202" s="10"/>
      <c r="L202" s="11"/>
    </row>
    <row r="203" spans="1:12">
      <c r="A203" s="10"/>
      <c r="B203" s="10"/>
      <c r="C203" s="10"/>
      <c r="D203" s="10"/>
      <c r="E203" s="10"/>
      <c r="F203" s="10"/>
      <c r="G203" s="10"/>
      <c r="H203" s="10"/>
      <c r="I203" s="10"/>
      <c r="J203" s="11"/>
      <c r="K203" s="10"/>
      <c r="L203" s="11"/>
    </row>
    <row r="204" spans="1:12">
      <c r="A204" s="10"/>
      <c r="B204" s="10"/>
      <c r="C204" s="10"/>
      <c r="D204" s="10"/>
      <c r="E204" s="10"/>
      <c r="F204" s="10"/>
      <c r="G204" s="10"/>
      <c r="H204" s="10"/>
      <c r="I204" s="10"/>
      <c r="J204" s="11"/>
      <c r="K204" s="10"/>
      <c r="L204" s="11"/>
    </row>
    <row r="205" spans="1:12">
      <c r="A205" s="10"/>
      <c r="B205" s="10"/>
      <c r="C205" s="10"/>
      <c r="D205" s="10"/>
      <c r="E205" s="10"/>
      <c r="F205" s="10"/>
      <c r="G205" s="10"/>
      <c r="H205" s="10"/>
      <c r="I205" s="10"/>
      <c r="J205" s="11"/>
      <c r="K205" s="10"/>
      <c r="L205" s="11"/>
    </row>
    <row r="206" spans="1:12">
      <c r="A206" s="10"/>
      <c r="B206" s="10"/>
      <c r="C206" s="10"/>
      <c r="D206" s="10"/>
      <c r="E206" s="10"/>
      <c r="F206" s="10"/>
      <c r="G206" s="10"/>
      <c r="H206" s="10"/>
      <c r="I206" s="10"/>
      <c r="J206" s="11"/>
      <c r="K206" s="10"/>
      <c r="L206" s="11"/>
    </row>
    <row r="207" spans="1:12">
      <c r="A207" s="10"/>
      <c r="B207" s="10"/>
      <c r="C207" s="10"/>
      <c r="D207" s="10"/>
      <c r="E207" s="10"/>
      <c r="F207" s="10"/>
      <c r="G207" s="10"/>
      <c r="H207" s="10"/>
      <c r="I207" s="10"/>
      <c r="J207" s="11"/>
      <c r="K207" s="10"/>
      <c r="L207" s="11"/>
    </row>
    <row r="208" spans="1:12">
      <c r="A208" s="10"/>
      <c r="B208" s="10"/>
      <c r="C208" s="10"/>
      <c r="D208" s="10"/>
      <c r="E208" s="10"/>
      <c r="F208" s="10"/>
      <c r="G208" s="10"/>
      <c r="H208" s="10"/>
      <c r="I208" s="10"/>
      <c r="J208" s="11"/>
      <c r="K208" s="10"/>
      <c r="L208" s="11"/>
    </row>
    <row r="209" spans="1:12">
      <c r="A209" s="10"/>
      <c r="B209" s="10"/>
      <c r="C209" s="10"/>
      <c r="D209" s="10"/>
      <c r="E209" s="10"/>
      <c r="F209" s="10"/>
      <c r="G209" s="10"/>
      <c r="H209" s="10"/>
      <c r="I209" s="10"/>
      <c r="J209" s="11"/>
      <c r="K209" s="10"/>
      <c r="L209" s="11"/>
    </row>
    <row r="210" spans="1:12">
      <c r="A210" s="10"/>
      <c r="B210" s="10"/>
      <c r="C210" s="10"/>
      <c r="D210" s="10"/>
      <c r="E210" s="10"/>
      <c r="F210" s="10"/>
      <c r="G210" s="10"/>
      <c r="H210" s="10"/>
      <c r="I210" s="10"/>
      <c r="J210" s="11"/>
      <c r="K210" s="10"/>
      <c r="L210" s="11"/>
    </row>
    <row r="211" spans="1:12">
      <c r="A211" s="10"/>
      <c r="B211" s="10"/>
      <c r="C211" s="10"/>
      <c r="D211" s="10"/>
      <c r="E211" s="10"/>
      <c r="F211" s="10"/>
      <c r="G211" s="10"/>
      <c r="H211" s="10"/>
      <c r="I211" s="10"/>
      <c r="J211" s="11"/>
      <c r="K211" s="10"/>
      <c r="L211" s="11"/>
    </row>
    <row r="212" spans="1:12">
      <c r="A212" s="10"/>
      <c r="B212" s="10"/>
      <c r="C212" s="10"/>
      <c r="D212" s="10"/>
      <c r="E212" s="10"/>
      <c r="F212" s="10"/>
      <c r="G212" s="10"/>
      <c r="H212" s="10"/>
      <c r="I212" s="10"/>
      <c r="J212" s="11"/>
      <c r="K212" s="10"/>
      <c r="L212" s="11"/>
    </row>
    <row r="213" spans="1:12">
      <c r="A213" s="10"/>
      <c r="B213" s="10"/>
      <c r="C213" s="10"/>
      <c r="D213" s="10"/>
      <c r="E213" s="10"/>
      <c r="F213" s="10"/>
      <c r="G213" s="10"/>
      <c r="H213" s="10"/>
      <c r="I213" s="10"/>
      <c r="J213" s="11"/>
      <c r="K213" s="10"/>
      <c r="L213" s="11"/>
    </row>
    <row r="214" spans="1:12">
      <c r="A214" s="10"/>
      <c r="B214" s="10"/>
      <c r="C214" s="10"/>
      <c r="D214" s="10"/>
      <c r="E214" s="10"/>
      <c r="F214" s="10"/>
      <c r="G214" s="10"/>
      <c r="H214" s="10"/>
      <c r="I214" s="10"/>
      <c r="J214" s="11"/>
      <c r="K214" s="10"/>
      <c r="L214" s="11"/>
    </row>
    <row r="215" spans="1:12">
      <c r="A215" s="10"/>
      <c r="B215" s="10"/>
      <c r="C215" s="10"/>
      <c r="D215" s="10"/>
      <c r="E215" s="10"/>
      <c r="F215" s="10"/>
      <c r="G215" s="10"/>
      <c r="H215" s="10"/>
      <c r="I215" s="10"/>
      <c r="J215" s="11"/>
      <c r="K215" s="10"/>
      <c r="L215" s="11"/>
    </row>
    <row r="216" spans="1:12">
      <c r="A216" s="10"/>
      <c r="B216" s="10"/>
      <c r="C216" s="10"/>
      <c r="D216" s="10"/>
      <c r="E216" s="10"/>
      <c r="F216" s="10"/>
      <c r="G216" s="10"/>
      <c r="H216" s="10"/>
      <c r="I216" s="10"/>
      <c r="J216" s="11"/>
      <c r="K216" s="10"/>
      <c r="L216" s="11"/>
    </row>
    <row r="217" spans="1:12">
      <c r="A217" s="10"/>
      <c r="B217" s="10"/>
      <c r="C217" s="10"/>
      <c r="D217" s="10"/>
      <c r="E217" s="10"/>
      <c r="F217" s="10"/>
      <c r="G217" s="10"/>
      <c r="H217" s="10"/>
      <c r="I217" s="10"/>
      <c r="J217" s="11"/>
      <c r="K217" s="10"/>
      <c r="L217" s="11"/>
    </row>
    <row r="218" spans="1:12">
      <c r="A218" s="10"/>
      <c r="B218" s="10"/>
      <c r="C218" s="10"/>
      <c r="D218" s="10"/>
      <c r="E218" s="10"/>
      <c r="F218" s="10"/>
      <c r="G218" s="10"/>
      <c r="H218" s="10"/>
      <c r="I218" s="10"/>
      <c r="J218" s="11"/>
      <c r="K218" s="10"/>
      <c r="L218" s="11"/>
    </row>
    <row r="219" spans="1:12">
      <c r="A219" s="10"/>
      <c r="B219" s="10"/>
      <c r="C219" s="10"/>
      <c r="D219" s="10"/>
      <c r="E219" s="10"/>
      <c r="F219" s="10"/>
      <c r="G219" s="10"/>
      <c r="H219" s="10"/>
      <c r="I219" s="10"/>
      <c r="J219" s="11"/>
      <c r="K219" s="10"/>
      <c r="L219" s="11"/>
    </row>
    <row r="220" spans="1:12">
      <c r="A220" s="10"/>
      <c r="B220" s="10"/>
      <c r="C220" s="10"/>
      <c r="D220" s="10"/>
      <c r="E220" s="10"/>
      <c r="F220" s="10"/>
      <c r="G220" s="10"/>
      <c r="H220" s="10"/>
      <c r="I220" s="10"/>
      <c r="J220" s="11"/>
      <c r="K220" s="10"/>
      <c r="L220" s="11"/>
    </row>
    <row r="221" spans="1:12">
      <c r="A221" s="10"/>
      <c r="B221" s="10"/>
      <c r="C221" s="10"/>
      <c r="D221" s="10"/>
      <c r="E221" s="10"/>
      <c r="F221" s="10"/>
      <c r="G221" s="10"/>
      <c r="H221" s="10"/>
      <c r="I221" s="10"/>
      <c r="J221" s="11"/>
      <c r="K221" s="10"/>
      <c r="L221" s="11"/>
    </row>
    <row r="222" spans="1:12">
      <c r="A222" s="10"/>
      <c r="B222" s="10"/>
      <c r="C222" s="10"/>
      <c r="D222" s="10"/>
      <c r="E222" s="10"/>
      <c r="F222" s="10"/>
      <c r="G222" s="10"/>
      <c r="H222" s="10"/>
      <c r="I222" s="10"/>
      <c r="J222" s="11"/>
      <c r="K222" s="10"/>
      <c r="L222" s="11"/>
    </row>
    <row r="223" spans="1:12">
      <c r="A223" s="10"/>
      <c r="B223" s="10"/>
      <c r="C223" s="10"/>
      <c r="D223" s="10"/>
      <c r="E223" s="10"/>
      <c r="F223" s="10"/>
      <c r="G223" s="10"/>
      <c r="H223" s="10"/>
      <c r="I223" s="10"/>
      <c r="J223" s="11"/>
      <c r="K223" s="10"/>
      <c r="L223" s="11"/>
    </row>
    <row r="224" spans="1:12">
      <c r="A224" s="10"/>
      <c r="B224" s="10"/>
      <c r="C224" s="10"/>
      <c r="D224" s="10"/>
      <c r="E224" s="10"/>
      <c r="F224" s="10"/>
      <c r="G224" s="10"/>
      <c r="H224" s="10"/>
      <c r="I224" s="10"/>
      <c r="J224" s="11"/>
      <c r="K224" s="10"/>
      <c r="L224" s="11"/>
    </row>
    <row r="225" spans="1:12">
      <c r="A225" s="10"/>
      <c r="B225" s="10"/>
      <c r="C225" s="10"/>
      <c r="D225" s="10"/>
      <c r="E225" s="10"/>
      <c r="F225" s="10"/>
      <c r="G225" s="10"/>
      <c r="H225" s="10"/>
      <c r="I225" s="10"/>
      <c r="J225" s="11"/>
      <c r="K225" s="10"/>
      <c r="L225" s="11"/>
    </row>
    <row r="226" spans="1:12">
      <c r="A226" s="10"/>
      <c r="B226" s="10"/>
      <c r="C226" s="10"/>
      <c r="D226" s="10"/>
      <c r="E226" s="10"/>
      <c r="F226" s="10"/>
      <c r="G226" s="10"/>
      <c r="H226" s="10"/>
      <c r="I226" s="10"/>
      <c r="J226" s="11"/>
      <c r="K226" s="10"/>
      <c r="L226" s="11"/>
    </row>
    <row r="227" spans="1:12">
      <c r="A227" s="10"/>
      <c r="B227" s="10"/>
      <c r="C227" s="10"/>
      <c r="D227" s="10"/>
      <c r="E227" s="10"/>
      <c r="F227" s="10"/>
      <c r="G227" s="10"/>
      <c r="H227" s="10"/>
      <c r="I227" s="10"/>
      <c r="J227" s="11"/>
      <c r="K227" s="10"/>
      <c r="L227" s="11"/>
    </row>
    <row r="228" spans="1:12">
      <c r="A228" s="10"/>
      <c r="B228" s="10"/>
      <c r="C228" s="10"/>
      <c r="D228" s="10"/>
      <c r="E228" s="10"/>
      <c r="F228" s="10"/>
      <c r="G228" s="10"/>
      <c r="H228" s="10"/>
      <c r="I228" s="10"/>
      <c r="J228" s="11"/>
      <c r="K228" s="10"/>
      <c r="L228" s="11"/>
    </row>
    <row r="229" spans="1:12">
      <c r="A229" s="10"/>
      <c r="B229" s="10"/>
      <c r="C229" s="10"/>
      <c r="D229" s="10"/>
      <c r="E229" s="10"/>
      <c r="F229" s="10"/>
      <c r="G229" s="10"/>
      <c r="H229" s="10"/>
      <c r="I229" s="10"/>
      <c r="J229" s="11"/>
      <c r="K229" s="10"/>
      <c r="L229" s="11"/>
    </row>
    <row r="230" spans="1:12">
      <c r="A230" s="10"/>
      <c r="B230" s="10"/>
      <c r="C230" s="10"/>
      <c r="D230" s="10"/>
      <c r="E230" s="10"/>
      <c r="F230" s="10"/>
      <c r="G230" s="10"/>
      <c r="H230" s="10"/>
      <c r="I230" s="10"/>
      <c r="J230" s="11"/>
      <c r="K230" s="10"/>
      <c r="L230" s="11"/>
    </row>
    <row r="231" spans="1:12">
      <c r="A231" s="10"/>
      <c r="B231" s="10"/>
      <c r="C231" s="10"/>
      <c r="D231" s="10"/>
      <c r="E231" s="10"/>
      <c r="F231" s="10"/>
      <c r="G231" s="10"/>
      <c r="H231" s="10"/>
      <c r="I231" s="10"/>
      <c r="J231" s="11"/>
      <c r="K231" s="10"/>
      <c r="L231" s="11"/>
    </row>
    <row r="232" spans="1:12">
      <c r="A232" s="10"/>
      <c r="B232" s="10"/>
      <c r="C232" s="10"/>
      <c r="D232" s="10"/>
      <c r="E232" s="10"/>
      <c r="F232" s="10"/>
      <c r="G232" s="10"/>
      <c r="H232" s="10"/>
      <c r="I232" s="10"/>
      <c r="J232" s="11"/>
      <c r="K232" s="10"/>
      <c r="L232" s="11"/>
    </row>
    <row r="233" spans="1:12">
      <c r="A233" s="10"/>
      <c r="B233" s="10"/>
      <c r="C233" s="10"/>
      <c r="D233" s="10"/>
      <c r="E233" s="10"/>
      <c r="F233" s="10"/>
      <c r="G233" s="10"/>
      <c r="H233" s="10"/>
      <c r="I233" s="10"/>
      <c r="J233" s="11"/>
      <c r="K233" s="10"/>
      <c r="L233" s="11"/>
    </row>
    <row r="234" spans="1:12">
      <c r="A234" s="10"/>
      <c r="B234" s="10"/>
      <c r="C234" s="10"/>
      <c r="D234" s="10"/>
      <c r="E234" s="10"/>
      <c r="F234" s="10"/>
      <c r="G234" s="10"/>
      <c r="H234" s="10"/>
      <c r="I234" s="10"/>
      <c r="J234" s="11"/>
      <c r="K234" s="10"/>
      <c r="L234" s="11"/>
    </row>
    <row r="235" spans="1:12">
      <c r="A235" s="10"/>
      <c r="B235" s="10"/>
      <c r="C235" s="10"/>
      <c r="D235" s="10"/>
      <c r="E235" s="10"/>
      <c r="F235" s="10"/>
      <c r="G235" s="10"/>
      <c r="H235" s="10"/>
      <c r="I235" s="10"/>
      <c r="J235" s="11"/>
      <c r="K235" s="10"/>
      <c r="L235" s="11"/>
    </row>
    <row r="236" spans="1:12">
      <c r="A236" s="10"/>
      <c r="B236" s="10"/>
      <c r="C236" s="10"/>
      <c r="D236" s="10"/>
      <c r="E236" s="10"/>
      <c r="F236" s="10"/>
      <c r="G236" s="10"/>
      <c r="H236" s="10"/>
      <c r="I236" s="10"/>
      <c r="J236" s="11"/>
      <c r="K236" s="10"/>
      <c r="L236" s="11"/>
    </row>
    <row r="237" spans="1:12">
      <c r="A237" s="10"/>
      <c r="B237" s="10"/>
      <c r="C237" s="10"/>
      <c r="D237" s="10"/>
      <c r="E237" s="10"/>
      <c r="F237" s="10"/>
      <c r="G237" s="10"/>
      <c r="H237" s="10"/>
      <c r="I237" s="10"/>
      <c r="J237" s="11"/>
      <c r="K237" s="10"/>
      <c r="L237" s="11"/>
    </row>
    <row r="238" spans="1:12">
      <c r="A238" s="10"/>
      <c r="B238" s="10"/>
      <c r="C238" s="10"/>
      <c r="D238" s="10"/>
      <c r="E238" s="10"/>
      <c r="F238" s="10"/>
      <c r="G238" s="10"/>
      <c r="H238" s="10"/>
      <c r="I238" s="10"/>
      <c r="J238" s="11"/>
      <c r="K238" s="10"/>
      <c r="L238" s="11"/>
    </row>
    <row r="239" spans="1:12">
      <c r="A239" s="10"/>
      <c r="B239" s="10"/>
      <c r="C239" s="10"/>
      <c r="D239" s="10"/>
      <c r="E239" s="10"/>
      <c r="F239" s="10"/>
      <c r="G239" s="10"/>
      <c r="H239" s="10"/>
      <c r="I239" s="10"/>
      <c r="J239" s="11"/>
      <c r="K239" s="10"/>
      <c r="L239" s="11"/>
    </row>
    <row r="240" spans="1:12">
      <c r="A240" s="10"/>
      <c r="B240" s="10"/>
      <c r="C240" s="10"/>
      <c r="D240" s="10"/>
      <c r="E240" s="10"/>
      <c r="F240" s="10"/>
      <c r="G240" s="10"/>
      <c r="H240" s="10"/>
      <c r="I240" s="10"/>
      <c r="J240" s="11"/>
      <c r="K240" s="10"/>
      <c r="L240" s="11"/>
    </row>
    <row r="241" spans="1:12">
      <c r="A241" s="10"/>
      <c r="B241" s="10"/>
      <c r="C241" s="10"/>
      <c r="D241" s="10"/>
      <c r="E241" s="10"/>
      <c r="F241" s="10"/>
      <c r="G241" s="10"/>
      <c r="H241" s="10"/>
      <c r="I241" s="10"/>
      <c r="J241" s="11"/>
      <c r="K241" s="10"/>
      <c r="L241" s="11"/>
    </row>
    <row r="242" spans="1:12">
      <c r="A242" s="10"/>
      <c r="B242" s="10"/>
      <c r="C242" s="10"/>
      <c r="D242" s="10"/>
      <c r="E242" s="10"/>
      <c r="F242" s="10"/>
      <c r="G242" s="10"/>
      <c r="H242" s="10"/>
      <c r="I242" s="10"/>
      <c r="J242" s="11"/>
      <c r="K242" s="10"/>
      <c r="L242" s="11"/>
    </row>
    <row r="243" spans="1:12">
      <c r="A243" s="10"/>
      <c r="B243" s="10"/>
      <c r="C243" s="10"/>
      <c r="D243" s="10"/>
      <c r="E243" s="10"/>
      <c r="F243" s="10"/>
      <c r="G243" s="10"/>
      <c r="H243" s="10"/>
      <c r="I243" s="10"/>
      <c r="J243" s="11"/>
      <c r="K243" s="10"/>
      <c r="L243" s="11"/>
    </row>
    <row r="244" spans="1:12">
      <c r="A244" s="10"/>
      <c r="B244" s="10"/>
      <c r="C244" s="10"/>
      <c r="D244" s="10"/>
      <c r="E244" s="10"/>
      <c r="F244" s="10"/>
      <c r="G244" s="10"/>
      <c r="H244" s="10"/>
      <c r="I244" s="10"/>
      <c r="J244" s="11"/>
      <c r="K244" s="10"/>
      <c r="L244" s="11"/>
    </row>
    <row r="245" spans="1:12">
      <c r="A245" s="10"/>
      <c r="B245" s="10"/>
      <c r="C245" s="10"/>
      <c r="D245" s="10"/>
      <c r="E245" s="10"/>
      <c r="F245" s="10"/>
      <c r="G245" s="10"/>
      <c r="H245" s="10"/>
      <c r="I245" s="10"/>
      <c r="J245" s="11"/>
      <c r="K245" s="10"/>
      <c r="L245" s="11"/>
    </row>
    <row r="246" spans="1:12">
      <c r="A246" s="10"/>
      <c r="B246" s="10"/>
      <c r="C246" s="10"/>
      <c r="D246" s="10"/>
      <c r="E246" s="10"/>
      <c r="F246" s="10"/>
      <c r="G246" s="10"/>
      <c r="H246" s="10"/>
      <c r="I246" s="10"/>
      <c r="J246" s="11"/>
      <c r="K246" s="10"/>
      <c r="L246" s="11"/>
    </row>
    <row r="247" spans="1:12">
      <c r="A247" s="10"/>
      <c r="B247" s="10"/>
      <c r="C247" s="10"/>
      <c r="D247" s="10"/>
      <c r="E247" s="10"/>
      <c r="F247" s="10"/>
      <c r="G247" s="10"/>
      <c r="H247" s="10"/>
      <c r="I247" s="10"/>
      <c r="J247" s="11"/>
      <c r="K247" s="10"/>
      <c r="L247" s="11"/>
    </row>
    <row r="248" spans="1:12">
      <c r="A248" s="10"/>
      <c r="B248" s="10"/>
      <c r="C248" s="10"/>
      <c r="D248" s="10"/>
      <c r="E248" s="10"/>
      <c r="F248" s="10"/>
      <c r="G248" s="10"/>
      <c r="H248" s="10"/>
      <c r="I248" s="10"/>
      <c r="J248" s="11"/>
      <c r="K248" s="10"/>
      <c r="L248" s="11"/>
    </row>
    <row r="249" spans="1:12">
      <c r="A249" s="10"/>
      <c r="B249" s="10"/>
      <c r="C249" s="10"/>
      <c r="D249" s="10"/>
      <c r="E249" s="10"/>
      <c r="F249" s="10"/>
      <c r="G249" s="10"/>
      <c r="H249" s="10"/>
      <c r="I249" s="10"/>
      <c r="J249" s="11"/>
      <c r="K249" s="10"/>
      <c r="L249" s="11"/>
    </row>
    <row r="250" spans="1:12">
      <c r="A250" s="10"/>
      <c r="B250" s="10"/>
      <c r="C250" s="10"/>
      <c r="D250" s="10"/>
      <c r="E250" s="10"/>
      <c r="F250" s="10"/>
      <c r="G250" s="10"/>
      <c r="H250" s="10"/>
      <c r="I250" s="10"/>
      <c r="J250" s="11"/>
      <c r="K250" s="10"/>
      <c r="L250" s="11"/>
    </row>
  </sheetData>
  <autoFilter ref="A3:L36" xr:uid="{00000000-0001-0000-0F00-000000000000}">
    <filterColumn colId="2">
      <filters>
        <filter val="Idrogeno verde"/>
      </filters>
    </filterColumn>
  </autoFilter>
  <mergeCells count="2">
    <mergeCell ref="A2:L2"/>
    <mergeCell ref="A1:L1"/>
  </mergeCells>
  <conditionalFormatting sqref="B4:B250">
    <cfRule type="expression" dxfId="6" priority="1">
      <formula>LEN($B4)=0</formula>
    </cfRule>
  </conditionalFormatting>
  <dataValidations count="4">
    <dataValidation type="list" allowBlank="1" sqref="B4:B250" xr:uid="{00000000-0002-0000-0F00-000000000000}">
      <formula1>TechIDs</formula1>
    </dataValidation>
    <dataValidation type="list" allowBlank="1" sqref="E4:E250 H4:H250" xr:uid="{00000000-0002-0000-0F00-000001000000}">
      <formula1>Booleane</formula1>
    </dataValidation>
    <dataValidation type="list" allowBlank="1" sqref="I4:I250" xr:uid="{00000000-0002-0000-0F00-000002000000}">
      <formula1>TassonomiaUE</formula1>
    </dataValidation>
    <dataValidation type="list" allowBlank="1" sqref="K4:K250" xr:uid="{00000000-0002-0000-0F00-000003000000}">
      <formula1>SourceIDs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F766E"/>
  </sheetPr>
  <dimension ref="A1:M250"/>
  <sheetViews>
    <sheetView showGridLines="0" workbookViewId="0">
      <selection activeCell="I7" sqref="I7"/>
    </sheetView>
  </sheetViews>
  <sheetFormatPr defaultRowHeight="14.45"/>
  <cols>
    <col min="1" max="1" width="14" customWidth="1"/>
    <col min="2" max="2" width="10" customWidth="1"/>
    <col min="3" max="3" width="22" customWidth="1"/>
    <col min="4" max="5" width="16" customWidth="1"/>
    <col min="6" max="6" width="28" customWidth="1"/>
    <col min="7" max="7" width="24" customWidth="1"/>
    <col min="8" max="8" width="32" customWidth="1"/>
    <col min="9" max="9" width="28" customWidth="1"/>
    <col min="10" max="10" width="24" customWidth="1"/>
    <col min="11" max="11" width="10" customWidth="1"/>
    <col min="12" max="12" width="12" customWidth="1"/>
    <col min="13" max="13" width="24" customWidth="1"/>
  </cols>
  <sheetData>
    <row r="1" spans="1:13" ht="24" customHeight="1">
      <c r="A1" s="28" t="s">
        <v>2527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36" customHeight="1">
      <c r="A2" s="29" t="s">
        <v>2528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27.95" customHeight="1">
      <c r="A3" s="9" t="s">
        <v>203</v>
      </c>
      <c r="B3" s="9" t="s">
        <v>64</v>
      </c>
      <c r="C3" s="9" t="s">
        <v>23</v>
      </c>
      <c r="D3" s="9" t="s">
        <v>199</v>
      </c>
      <c r="E3" s="9" t="s">
        <v>2529</v>
      </c>
      <c r="F3" s="9" t="s">
        <v>2530</v>
      </c>
      <c r="G3" s="9" t="s">
        <v>2531</v>
      </c>
      <c r="H3" s="9" t="s">
        <v>2532</v>
      </c>
      <c r="I3" s="9" t="s">
        <v>2533</v>
      </c>
      <c r="J3" s="9" t="s">
        <v>2534</v>
      </c>
      <c r="K3" s="9" t="s">
        <v>1951</v>
      </c>
      <c r="L3" s="9" t="s">
        <v>1061</v>
      </c>
      <c r="M3" s="9" t="s">
        <v>1062</v>
      </c>
    </row>
    <row r="4" spans="1:13" ht="57.95" customHeight="1">
      <c r="A4" s="10" t="s">
        <v>2535</v>
      </c>
      <c r="B4" s="10" t="s">
        <v>117</v>
      </c>
      <c r="C4" s="10" t="s">
        <v>118</v>
      </c>
      <c r="D4" s="10"/>
      <c r="E4" s="10" t="s">
        <v>1971</v>
      </c>
      <c r="F4" s="11" t="s">
        <v>2536</v>
      </c>
      <c r="G4" s="11" t="s">
        <v>2537</v>
      </c>
      <c r="H4" s="11" t="s">
        <v>2538</v>
      </c>
      <c r="I4" s="11" t="s">
        <v>2539</v>
      </c>
      <c r="J4" s="11" t="s">
        <v>2540</v>
      </c>
      <c r="K4" s="10" t="s">
        <v>2541</v>
      </c>
      <c r="L4" s="10" t="s">
        <v>486</v>
      </c>
      <c r="M4" s="11" t="s">
        <v>2542</v>
      </c>
    </row>
    <row r="5" spans="1:13" ht="43.5" customHeight="1">
      <c r="A5" s="10" t="s">
        <v>2543</v>
      </c>
      <c r="B5" s="10" t="s">
        <v>117</v>
      </c>
      <c r="C5" s="10" t="s">
        <v>118</v>
      </c>
      <c r="D5" s="10"/>
      <c r="E5" s="10" t="s">
        <v>1971</v>
      </c>
      <c r="F5" s="11" t="s">
        <v>494</v>
      </c>
      <c r="G5" s="11" t="s">
        <v>495</v>
      </c>
      <c r="H5" s="11" t="s">
        <v>2544</v>
      </c>
      <c r="I5" s="11" t="s">
        <v>2545</v>
      </c>
      <c r="J5" s="11" t="s">
        <v>2546</v>
      </c>
      <c r="K5" s="10" t="s">
        <v>2547</v>
      </c>
      <c r="L5" s="10" t="s">
        <v>493</v>
      </c>
      <c r="M5" s="11" t="s">
        <v>2548</v>
      </c>
    </row>
    <row r="6" spans="1:13" ht="57.95" customHeight="1">
      <c r="A6" s="10" t="s">
        <v>2549</v>
      </c>
      <c r="B6" s="10" t="s">
        <v>117</v>
      </c>
      <c r="C6" s="10" t="s">
        <v>118</v>
      </c>
      <c r="D6" s="10"/>
      <c r="E6" s="10" t="s">
        <v>2550</v>
      </c>
      <c r="F6" s="11" t="s">
        <v>500</v>
      </c>
      <c r="G6" s="11" t="s">
        <v>501</v>
      </c>
      <c r="H6" s="11" t="s">
        <v>2551</v>
      </c>
      <c r="I6" s="11" t="s">
        <v>2552</v>
      </c>
      <c r="J6" s="11" t="s">
        <v>2553</v>
      </c>
      <c r="K6" s="10" t="s">
        <v>2541</v>
      </c>
      <c r="L6" s="10" t="s">
        <v>499</v>
      </c>
      <c r="M6" s="11" t="s">
        <v>2554</v>
      </c>
    </row>
    <row r="7" spans="1:13" ht="72.599999999999994" customHeight="1">
      <c r="A7" s="10" t="s">
        <v>2555</v>
      </c>
      <c r="B7" s="10" t="s">
        <v>117</v>
      </c>
      <c r="C7" s="10" t="s">
        <v>118</v>
      </c>
      <c r="D7" s="10" t="s">
        <v>1110</v>
      </c>
      <c r="E7" s="10" t="s">
        <v>2556</v>
      </c>
      <c r="F7" s="11" t="s">
        <v>2557</v>
      </c>
      <c r="G7" s="11" t="s">
        <v>2558</v>
      </c>
      <c r="H7" s="11" t="s">
        <v>2559</v>
      </c>
      <c r="I7" s="11" t="s">
        <v>2560</v>
      </c>
      <c r="J7" s="11" t="s">
        <v>2561</v>
      </c>
      <c r="K7" s="10" t="s">
        <v>1782</v>
      </c>
      <c r="L7" s="10" t="s">
        <v>505</v>
      </c>
      <c r="M7" s="11" t="s">
        <v>2562</v>
      </c>
    </row>
    <row r="8" spans="1:13" ht="43.5" customHeight="1">
      <c r="A8" s="10" t="s">
        <v>2563</v>
      </c>
      <c r="B8" s="10" t="s">
        <v>131</v>
      </c>
      <c r="C8" s="10" t="s">
        <v>132</v>
      </c>
      <c r="D8" s="10"/>
      <c r="E8" s="10" t="s">
        <v>2564</v>
      </c>
      <c r="F8" s="11" t="s">
        <v>2565</v>
      </c>
      <c r="G8" s="11" t="s">
        <v>595</v>
      </c>
      <c r="H8" s="11" t="s">
        <v>2566</v>
      </c>
      <c r="I8" s="11" t="s">
        <v>2567</v>
      </c>
      <c r="J8" s="11" t="s">
        <v>2568</v>
      </c>
      <c r="K8" s="10" t="s">
        <v>1774</v>
      </c>
      <c r="L8" s="10" t="s">
        <v>593</v>
      </c>
      <c r="M8" s="11" t="s">
        <v>2569</v>
      </c>
    </row>
    <row r="9" spans="1:13" ht="57.95" customHeight="1">
      <c r="A9" s="10" t="s">
        <v>2570</v>
      </c>
      <c r="B9" s="10" t="s">
        <v>131</v>
      </c>
      <c r="C9" s="10" t="s">
        <v>132</v>
      </c>
      <c r="D9" s="10"/>
      <c r="E9" s="10" t="s">
        <v>2564</v>
      </c>
      <c r="F9" s="11" t="s">
        <v>2571</v>
      </c>
      <c r="G9" s="11" t="s">
        <v>601</v>
      </c>
      <c r="H9" s="11" t="s">
        <v>2572</v>
      </c>
      <c r="I9" s="11" t="s">
        <v>2573</v>
      </c>
      <c r="J9" s="11" t="s">
        <v>2574</v>
      </c>
      <c r="K9" s="10" t="s">
        <v>2575</v>
      </c>
      <c r="L9" s="10" t="s">
        <v>599</v>
      </c>
      <c r="M9" s="11" t="s">
        <v>2576</v>
      </c>
    </row>
    <row r="10" spans="1:13" ht="43.5" customHeight="1">
      <c r="A10" s="10" t="s">
        <v>2577</v>
      </c>
      <c r="B10" s="10" t="s">
        <v>131</v>
      </c>
      <c r="C10" s="10" t="s">
        <v>132</v>
      </c>
      <c r="D10" s="10" t="s">
        <v>1168</v>
      </c>
      <c r="E10" s="10" t="s">
        <v>2578</v>
      </c>
      <c r="F10" s="11" t="s">
        <v>2579</v>
      </c>
      <c r="G10" s="11" t="s">
        <v>607</v>
      </c>
      <c r="H10" s="11" t="s">
        <v>2580</v>
      </c>
      <c r="I10" s="11" t="s">
        <v>2581</v>
      </c>
      <c r="J10" s="11" t="s">
        <v>2582</v>
      </c>
      <c r="K10" s="10" t="s">
        <v>2541</v>
      </c>
      <c r="L10" s="10" t="s">
        <v>605</v>
      </c>
      <c r="M10" s="11" t="s">
        <v>2583</v>
      </c>
    </row>
    <row r="11" spans="1:13" ht="43.5" customHeight="1">
      <c r="A11" s="10" t="s">
        <v>2584</v>
      </c>
      <c r="B11" s="10" t="s">
        <v>131</v>
      </c>
      <c r="C11" s="10" t="s">
        <v>132</v>
      </c>
      <c r="D11" s="10"/>
      <c r="E11" s="10" t="s">
        <v>2018</v>
      </c>
      <c r="F11" s="11" t="s">
        <v>2585</v>
      </c>
      <c r="G11" s="11" t="s">
        <v>2586</v>
      </c>
      <c r="H11" s="11" t="s">
        <v>2587</v>
      </c>
      <c r="I11" s="11" t="s">
        <v>2588</v>
      </c>
      <c r="J11" s="11" t="s">
        <v>2589</v>
      </c>
      <c r="K11" s="10" t="s">
        <v>1782</v>
      </c>
      <c r="L11" s="10" t="s">
        <v>611</v>
      </c>
      <c r="M11" s="11" t="s">
        <v>2590</v>
      </c>
    </row>
    <row r="12" spans="1:13" ht="43.5" customHeight="1">
      <c r="A12" s="10" t="s">
        <v>2591</v>
      </c>
      <c r="B12" s="10" t="s">
        <v>161</v>
      </c>
      <c r="C12" s="10" t="s">
        <v>162</v>
      </c>
      <c r="D12" s="10"/>
      <c r="E12" s="10" t="s">
        <v>2592</v>
      </c>
      <c r="F12" s="11" t="s">
        <v>2593</v>
      </c>
      <c r="G12" s="11" t="s">
        <v>2594</v>
      </c>
      <c r="H12" s="11" t="s">
        <v>2595</v>
      </c>
      <c r="I12" s="11" t="s">
        <v>2596</v>
      </c>
      <c r="J12" s="11" t="s">
        <v>2597</v>
      </c>
      <c r="K12" s="10" t="s">
        <v>2598</v>
      </c>
      <c r="L12" s="10" t="s">
        <v>682</v>
      </c>
      <c r="M12" s="11" t="s">
        <v>2599</v>
      </c>
    </row>
    <row r="13" spans="1:13" ht="57.95" customHeight="1">
      <c r="A13" s="10" t="s">
        <v>2600</v>
      </c>
      <c r="B13" s="10" t="s">
        <v>161</v>
      </c>
      <c r="C13" s="10" t="s">
        <v>162</v>
      </c>
      <c r="D13" s="10"/>
      <c r="E13" s="10" t="s">
        <v>2601</v>
      </c>
      <c r="F13" s="11" t="s">
        <v>689</v>
      </c>
      <c r="G13" s="11" t="s">
        <v>2602</v>
      </c>
      <c r="H13" s="11" t="s">
        <v>2603</v>
      </c>
      <c r="I13" s="11" t="s">
        <v>2604</v>
      </c>
      <c r="J13" s="11" t="s">
        <v>2605</v>
      </c>
      <c r="K13" s="10" t="s">
        <v>1774</v>
      </c>
      <c r="L13" s="10" t="s">
        <v>688</v>
      </c>
      <c r="M13" s="11" t="s">
        <v>2606</v>
      </c>
    </row>
    <row r="14" spans="1:13" ht="43.5" customHeight="1">
      <c r="A14" s="10" t="s">
        <v>2607</v>
      </c>
      <c r="B14" s="10" t="s">
        <v>161</v>
      </c>
      <c r="C14" s="10" t="s">
        <v>162</v>
      </c>
      <c r="D14" s="10" t="s">
        <v>1132</v>
      </c>
      <c r="E14" s="10" t="s">
        <v>2556</v>
      </c>
      <c r="F14" s="11" t="s">
        <v>694</v>
      </c>
      <c r="G14" s="11" t="s">
        <v>2608</v>
      </c>
      <c r="H14" s="11" t="s">
        <v>2609</v>
      </c>
      <c r="I14" s="11" t="s">
        <v>2610</v>
      </c>
      <c r="J14" s="11" t="s">
        <v>2611</v>
      </c>
      <c r="K14" s="10" t="s">
        <v>1774</v>
      </c>
      <c r="L14" s="10" t="s">
        <v>693</v>
      </c>
      <c r="M14" s="11" t="s">
        <v>2612</v>
      </c>
    </row>
    <row r="15" spans="1:13" ht="43.5" customHeight="1">
      <c r="A15" s="10" t="s">
        <v>2613</v>
      </c>
      <c r="B15" s="10" t="s">
        <v>161</v>
      </c>
      <c r="C15" s="10" t="s">
        <v>162</v>
      </c>
      <c r="D15" s="10"/>
      <c r="E15" s="10" t="s">
        <v>2614</v>
      </c>
      <c r="F15" s="11" t="s">
        <v>2615</v>
      </c>
      <c r="G15" s="11" t="s">
        <v>2616</v>
      </c>
      <c r="H15" s="11" t="s">
        <v>2617</v>
      </c>
      <c r="I15" s="11" t="s">
        <v>2618</v>
      </c>
      <c r="J15" s="11" t="s">
        <v>2619</v>
      </c>
      <c r="K15" s="10" t="s">
        <v>1782</v>
      </c>
      <c r="L15" s="10" t="s">
        <v>698</v>
      </c>
      <c r="M15" s="11" t="s">
        <v>703</v>
      </c>
    </row>
    <row r="16" spans="1:13" ht="43.5" customHeight="1">
      <c r="A16" s="10" t="s">
        <v>2620</v>
      </c>
      <c r="B16" s="10" t="s">
        <v>90</v>
      </c>
      <c r="C16" s="10" t="s">
        <v>91</v>
      </c>
      <c r="D16" s="10"/>
      <c r="E16" s="10" t="s">
        <v>2621</v>
      </c>
      <c r="F16" s="11" t="s">
        <v>2622</v>
      </c>
      <c r="G16" s="11" t="s">
        <v>1012</v>
      </c>
      <c r="H16" s="11" t="s">
        <v>2623</v>
      </c>
      <c r="I16" s="11" t="s">
        <v>2624</v>
      </c>
      <c r="J16" s="11" t="s">
        <v>2625</v>
      </c>
      <c r="K16" s="10" t="s">
        <v>1010</v>
      </c>
      <c r="L16" s="10"/>
      <c r="M16" s="11"/>
    </row>
    <row r="17" spans="1:13" ht="43.5" customHeight="1">
      <c r="A17" s="10" t="s">
        <v>2626</v>
      </c>
      <c r="B17" s="10" t="s">
        <v>90</v>
      </c>
      <c r="C17" s="10" t="s">
        <v>91</v>
      </c>
      <c r="D17" s="10"/>
      <c r="E17" s="10" t="s">
        <v>290</v>
      </c>
      <c r="F17" s="11" t="s">
        <v>1001</v>
      </c>
      <c r="G17" s="11" t="s">
        <v>1001</v>
      </c>
      <c r="H17" s="11" t="s">
        <v>2627</v>
      </c>
      <c r="I17" s="11" t="s">
        <v>2628</v>
      </c>
      <c r="J17" s="11" t="s">
        <v>2629</v>
      </c>
      <c r="K17" s="10" t="s">
        <v>1000</v>
      </c>
      <c r="L17" s="10"/>
      <c r="M17" s="11"/>
    </row>
    <row r="18" spans="1:13" ht="43.5" customHeight="1">
      <c r="A18" s="10" t="s">
        <v>2630</v>
      </c>
      <c r="B18" s="10" t="s">
        <v>90</v>
      </c>
      <c r="C18" s="10" t="s">
        <v>91</v>
      </c>
      <c r="D18" s="10"/>
      <c r="E18" s="10" t="s">
        <v>2631</v>
      </c>
      <c r="F18" s="11" t="s">
        <v>1006</v>
      </c>
      <c r="G18" s="11" t="s">
        <v>1007</v>
      </c>
      <c r="H18" s="11" t="s">
        <v>2632</v>
      </c>
      <c r="I18" s="11" t="s">
        <v>2633</v>
      </c>
      <c r="J18" s="11" t="s">
        <v>2634</v>
      </c>
      <c r="K18" s="10" t="s">
        <v>1005</v>
      </c>
      <c r="L18" s="10"/>
      <c r="M18" s="11"/>
    </row>
    <row r="19" spans="1:13" ht="43.5" customHeight="1">
      <c r="A19" s="10" t="s">
        <v>2635</v>
      </c>
      <c r="B19" s="10" t="s">
        <v>90</v>
      </c>
      <c r="C19" s="10" t="s">
        <v>91</v>
      </c>
      <c r="D19" s="10"/>
      <c r="E19" s="10" t="s">
        <v>311</v>
      </c>
      <c r="F19" s="11" t="s">
        <v>2636</v>
      </c>
      <c r="G19" s="11" t="s">
        <v>1018</v>
      </c>
      <c r="H19" s="11" t="s">
        <v>2637</v>
      </c>
      <c r="I19" s="11" t="s">
        <v>2638</v>
      </c>
      <c r="J19" s="11" t="s">
        <v>2639</v>
      </c>
      <c r="K19" s="10" t="s">
        <v>1016</v>
      </c>
      <c r="L19" s="10"/>
      <c r="M19" s="11"/>
    </row>
    <row r="20" spans="1:13" ht="43.5" customHeight="1">
      <c r="A20" s="10" t="s">
        <v>2640</v>
      </c>
      <c r="B20" s="10" t="s">
        <v>102</v>
      </c>
      <c r="C20" s="10" t="s">
        <v>103</v>
      </c>
      <c r="D20" s="10"/>
      <c r="E20" s="10" t="s">
        <v>2641</v>
      </c>
      <c r="F20" s="11" t="s">
        <v>2642</v>
      </c>
      <c r="G20" s="11" t="s">
        <v>978</v>
      </c>
      <c r="H20" s="11" t="s">
        <v>2643</v>
      </c>
      <c r="I20" s="11" t="s">
        <v>2644</v>
      </c>
      <c r="J20" s="11" t="s">
        <v>2645</v>
      </c>
      <c r="K20" s="10" t="s">
        <v>976</v>
      </c>
      <c r="L20" s="10"/>
      <c r="M20" s="11"/>
    </row>
    <row r="21" spans="1:13" ht="57.95" customHeight="1">
      <c r="A21" s="10" t="s">
        <v>2646</v>
      </c>
      <c r="B21" s="10" t="s">
        <v>102</v>
      </c>
      <c r="C21" s="10" t="s">
        <v>103</v>
      </c>
      <c r="D21" s="10"/>
      <c r="E21" s="10" t="s">
        <v>2647</v>
      </c>
      <c r="F21" s="11" t="s">
        <v>2648</v>
      </c>
      <c r="G21" s="11" t="s">
        <v>984</v>
      </c>
      <c r="H21" s="11" t="s">
        <v>2649</v>
      </c>
      <c r="I21" s="11" t="s">
        <v>2650</v>
      </c>
      <c r="J21" s="11" t="s">
        <v>2651</v>
      </c>
      <c r="K21" s="10" t="s">
        <v>982</v>
      </c>
      <c r="L21" s="10"/>
      <c r="M21" s="11"/>
    </row>
    <row r="22" spans="1:13" ht="43.5" customHeight="1">
      <c r="A22" s="10" t="s">
        <v>2652</v>
      </c>
      <c r="B22" s="10" t="s">
        <v>102</v>
      </c>
      <c r="C22" s="10" t="s">
        <v>103</v>
      </c>
      <c r="D22" s="10"/>
      <c r="E22" s="10" t="s">
        <v>1971</v>
      </c>
      <c r="F22" s="11" t="s">
        <v>2653</v>
      </c>
      <c r="G22" s="11" t="s">
        <v>990</v>
      </c>
      <c r="H22" s="11" t="s">
        <v>2654</v>
      </c>
      <c r="I22" s="11" t="s">
        <v>2655</v>
      </c>
      <c r="J22" s="11" t="s">
        <v>2656</v>
      </c>
      <c r="K22" s="10" t="s">
        <v>988</v>
      </c>
      <c r="L22" s="10"/>
      <c r="M22" s="11"/>
    </row>
    <row r="23" spans="1:13" ht="43.5" customHeight="1">
      <c r="A23" s="10" t="s">
        <v>2657</v>
      </c>
      <c r="B23" s="10" t="s">
        <v>102</v>
      </c>
      <c r="C23" s="10" t="s">
        <v>103</v>
      </c>
      <c r="D23" s="10"/>
      <c r="E23" s="10" t="s">
        <v>2658</v>
      </c>
      <c r="F23" s="11" t="s">
        <v>995</v>
      </c>
      <c r="G23" s="11" t="s">
        <v>996</v>
      </c>
      <c r="H23" s="11" t="s">
        <v>2659</v>
      </c>
      <c r="I23" s="11" t="s">
        <v>2660</v>
      </c>
      <c r="J23" s="11" t="s">
        <v>2661</v>
      </c>
      <c r="K23" s="10" t="s">
        <v>994</v>
      </c>
      <c r="L23" s="10"/>
      <c r="M23" s="11"/>
    </row>
    <row r="24" spans="1:13" ht="29.1" customHeight="1">
      <c r="A24" s="10" t="s">
        <v>2662</v>
      </c>
      <c r="B24" s="10" t="s">
        <v>108</v>
      </c>
      <c r="C24" s="10" t="s">
        <v>109</v>
      </c>
      <c r="D24" s="10"/>
      <c r="E24" s="10" t="s">
        <v>2564</v>
      </c>
      <c r="F24" s="11" t="s">
        <v>2663</v>
      </c>
      <c r="G24" s="11" t="s">
        <v>955</v>
      </c>
      <c r="H24" s="11" t="s">
        <v>2664</v>
      </c>
      <c r="I24" s="11" t="s">
        <v>2665</v>
      </c>
      <c r="J24" s="11" t="s">
        <v>2666</v>
      </c>
      <c r="K24" s="10" t="s">
        <v>953</v>
      </c>
      <c r="L24" s="10"/>
      <c r="M24" s="11"/>
    </row>
    <row r="25" spans="1:13" ht="29.1" customHeight="1">
      <c r="A25" s="10" t="s">
        <v>2667</v>
      </c>
      <c r="B25" s="10" t="s">
        <v>108</v>
      </c>
      <c r="C25" s="10" t="s">
        <v>109</v>
      </c>
      <c r="D25" s="10"/>
      <c r="E25" s="10" t="s">
        <v>290</v>
      </c>
      <c r="F25" s="11" t="s">
        <v>2668</v>
      </c>
      <c r="G25" s="11" t="s">
        <v>966</v>
      </c>
      <c r="H25" s="11" t="s">
        <v>2669</v>
      </c>
      <c r="I25" s="11" t="s">
        <v>2670</v>
      </c>
      <c r="J25" s="11" t="s">
        <v>2671</v>
      </c>
      <c r="K25" s="10" t="s">
        <v>965</v>
      </c>
      <c r="L25" s="10"/>
      <c r="M25" s="11"/>
    </row>
    <row r="26" spans="1:13" ht="43.5" customHeight="1">
      <c r="A26" s="10" t="s">
        <v>2672</v>
      </c>
      <c r="B26" s="10" t="s">
        <v>108</v>
      </c>
      <c r="C26" s="10" t="s">
        <v>109</v>
      </c>
      <c r="D26" s="10"/>
      <c r="E26" s="10" t="s">
        <v>290</v>
      </c>
      <c r="F26" s="11" t="s">
        <v>960</v>
      </c>
      <c r="G26" s="11" t="s">
        <v>961</v>
      </c>
      <c r="H26" s="11" t="s">
        <v>2673</v>
      </c>
      <c r="I26" s="11" t="s">
        <v>2674</v>
      </c>
      <c r="J26" s="11" t="s">
        <v>2675</v>
      </c>
      <c r="K26" s="10" t="s">
        <v>959</v>
      </c>
      <c r="L26" s="10"/>
      <c r="M26" s="11"/>
    </row>
    <row r="27" spans="1:13" ht="43.5" customHeight="1">
      <c r="A27" s="10" t="s">
        <v>2676</v>
      </c>
      <c r="B27" s="10" t="s">
        <v>108</v>
      </c>
      <c r="C27" s="10" t="s">
        <v>109</v>
      </c>
      <c r="D27" s="10"/>
      <c r="E27" s="10" t="s">
        <v>2677</v>
      </c>
      <c r="F27" s="11" t="s">
        <v>2678</v>
      </c>
      <c r="G27" s="11" t="s">
        <v>2679</v>
      </c>
      <c r="H27" s="11" t="s">
        <v>2680</v>
      </c>
      <c r="I27" s="11" t="s">
        <v>2681</v>
      </c>
      <c r="J27" s="11" t="s">
        <v>2682</v>
      </c>
      <c r="K27" s="10" t="s">
        <v>970</v>
      </c>
      <c r="L27" s="10"/>
      <c r="M27" s="11"/>
    </row>
    <row r="28" spans="1:13" ht="43.5" customHeight="1">
      <c r="A28" s="10" t="s">
        <v>2683</v>
      </c>
      <c r="B28" s="10" t="s">
        <v>124</v>
      </c>
      <c r="C28" s="10" t="s">
        <v>125</v>
      </c>
      <c r="D28" s="10"/>
      <c r="E28" s="10" t="s">
        <v>1971</v>
      </c>
      <c r="F28" s="11" t="s">
        <v>841</v>
      </c>
      <c r="G28" s="11" t="s">
        <v>842</v>
      </c>
      <c r="H28" s="11" t="s">
        <v>2684</v>
      </c>
      <c r="I28" s="11" t="s">
        <v>2685</v>
      </c>
      <c r="J28" s="11" t="s">
        <v>2686</v>
      </c>
      <c r="K28" s="10" t="s">
        <v>840</v>
      </c>
      <c r="L28" s="10"/>
      <c r="M28" s="11"/>
    </row>
    <row r="29" spans="1:13" ht="43.5" customHeight="1">
      <c r="A29" s="10" t="s">
        <v>2687</v>
      </c>
      <c r="B29" s="10" t="s">
        <v>124</v>
      </c>
      <c r="C29" s="10" t="s">
        <v>125</v>
      </c>
      <c r="D29" s="10"/>
      <c r="E29" s="10" t="s">
        <v>2688</v>
      </c>
      <c r="F29" s="11" t="s">
        <v>847</v>
      </c>
      <c r="G29" s="11" t="s">
        <v>847</v>
      </c>
      <c r="H29" s="11" t="s">
        <v>2689</v>
      </c>
      <c r="I29" s="11" t="s">
        <v>2690</v>
      </c>
      <c r="J29" s="11" t="s">
        <v>2691</v>
      </c>
      <c r="K29" s="10" t="s">
        <v>846</v>
      </c>
      <c r="L29" s="10"/>
      <c r="M29" s="11"/>
    </row>
    <row r="30" spans="1:13" ht="43.5" customHeight="1">
      <c r="A30" s="10" t="s">
        <v>2692</v>
      </c>
      <c r="B30" s="10" t="s">
        <v>124</v>
      </c>
      <c r="C30" s="10" t="s">
        <v>125</v>
      </c>
      <c r="D30" s="10"/>
      <c r="E30" s="10" t="s">
        <v>2693</v>
      </c>
      <c r="F30" s="11" t="s">
        <v>851</v>
      </c>
      <c r="G30" s="11" t="s">
        <v>852</v>
      </c>
      <c r="H30" s="11" t="s">
        <v>2694</v>
      </c>
      <c r="I30" s="11" t="s">
        <v>2695</v>
      </c>
      <c r="J30" s="11" t="s">
        <v>2696</v>
      </c>
      <c r="K30" s="10" t="s">
        <v>850</v>
      </c>
      <c r="L30" s="10"/>
      <c r="M30" s="11"/>
    </row>
    <row r="31" spans="1:13" ht="43.5" customHeight="1">
      <c r="A31" s="10" t="s">
        <v>2697</v>
      </c>
      <c r="B31" s="10" t="s">
        <v>124</v>
      </c>
      <c r="C31" s="10" t="s">
        <v>125</v>
      </c>
      <c r="D31" s="10"/>
      <c r="E31" s="10" t="s">
        <v>2698</v>
      </c>
      <c r="F31" s="11" t="s">
        <v>2699</v>
      </c>
      <c r="G31" s="11" t="s">
        <v>2700</v>
      </c>
      <c r="H31" s="11" t="s">
        <v>2701</v>
      </c>
      <c r="I31" s="11" t="s">
        <v>2702</v>
      </c>
      <c r="J31" s="11" t="s">
        <v>2703</v>
      </c>
      <c r="K31" s="10" t="s">
        <v>855</v>
      </c>
      <c r="L31" s="10"/>
      <c r="M31" s="11"/>
    </row>
    <row r="32" spans="1:13" ht="29.1" customHeight="1">
      <c r="A32" s="10" t="s">
        <v>2704</v>
      </c>
      <c r="B32" s="10" t="s">
        <v>136</v>
      </c>
      <c r="C32" s="10" t="s">
        <v>137</v>
      </c>
      <c r="D32" s="10"/>
      <c r="E32" s="10" t="s">
        <v>311</v>
      </c>
      <c r="F32" s="11" t="s">
        <v>2705</v>
      </c>
      <c r="G32" s="11" t="s">
        <v>909</v>
      </c>
      <c r="H32" s="11" t="s">
        <v>2706</v>
      </c>
      <c r="I32" s="11" t="s">
        <v>2707</v>
      </c>
      <c r="J32" s="11" t="s">
        <v>2708</v>
      </c>
      <c r="K32" s="10" t="s">
        <v>907</v>
      </c>
      <c r="L32" s="10"/>
      <c r="M32" s="11"/>
    </row>
    <row r="33" spans="1:13" ht="29.1" customHeight="1">
      <c r="A33" s="10" t="s">
        <v>2709</v>
      </c>
      <c r="B33" s="10" t="s">
        <v>136</v>
      </c>
      <c r="C33" s="10" t="s">
        <v>137</v>
      </c>
      <c r="D33" s="10"/>
      <c r="E33" s="10" t="s">
        <v>290</v>
      </c>
      <c r="F33" s="11" t="s">
        <v>2710</v>
      </c>
      <c r="G33" s="11" t="s">
        <v>915</v>
      </c>
      <c r="H33" s="11" t="s">
        <v>2711</v>
      </c>
      <c r="I33" s="11" t="s">
        <v>2712</v>
      </c>
      <c r="J33" s="11" t="s">
        <v>2713</v>
      </c>
      <c r="K33" s="10" t="s">
        <v>913</v>
      </c>
      <c r="L33" s="10"/>
      <c r="M33" s="11"/>
    </row>
    <row r="34" spans="1:13" ht="29.1" customHeight="1">
      <c r="A34" s="10" t="s">
        <v>2714</v>
      </c>
      <c r="B34" s="10" t="s">
        <v>136</v>
      </c>
      <c r="C34" s="10" t="s">
        <v>137</v>
      </c>
      <c r="D34" s="10"/>
      <c r="E34" s="10" t="s">
        <v>2715</v>
      </c>
      <c r="F34" s="11" t="s">
        <v>2716</v>
      </c>
      <c r="G34" s="11" t="s">
        <v>920</v>
      </c>
      <c r="H34" s="11" t="s">
        <v>2717</v>
      </c>
      <c r="I34" s="11" t="s">
        <v>2718</v>
      </c>
      <c r="J34" s="11" t="s">
        <v>2719</v>
      </c>
      <c r="K34" s="10" t="s">
        <v>919</v>
      </c>
      <c r="L34" s="10"/>
      <c r="M34" s="11"/>
    </row>
    <row r="35" spans="1:13" ht="29.1" customHeight="1">
      <c r="A35" s="10" t="s">
        <v>2720</v>
      </c>
      <c r="B35" s="10" t="s">
        <v>136</v>
      </c>
      <c r="C35" s="10" t="s">
        <v>137</v>
      </c>
      <c r="D35" s="10"/>
      <c r="E35" s="10" t="s">
        <v>2721</v>
      </c>
      <c r="F35" s="11" t="s">
        <v>925</v>
      </c>
      <c r="G35" s="11" t="s">
        <v>925</v>
      </c>
      <c r="H35" s="11" t="s">
        <v>2722</v>
      </c>
      <c r="I35" s="11" t="s">
        <v>2723</v>
      </c>
      <c r="J35" s="11" t="s">
        <v>2724</v>
      </c>
      <c r="K35" s="10" t="s">
        <v>924</v>
      </c>
      <c r="L35" s="10"/>
      <c r="M35" s="11"/>
    </row>
    <row r="36" spans="1:13" ht="29.1" customHeight="1">
      <c r="A36" s="10" t="s">
        <v>2725</v>
      </c>
      <c r="B36" s="10" t="s">
        <v>143</v>
      </c>
      <c r="C36" s="10" t="s">
        <v>144</v>
      </c>
      <c r="D36" s="10"/>
      <c r="E36" s="10" t="s">
        <v>2601</v>
      </c>
      <c r="F36" s="11" t="s">
        <v>2726</v>
      </c>
      <c r="G36" s="11" t="s">
        <v>863</v>
      </c>
      <c r="H36" s="11" t="s">
        <v>2727</v>
      </c>
      <c r="I36" s="11" t="s">
        <v>2728</v>
      </c>
      <c r="J36" s="11" t="s">
        <v>2729</v>
      </c>
      <c r="K36" s="10" t="s">
        <v>861</v>
      </c>
      <c r="L36" s="10"/>
      <c r="M36" s="11"/>
    </row>
    <row r="37" spans="1:13" ht="29.1" customHeight="1">
      <c r="A37" s="10" t="s">
        <v>2730</v>
      </c>
      <c r="B37" s="10" t="s">
        <v>143</v>
      </c>
      <c r="C37" s="10" t="s">
        <v>144</v>
      </c>
      <c r="D37" s="10"/>
      <c r="E37" s="10" t="s">
        <v>2564</v>
      </c>
      <c r="F37" s="11" t="s">
        <v>868</v>
      </c>
      <c r="G37" s="11" t="s">
        <v>869</v>
      </c>
      <c r="H37" s="11" t="s">
        <v>2731</v>
      </c>
      <c r="I37" s="11" t="s">
        <v>2732</v>
      </c>
      <c r="J37" s="11" t="s">
        <v>2733</v>
      </c>
      <c r="K37" s="10" t="s">
        <v>867</v>
      </c>
      <c r="L37" s="10"/>
      <c r="M37" s="11"/>
    </row>
    <row r="38" spans="1:13" ht="29.1" customHeight="1">
      <c r="A38" s="10" t="s">
        <v>2734</v>
      </c>
      <c r="B38" s="10" t="s">
        <v>143</v>
      </c>
      <c r="C38" s="10" t="s">
        <v>144</v>
      </c>
      <c r="D38" s="10"/>
      <c r="E38" s="10" t="s">
        <v>2556</v>
      </c>
      <c r="F38" s="11" t="s">
        <v>2735</v>
      </c>
      <c r="G38" s="11" t="s">
        <v>875</v>
      </c>
      <c r="H38" s="11" t="s">
        <v>2736</v>
      </c>
      <c r="I38" s="11" t="s">
        <v>2737</v>
      </c>
      <c r="J38" s="11" t="s">
        <v>2738</v>
      </c>
      <c r="K38" s="10" t="s">
        <v>873</v>
      </c>
      <c r="L38" s="10"/>
      <c r="M38" s="11"/>
    </row>
    <row r="39" spans="1:13" ht="29.1" customHeight="1">
      <c r="A39" s="10" t="s">
        <v>2739</v>
      </c>
      <c r="B39" s="10" t="s">
        <v>143</v>
      </c>
      <c r="C39" s="10" t="s">
        <v>144</v>
      </c>
      <c r="D39" s="10"/>
      <c r="E39" s="10" t="s">
        <v>2698</v>
      </c>
      <c r="F39" s="11" t="s">
        <v>2740</v>
      </c>
      <c r="G39" s="11" t="s">
        <v>601</v>
      </c>
      <c r="H39" s="11" t="s">
        <v>2741</v>
      </c>
      <c r="I39" s="11" t="s">
        <v>2742</v>
      </c>
      <c r="J39" s="11" t="s">
        <v>2743</v>
      </c>
      <c r="K39" s="10" t="s">
        <v>879</v>
      </c>
      <c r="L39" s="10"/>
      <c r="M39" s="11"/>
    </row>
    <row r="40" spans="1:13" ht="43.5" customHeight="1">
      <c r="A40" s="10" t="s">
        <v>2744</v>
      </c>
      <c r="B40" s="10" t="s">
        <v>150</v>
      </c>
      <c r="C40" s="10" t="s">
        <v>151</v>
      </c>
      <c r="D40" s="10"/>
      <c r="E40" s="10" t="s">
        <v>290</v>
      </c>
      <c r="F40" s="11" t="s">
        <v>885</v>
      </c>
      <c r="G40" s="11" t="s">
        <v>886</v>
      </c>
      <c r="H40" s="11" t="s">
        <v>2745</v>
      </c>
      <c r="I40" s="11" t="s">
        <v>2746</v>
      </c>
      <c r="J40" s="11" t="s">
        <v>2747</v>
      </c>
      <c r="K40" s="10" t="s">
        <v>884</v>
      </c>
      <c r="L40" s="10"/>
      <c r="M40" s="11"/>
    </row>
    <row r="41" spans="1:13" ht="29.1" customHeight="1">
      <c r="A41" s="10" t="s">
        <v>2748</v>
      </c>
      <c r="B41" s="10" t="s">
        <v>150</v>
      </c>
      <c r="C41" s="10" t="s">
        <v>151</v>
      </c>
      <c r="D41" s="10"/>
      <c r="E41" s="10" t="s">
        <v>2749</v>
      </c>
      <c r="F41" s="11" t="s">
        <v>2750</v>
      </c>
      <c r="G41" s="11" t="s">
        <v>892</v>
      </c>
      <c r="H41" s="11" t="s">
        <v>2751</v>
      </c>
      <c r="I41" s="11" t="s">
        <v>2752</v>
      </c>
      <c r="J41" s="11" t="s">
        <v>2753</v>
      </c>
      <c r="K41" s="10" t="s">
        <v>890</v>
      </c>
      <c r="L41" s="10"/>
      <c r="M41" s="11"/>
    </row>
    <row r="42" spans="1:13" ht="43.5" customHeight="1">
      <c r="A42" s="10" t="s">
        <v>2754</v>
      </c>
      <c r="B42" s="10" t="s">
        <v>150</v>
      </c>
      <c r="C42" s="10" t="s">
        <v>151</v>
      </c>
      <c r="D42" s="10"/>
      <c r="E42" s="10" t="s">
        <v>290</v>
      </c>
      <c r="F42" s="11" t="s">
        <v>2755</v>
      </c>
      <c r="G42" s="11" t="s">
        <v>898</v>
      </c>
      <c r="H42" s="11" t="s">
        <v>2756</v>
      </c>
      <c r="I42" s="11" t="s">
        <v>2757</v>
      </c>
      <c r="J42" s="11" t="s">
        <v>2758</v>
      </c>
      <c r="K42" s="10" t="s">
        <v>896</v>
      </c>
      <c r="L42" s="10"/>
      <c r="M42" s="11"/>
    </row>
    <row r="43" spans="1:13" ht="43.5" customHeight="1">
      <c r="A43" s="10" t="s">
        <v>2759</v>
      </c>
      <c r="B43" s="10" t="s">
        <v>150</v>
      </c>
      <c r="C43" s="10" t="s">
        <v>151</v>
      </c>
      <c r="D43" s="10"/>
      <c r="E43" s="10" t="s">
        <v>2760</v>
      </c>
      <c r="F43" s="11" t="s">
        <v>903</v>
      </c>
      <c r="G43" s="11" t="s">
        <v>903</v>
      </c>
      <c r="H43" s="11" t="s">
        <v>2761</v>
      </c>
      <c r="I43" s="11" t="s">
        <v>2762</v>
      </c>
      <c r="J43" s="11" t="s">
        <v>2763</v>
      </c>
      <c r="K43" s="10" t="s">
        <v>902</v>
      </c>
      <c r="L43" s="10"/>
      <c r="M43" s="11"/>
    </row>
    <row r="44" spans="1:13" ht="29.1" customHeight="1">
      <c r="A44" s="10" t="s">
        <v>2764</v>
      </c>
      <c r="B44" s="10" t="s">
        <v>155</v>
      </c>
      <c r="C44" s="10" t="s">
        <v>156</v>
      </c>
      <c r="D44" s="10"/>
      <c r="E44" s="10" t="s">
        <v>1971</v>
      </c>
      <c r="F44" s="11" t="s">
        <v>2765</v>
      </c>
      <c r="G44" s="11" t="s">
        <v>931</v>
      </c>
      <c r="H44" s="11" t="s">
        <v>2766</v>
      </c>
      <c r="I44" s="11" t="s">
        <v>2767</v>
      </c>
      <c r="J44" s="11" t="s">
        <v>2768</v>
      </c>
      <c r="K44" s="10" t="s">
        <v>929</v>
      </c>
      <c r="L44" s="10"/>
      <c r="M44" s="11"/>
    </row>
    <row r="45" spans="1:13" ht="43.5" customHeight="1">
      <c r="A45" s="10" t="s">
        <v>2769</v>
      </c>
      <c r="B45" s="10" t="s">
        <v>155</v>
      </c>
      <c r="C45" s="10" t="s">
        <v>156</v>
      </c>
      <c r="D45" s="10"/>
      <c r="E45" s="10" t="s">
        <v>2647</v>
      </c>
      <c r="F45" s="11" t="s">
        <v>936</v>
      </c>
      <c r="G45" s="11" t="s">
        <v>937</v>
      </c>
      <c r="H45" s="11" t="s">
        <v>2770</v>
      </c>
      <c r="I45" s="11" t="s">
        <v>2771</v>
      </c>
      <c r="J45" s="11" t="s">
        <v>2772</v>
      </c>
      <c r="K45" s="10" t="s">
        <v>935</v>
      </c>
      <c r="L45" s="10"/>
      <c r="M45" s="11"/>
    </row>
    <row r="46" spans="1:13" ht="29.1" customHeight="1">
      <c r="A46" s="10" t="s">
        <v>2773</v>
      </c>
      <c r="B46" s="10" t="s">
        <v>155</v>
      </c>
      <c r="C46" s="10" t="s">
        <v>156</v>
      </c>
      <c r="D46" s="10"/>
      <c r="E46" s="10" t="s">
        <v>290</v>
      </c>
      <c r="F46" s="11" t="s">
        <v>2774</v>
      </c>
      <c r="G46" s="11" t="s">
        <v>943</v>
      </c>
      <c r="H46" s="11" t="s">
        <v>2775</v>
      </c>
      <c r="I46" s="11" t="s">
        <v>2776</v>
      </c>
      <c r="J46" s="11" t="s">
        <v>2777</v>
      </c>
      <c r="K46" s="10" t="s">
        <v>941</v>
      </c>
      <c r="L46" s="10"/>
      <c r="M46" s="11"/>
    </row>
    <row r="47" spans="1:13" ht="29.1" customHeight="1">
      <c r="A47" s="10" t="s">
        <v>2778</v>
      </c>
      <c r="B47" s="10" t="s">
        <v>155</v>
      </c>
      <c r="C47" s="10" t="s">
        <v>156</v>
      </c>
      <c r="D47" s="10"/>
      <c r="E47" s="10" t="s">
        <v>311</v>
      </c>
      <c r="F47" s="11" t="s">
        <v>948</v>
      </c>
      <c r="G47" s="11" t="s">
        <v>949</v>
      </c>
      <c r="H47" s="11" t="s">
        <v>2779</v>
      </c>
      <c r="I47" s="11" t="s">
        <v>2780</v>
      </c>
      <c r="J47" s="11" t="s">
        <v>2781</v>
      </c>
      <c r="K47" s="10" t="s">
        <v>947</v>
      </c>
      <c r="L47" s="10"/>
      <c r="M47" s="11"/>
    </row>
    <row r="48" spans="1:13">
      <c r="A48" s="10"/>
      <c r="B48" s="10"/>
      <c r="C48" s="10"/>
      <c r="D48" s="10"/>
      <c r="E48" s="10"/>
      <c r="F48" s="11"/>
      <c r="G48" s="11"/>
      <c r="H48" s="11"/>
      <c r="I48" s="11"/>
      <c r="J48" s="11"/>
      <c r="K48" s="10"/>
      <c r="L48" s="10"/>
      <c r="M48" s="11"/>
    </row>
    <row r="49" spans="1:13">
      <c r="A49" s="10"/>
      <c r="B49" s="10"/>
      <c r="C49" s="10"/>
      <c r="D49" s="10"/>
      <c r="E49" s="10"/>
      <c r="F49" s="11"/>
      <c r="G49" s="11"/>
      <c r="H49" s="11"/>
      <c r="I49" s="11"/>
      <c r="J49" s="11"/>
      <c r="K49" s="10"/>
      <c r="L49" s="10"/>
      <c r="M49" s="11"/>
    </row>
    <row r="50" spans="1:13">
      <c r="A50" s="10"/>
      <c r="B50" s="10"/>
      <c r="C50" s="10"/>
      <c r="D50" s="10"/>
      <c r="E50" s="10"/>
      <c r="F50" s="11"/>
      <c r="G50" s="11"/>
      <c r="H50" s="11"/>
      <c r="I50" s="11"/>
      <c r="J50" s="11"/>
      <c r="K50" s="10"/>
      <c r="L50" s="10"/>
      <c r="M50" s="11"/>
    </row>
    <row r="51" spans="1:13">
      <c r="A51" s="10"/>
      <c r="B51" s="10"/>
      <c r="C51" s="10"/>
      <c r="D51" s="10"/>
      <c r="E51" s="10"/>
      <c r="F51" s="11"/>
      <c r="G51" s="11"/>
      <c r="H51" s="11"/>
      <c r="I51" s="11"/>
      <c r="J51" s="11"/>
      <c r="K51" s="10"/>
      <c r="L51" s="10"/>
      <c r="M51" s="11"/>
    </row>
    <row r="52" spans="1:13">
      <c r="A52" s="10"/>
      <c r="B52" s="10"/>
      <c r="C52" s="10"/>
      <c r="D52" s="10"/>
      <c r="E52" s="10"/>
      <c r="F52" s="11"/>
      <c r="G52" s="11"/>
      <c r="H52" s="11"/>
      <c r="I52" s="11"/>
      <c r="J52" s="11"/>
      <c r="K52" s="10"/>
      <c r="L52" s="10"/>
      <c r="M52" s="11"/>
    </row>
    <row r="53" spans="1:13">
      <c r="A53" s="10"/>
      <c r="B53" s="10"/>
      <c r="C53" s="10"/>
      <c r="D53" s="10"/>
      <c r="E53" s="10"/>
      <c r="F53" s="11"/>
      <c r="G53" s="11"/>
      <c r="H53" s="11"/>
      <c r="I53" s="11"/>
      <c r="J53" s="11"/>
      <c r="K53" s="10"/>
      <c r="L53" s="10"/>
      <c r="M53" s="11"/>
    </row>
    <row r="54" spans="1:13">
      <c r="A54" s="10"/>
      <c r="B54" s="10"/>
      <c r="C54" s="10"/>
      <c r="D54" s="10"/>
      <c r="E54" s="10"/>
      <c r="F54" s="11"/>
      <c r="G54" s="11"/>
      <c r="H54" s="11"/>
      <c r="I54" s="11"/>
      <c r="J54" s="11"/>
      <c r="K54" s="10"/>
      <c r="L54" s="10"/>
      <c r="M54" s="11"/>
    </row>
    <row r="55" spans="1:13">
      <c r="A55" s="10"/>
      <c r="B55" s="10"/>
      <c r="C55" s="10"/>
      <c r="D55" s="10"/>
      <c r="E55" s="10"/>
      <c r="F55" s="11"/>
      <c r="G55" s="11"/>
      <c r="H55" s="11"/>
      <c r="I55" s="11"/>
      <c r="J55" s="11"/>
      <c r="K55" s="10"/>
      <c r="L55" s="10"/>
      <c r="M55" s="11"/>
    </row>
    <row r="56" spans="1:13">
      <c r="A56" s="10"/>
      <c r="B56" s="10"/>
      <c r="C56" s="10"/>
      <c r="D56" s="10"/>
      <c r="E56" s="10"/>
      <c r="F56" s="11"/>
      <c r="G56" s="11"/>
      <c r="H56" s="11"/>
      <c r="I56" s="11"/>
      <c r="J56" s="11"/>
      <c r="K56" s="10"/>
      <c r="L56" s="10"/>
      <c r="M56" s="11"/>
    </row>
    <row r="57" spans="1:13">
      <c r="A57" s="10"/>
      <c r="B57" s="10"/>
      <c r="C57" s="10"/>
      <c r="D57" s="10"/>
      <c r="E57" s="10"/>
      <c r="F57" s="11"/>
      <c r="G57" s="11"/>
      <c r="H57" s="11"/>
      <c r="I57" s="11"/>
      <c r="J57" s="11"/>
      <c r="K57" s="10"/>
      <c r="L57" s="10"/>
      <c r="M57" s="11"/>
    </row>
    <row r="58" spans="1:13">
      <c r="A58" s="10"/>
      <c r="B58" s="10"/>
      <c r="C58" s="10"/>
      <c r="D58" s="10"/>
      <c r="E58" s="10"/>
      <c r="F58" s="11"/>
      <c r="G58" s="11"/>
      <c r="H58" s="11"/>
      <c r="I58" s="11"/>
      <c r="J58" s="11"/>
      <c r="K58" s="10"/>
      <c r="L58" s="10"/>
      <c r="M58" s="11"/>
    </row>
    <row r="59" spans="1:13">
      <c r="A59" s="10"/>
      <c r="B59" s="10"/>
      <c r="C59" s="10"/>
      <c r="D59" s="10"/>
      <c r="E59" s="10"/>
      <c r="F59" s="11"/>
      <c r="G59" s="11"/>
      <c r="H59" s="11"/>
      <c r="I59" s="11"/>
      <c r="J59" s="11"/>
      <c r="K59" s="10"/>
      <c r="L59" s="10"/>
      <c r="M59" s="11"/>
    </row>
    <row r="60" spans="1:13">
      <c r="A60" s="10"/>
      <c r="B60" s="10"/>
      <c r="C60" s="10"/>
      <c r="D60" s="10"/>
      <c r="E60" s="10"/>
      <c r="F60" s="11"/>
      <c r="G60" s="11"/>
      <c r="H60" s="11"/>
      <c r="I60" s="11"/>
      <c r="J60" s="11"/>
      <c r="K60" s="10"/>
      <c r="L60" s="10"/>
      <c r="M60" s="11"/>
    </row>
    <row r="61" spans="1:13">
      <c r="A61" s="10"/>
      <c r="B61" s="10"/>
      <c r="C61" s="10"/>
      <c r="D61" s="10"/>
      <c r="E61" s="10"/>
      <c r="F61" s="11"/>
      <c r="G61" s="11"/>
      <c r="H61" s="11"/>
      <c r="I61" s="11"/>
      <c r="J61" s="11"/>
      <c r="K61" s="10"/>
      <c r="L61" s="10"/>
      <c r="M61" s="11"/>
    </row>
    <row r="62" spans="1:13">
      <c r="A62" s="10"/>
      <c r="B62" s="10"/>
      <c r="C62" s="10"/>
      <c r="D62" s="10"/>
      <c r="E62" s="10"/>
      <c r="F62" s="11"/>
      <c r="G62" s="11"/>
      <c r="H62" s="11"/>
      <c r="I62" s="11"/>
      <c r="J62" s="11"/>
      <c r="K62" s="10"/>
      <c r="L62" s="10"/>
      <c r="M62" s="11"/>
    </row>
    <row r="63" spans="1:13">
      <c r="A63" s="10"/>
      <c r="B63" s="10"/>
      <c r="C63" s="10"/>
      <c r="D63" s="10"/>
      <c r="E63" s="10"/>
      <c r="F63" s="11"/>
      <c r="G63" s="11"/>
      <c r="H63" s="11"/>
      <c r="I63" s="11"/>
      <c r="J63" s="11"/>
      <c r="K63" s="10"/>
      <c r="L63" s="10"/>
      <c r="M63" s="11"/>
    </row>
    <row r="64" spans="1:13">
      <c r="A64" s="10"/>
      <c r="B64" s="10"/>
      <c r="C64" s="10"/>
      <c r="D64" s="10"/>
      <c r="E64" s="10"/>
      <c r="F64" s="11"/>
      <c r="G64" s="11"/>
      <c r="H64" s="11"/>
      <c r="I64" s="11"/>
      <c r="J64" s="11"/>
      <c r="K64" s="10"/>
      <c r="L64" s="10"/>
      <c r="M64" s="11"/>
    </row>
    <row r="65" spans="1:13">
      <c r="A65" s="10"/>
      <c r="B65" s="10"/>
      <c r="C65" s="10"/>
      <c r="D65" s="10"/>
      <c r="E65" s="10"/>
      <c r="F65" s="11"/>
      <c r="G65" s="11"/>
      <c r="H65" s="11"/>
      <c r="I65" s="11"/>
      <c r="J65" s="11"/>
      <c r="K65" s="10"/>
      <c r="L65" s="10"/>
      <c r="M65" s="11"/>
    </row>
    <row r="66" spans="1:13">
      <c r="A66" s="10"/>
      <c r="B66" s="10"/>
      <c r="C66" s="10"/>
      <c r="D66" s="10"/>
      <c r="E66" s="10"/>
      <c r="F66" s="11"/>
      <c r="G66" s="11"/>
      <c r="H66" s="11"/>
      <c r="I66" s="11"/>
      <c r="J66" s="11"/>
      <c r="K66" s="10"/>
      <c r="L66" s="10"/>
      <c r="M66" s="11"/>
    </row>
    <row r="67" spans="1:13">
      <c r="A67" s="10"/>
      <c r="B67" s="10"/>
      <c r="C67" s="10"/>
      <c r="D67" s="10"/>
      <c r="E67" s="10"/>
      <c r="F67" s="11"/>
      <c r="G67" s="11"/>
      <c r="H67" s="11"/>
      <c r="I67" s="11"/>
      <c r="J67" s="11"/>
      <c r="K67" s="10"/>
      <c r="L67" s="10"/>
      <c r="M67" s="11"/>
    </row>
    <row r="68" spans="1:13">
      <c r="A68" s="10"/>
      <c r="B68" s="10"/>
      <c r="C68" s="10"/>
      <c r="D68" s="10"/>
      <c r="E68" s="10"/>
      <c r="F68" s="11"/>
      <c r="G68" s="11"/>
      <c r="H68" s="11"/>
      <c r="I68" s="11"/>
      <c r="J68" s="11"/>
      <c r="K68" s="10"/>
      <c r="L68" s="10"/>
      <c r="M68" s="11"/>
    </row>
    <row r="69" spans="1:13">
      <c r="A69" s="10"/>
      <c r="B69" s="10"/>
      <c r="C69" s="10"/>
      <c r="D69" s="10"/>
      <c r="E69" s="10"/>
      <c r="F69" s="11"/>
      <c r="G69" s="11"/>
      <c r="H69" s="11"/>
      <c r="I69" s="11"/>
      <c r="J69" s="11"/>
      <c r="K69" s="10"/>
      <c r="L69" s="10"/>
      <c r="M69" s="11"/>
    </row>
    <row r="70" spans="1:13">
      <c r="A70" s="10"/>
      <c r="B70" s="10"/>
      <c r="C70" s="10"/>
      <c r="D70" s="10"/>
      <c r="E70" s="10"/>
      <c r="F70" s="11"/>
      <c r="G70" s="11"/>
      <c r="H70" s="11"/>
      <c r="I70" s="11"/>
      <c r="J70" s="11"/>
      <c r="K70" s="10"/>
      <c r="L70" s="10"/>
      <c r="M70" s="11"/>
    </row>
    <row r="71" spans="1:13">
      <c r="A71" s="10"/>
      <c r="B71" s="10"/>
      <c r="C71" s="10"/>
      <c r="D71" s="10"/>
      <c r="E71" s="10"/>
      <c r="F71" s="11"/>
      <c r="G71" s="11"/>
      <c r="H71" s="11"/>
      <c r="I71" s="11"/>
      <c r="J71" s="11"/>
      <c r="K71" s="10"/>
      <c r="L71" s="10"/>
      <c r="M71" s="11"/>
    </row>
    <row r="72" spans="1:13">
      <c r="A72" s="10"/>
      <c r="B72" s="10"/>
      <c r="C72" s="10"/>
      <c r="D72" s="10"/>
      <c r="E72" s="10"/>
      <c r="F72" s="11"/>
      <c r="G72" s="11"/>
      <c r="H72" s="11"/>
      <c r="I72" s="11"/>
      <c r="J72" s="11"/>
      <c r="K72" s="10"/>
      <c r="L72" s="10"/>
      <c r="M72" s="11"/>
    </row>
    <row r="73" spans="1:13">
      <c r="A73" s="10"/>
      <c r="B73" s="10"/>
      <c r="C73" s="10"/>
      <c r="D73" s="10"/>
      <c r="E73" s="10"/>
      <c r="F73" s="11"/>
      <c r="G73" s="11"/>
      <c r="H73" s="11"/>
      <c r="I73" s="11"/>
      <c r="J73" s="11"/>
      <c r="K73" s="10"/>
      <c r="L73" s="10"/>
      <c r="M73" s="11"/>
    </row>
    <row r="74" spans="1:13">
      <c r="A74" s="10"/>
      <c r="B74" s="10"/>
      <c r="C74" s="10"/>
      <c r="D74" s="10"/>
      <c r="E74" s="10"/>
      <c r="F74" s="11"/>
      <c r="G74" s="11"/>
      <c r="H74" s="11"/>
      <c r="I74" s="11"/>
      <c r="J74" s="11"/>
      <c r="K74" s="10"/>
      <c r="L74" s="10"/>
      <c r="M74" s="11"/>
    </row>
    <row r="75" spans="1:13">
      <c r="A75" s="10"/>
      <c r="B75" s="10"/>
      <c r="C75" s="10"/>
      <c r="D75" s="10"/>
      <c r="E75" s="10"/>
      <c r="F75" s="11"/>
      <c r="G75" s="11"/>
      <c r="H75" s="11"/>
      <c r="I75" s="11"/>
      <c r="J75" s="11"/>
      <c r="K75" s="10"/>
      <c r="L75" s="10"/>
      <c r="M75" s="11"/>
    </row>
    <row r="76" spans="1:13">
      <c r="A76" s="10"/>
      <c r="B76" s="10"/>
      <c r="C76" s="10"/>
      <c r="D76" s="10"/>
      <c r="E76" s="10"/>
      <c r="F76" s="11"/>
      <c r="G76" s="11"/>
      <c r="H76" s="11"/>
      <c r="I76" s="11"/>
      <c r="J76" s="11"/>
      <c r="K76" s="10"/>
      <c r="L76" s="10"/>
      <c r="M76" s="11"/>
    </row>
    <row r="77" spans="1:13">
      <c r="A77" s="10"/>
      <c r="B77" s="10"/>
      <c r="C77" s="10"/>
      <c r="D77" s="10"/>
      <c r="E77" s="10"/>
      <c r="F77" s="11"/>
      <c r="G77" s="11"/>
      <c r="H77" s="11"/>
      <c r="I77" s="11"/>
      <c r="J77" s="11"/>
      <c r="K77" s="10"/>
      <c r="L77" s="10"/>
      <c r="M77" s="11"/>
    </row>
    <row r="78" spans="1:13">
      <c r="A78" s="10"/>
      <c r="B78" s="10"/>
      <c r="C78" s="10"/>
      <c r="D78" s="10"/>
      <c r="E78" s="10"/>
      <c r="F78" s="11"/>
      <c r="G78" s="11"/>
      <c r="H78" s="11"/>
      <c r="I78" s="11"/>
      <c r="J78" s="11"/>
      <c r="K78" s="10"/>
      <c r="L78" s="10"/>
      <c r="M78" s="11"/>
    </row>
    <row r="79" spans="1:13">
      <c r="A79" s="10"/>
      <c r="B79" s="10"/>
      <c r="C79" s="10"/>
      <c r="D79" s="10"/>
      <c r="E79" s="10"/>
      <c r="F79" s="11"/>
      <c r="G79" s="11"/>
      <c r="H79" s="11"/>
      <c r="I79" s="11"/>
      <c r="J79" s="11"/>
      <c r="K79" s="10"/>
      <c r="L79" s="10"/>
      <c r="M79" s="11"/>
    </row>
    <row r="80" spans="1:13">
      <c r="A80" s="10"/>
      <c r="B80" s="10"/>
      <c r="C80" s="10"/>
      <c r="D80" s="10"/>
      <c r="E80" s="10"/>
      <c r="F80" s="11"/>
      <c r="G80" s="11"/>
      <c r="H80" s="11"/>
      <c r="I80" s="11"/>
      <c r="J80" s="11"/>
      <c r="K80" s="10"/>
      <c r="L80" s="10"/>
      <c r="M80" s="11"/>
    </row>
    <row r="81" spans="1:13">
      <c r="A81" s="10"/>
      <c r="B81" s="10"/>
      <c r="C81" s="10"/>
      <c r="D81" s="10"/>
      <c r="E81" s="10"/>
      <c r="F81" s="11"/>
      <c r="G81" s="11"/>
      <c r="H81" s="11"/>
      <c r="I81" s="11"/>
      <c r="J81" s="11"/>
      <c r="K81" s="10"/>
      <c r="L81" s="10"/>
      <c r="M81" s="11"/>
    </row>
    <row r="82" spans="1:13">
      <c r="A82" s="10"/>
      <c r="B82" s="10"/>
      <c r="C82" s="10"/>
      <c r="D82" s="10"/>
      <c r="E82" s="10"/>
      <c r="F82" s="11"/>
      <c r="G82" s="11"/>
      <c r="H82" s="11"/>
      <c r="I82" s="11"/>
      <c r="J82" s="11"/>
      <c r="K82" s="10"/>
      <c r="L82" s="10"/>
      <c r="M82" s="11"/>
    </row>
    <row r="83" spans="1:13">
      <c r="A83" s="10"/>
      <c r="B83" s="10"/>
      <c r="C83" s="10"/>
      <c r="D83" s="10"/>
      <c r="E83" s="10"/>
      <c r="F83" s="11"/>
      <c r="G83" s="11"/>
      <c r="H83" s="11"/>
      <c r="I83" s="11"/>
      <c r="J83" s="11"/>
      <c r="K83" s="10"/>
      <c r="L83" s="10"/>
      <c r="M83" s="11"/>
    </row>
    <row r="84" spans="1:13">
      <c r="A84" s="10"/>
      <c r="B84" s="10"/>
      <c r="C84" s="10"/>
      <c r="D84" s="10"/>
      <c r="E84" s="10"/>
      <c r="F84" s="11"/>
      <c r="G84" s="11"/>
      <c r="H84" s="11"/>
      <c r="I84" s="11"/>
      <c r="J84" s="11"/>
      <c r="K84" s="10"/>
      <c r="L84" s="10"/>
      <c r="M84" s="11"/>
    </row>
    <row r="85" spans="1:13">
      <c r="A85" s="10"/>
      <c r="B85" s="10"/>
      <c r="C85" s="10"/>
      <c r="D85" s="10"/>
      <c r="E85" s="10"/>
      <c r="F85" s="11"/>
      <c r="G85" s="11"/>
      <c r="H85" s="11"/>
      <c r="I85" s="11"/>
      <c r="J85" s="11"/>
      <c r="K85" s="10"/>
      <c r="L85" s="10"/>
      <c r="M85" s="11"/>
    </row>
    <row r="86" spans="1:13">
      <c r="A86" s="10"/>
      <c r="B86" s="10"/>
      <c r="C86" s="10"/>
      <c r="D86" s="10"/>
      <c r="E86" s="10"/>
      <c r="F86" s="11"/>
      <c r="G86" s="11"/>
      <c r="H86" s="11"/>
      <c r="I86" s="11"/>
      <c r="J86" s="11"/>
      <c r="K86" s="10"/>
      <c r="L86" s="10"/>
      <c r="M86" s="11"/>
    </row>
    <row r="87" spans="1:13">
      <c r="A87" s="10"/>
      <c r="B87" s="10"/>
      <c r="C87" s="10"/>
      <c r="D87" s="10"/>
      <c r="E87" s="10"/>
      <c r="F87" s="11"/>
      <c r="G87" s="11"/>
      <c r="H87" s="11"/>
      <c r="I87" s="11"/>
      <c r="J87" s="11"/>
      <c r="K87" s="10"/>
      <c r="L87" s="10"/>
      <c r="M87" s="11"/>
    </row>
    <row r="88" spans="1:13">
      <c r="A88" s="10"/>
      <c r="B88" s="10"/>
      <c r="C88" s="10"/>
      <c r="D88" s="10"/>
      <c r="E88" s="10"/>
      <c r="F88" s="11"/>
      <c r="G88" s="11"/>
      <c r="H88" s="11"/>
      <c r="I88" s="11"/>
      <c r="J88" s="11"/>
      <c r="K88" s="10"/>
      <c r="L88" s="10"/>
      <c r="M88" s="11"/>
    </row>
    <row r="89" spans="1:13">
      <c r="A89" s="10"/>
      <c r="B89" s="10"/>
      <c r="C89" s="10"/>
      <c r="D89" s="10"/>
      <c r="E89" s="10"/>
      <c r="F89" s="11"/>
      <c r="G89" s="11"/>
      <c r="H89" s="11"/>
      <c r="I89" s="11"/>
      <c r="J89" s="11"/>
      <c r="K89" s="10"/>
      <c r="L89" s="10"/>
      <c r="M89" s="11"/>
    </row>
    <row r="90" spans="1:13">
      <c r="A90" s="10"/>
      <c r="B90" s="10"/>
      <c r="C90" s="10"/>
      <c r="D90" s="10"/>
      <c r="E90" s="10"/>
      <c r="F90" s="11"/>
      <c r="G90" s="11"/>
      <c r="H90" s="11"/>
      <c r="I90" s="11"/>
      <c r="J90" s="11"/>
      <c r="K90" s="10"/>
      <c r="L90" s="10"/>
      <c r="M90" s="11"/>
    </row>
    <row r="91" spans="1:13">
      <c r="A91" s="10"/>
      <c r="B91" s="10"/>
      <c r="C91" s="10"/>
      <c r="D91" s="10"/>
      <c r="E91" s="10"/>
      <c r="F91" s="11"/>
      <c r="G91" s="11"/>
      <c r="H91" s="11"/>
      <c r="I91" s="11"/>
      <c r="J91" s="11"/>
      <c r="K91" s="10"/>
      <c r="L91" s="10"/>
      <c r="M91" s="11"/>
    </row>
    <row r="92" spans="1:13">
      <c r="A92" s="10"/>
      <c r="B92" s="10"/>
      <c r="C92" s="10"/>
      <c r="D92" s="10"/>
      <c r="E92" s="10"/>
      <c r="F92" s="11"/>
      <c r="G92" s="11"/>
      <c r="H92" s="11"/>
      <c r="I92" s="11"/>
      <c r="J92" s="11"/>
      <c r="K92" s="10"/>
      <c r="L92" s="10"/>
      <c r="M92" s="11"/>
    </row>
    <row r="93" spans="1:13">
      <c r="A93" s="10"/>
      <c r="B93" s="10"/>
      <c r="C93" s="10"/>
      <c r="D93" s="10"/>
      <c r="E93" s="10"/>
      <c r="F93" s="11"/>
      <c r="G93" s="11"/>
      <c r="H93" s="11"/>
      <c r="I93" s="11"/>
      <c r="J93" s="11"/>
      <c r="K93" s="10"/>
      <c r="L93" s="10"/>
      <c r="M93" s="11"/>
    </row>
    <row r="94" spans="1:13">
      <c r="A94" s="10"/>
      <c r="B94" s="10"/>
      <c r="C94" s="10"/>
      <c r="D94" s="10"/>
      <c r="E94" s="10"/>
      <c r="F94" s="11"/>
      <c r="G94" s="11"/>
      <c r="H94" s="11"/>
      <c r="I94" s="11"/>
      <c r="J94" s="11"/>
      <c r="K94" s="10"/>
      <c r="L94" s="10"/>
      <c r="M94" s="11"/>
    </row>
    <row r="95" spans="1:13">
      <c r="A95" s="10"/>
      <c r="B95" s="10"/>
      <c r="C95" s="10"/>
      <c r="D95" s="10"/>
      <c r="E95" s="10"/>
      <c r="F95" s="11"/>
      <c r="G95" s="11"/>
      <c r="H95" s="11"/>
      <c r="I95" s="11"/>
      <c r="J95" s="11"/>
      <c r="K95" s="10"/>
      <c r="L95" s="10"/>
      <c r="M95" s="11"/>
    </row>
    <row r="96" spans="1:13">
      <c r="A96" s="10"/>
      <c r="B96" s="10"/>
      <c r="C96" s="10"/>
      <c r="D96" s="10"/>
      <c r="E96" s="10"/>
      <c r="F96" s="11"/>
      <c r="G96" s="11"/>
      <c r="H96" s="11"/>
      <c r="I96" s="11"/>
      <c r="J96" s="11"/>
      <c r="K96" s="10"/>
      <c r="L96" s="10"/>
      <c r="M96" s="11"/>
    </row>
    <row r="97" spans="1:13">
      <c r="A97" s="10"/>
      <c r="B97" s="10"/>
      <c r="C97" s="10"/>
      <c r="D97" s="10"/>
      <c r="E97" s="10"/>
      <c r="F97" s="11"/>
      <c r="G97" s="11"/>
      <c r="H97" s="11"/>
      <c r="I97" s="11"/>
      <c r="J97" s="11"/>
      <c r="K97" s="10"/>
      <c r="L97" s="10"/>
      <c r="M97" s="11"/>
    </row>
    <row r="98" spans="1:13">
      <c r="A98" s="10"/>
      <c r="B98" s="10"/>
      <c r="C98" s="10"/>
      <c r="D98" s="10"/>
      <c r="E98" s="10"/>
      <c r="F98" s="11"/>
      <c r="G98" s="11"/>
      <c r="H98" s="11"/>
      <c r="I98" s="11"/>
      <c r="J98" s="11"/>
      <c r="K98" s="10"/>
      <c r="L98" s="10"/>
      <c r="M98" s="11"/>
    </row>
    <row r="99" spans="1:13">
      <c r="A99" s="10"/>
      <c r="B99" s="10"/>
      <c r="C99" s="10"/>
      <c r="D99" s="10"/>
      <c r="E99" s="10"/>
      <c r="F99" s="11"/>
      <c r="G99" s="11"/>
      <c r="H99" s="11"/>
      <c r="I99" s="11"/>
      <c r="J99" s="11"/>
      <c r="K99" s="10"/>
      <c r="L99" s="10"/>
      <c r="M99" s="11"/>
    </row>
    <row r="100" spans="1:13">
      <c r="A100" s="10"/>
      <c r="B100" s="10"/>
      <c r="C100" s="10"/>
      <c r="D100" s="10"/>
      <c r="E100" s="10"/>
      <c r="F100" s="11"/>
      <c r="G100" s="11"/>
      <c r="H100" s="11"/>
      <c r="I100" s="11"/>
      <c r="J100" s="11"/>
      <c r="K100" s="10"/>
      <c r="L100" s="10"/>
      <c r="M100" s="11"/>
    </row>
    <row r="101" spans="1:13">
      <c r="A101" s="10"/>
      <c r="B101" s="10"/>
      <c r="C101" s="10"/>
      <c r="D101" s="10"/>
      <c r="E101" s="10"/>
      <c r="F101" s="11"/>
      <c r="G101" s="11"/>
      <c r="H101" s="11"/>
      <c r="I101" s="11"/>
      <c r="J101" s="11"/>
      <c r="K101" s="10"/>
      <c r="L101" s="10"/>
      <c r="M101" s="11"/>
    </row>
    <row r="102" spans="1:13">
      <c r="A102" s="10"/>
      <c r="B102" s="10"/>
      <c r="C102" s="10"/>
      <c r="D102" s="10"/>
      <c r="E102" s="10"/>
      <c r="F102" s="11"/>
      <c r="G102" s="11"/>
      <c r="H102" s="11"/>
      <c r="I102" s="11"/>
      <c r="J102" s="11"/>
      <c r="K102" s="10"/>
      <c r="L102" s="10"/>
      <c r="M102" s="11"/>
    </row>
    <row r="103" spans="1:13">
      <c r="A103" s="10"/>
      <c r="B103" s="10"/>
      <c r="C103" s="10"/>
      <c r="D103" s="10"/>
      <c r="E103" s="10"/>
      <c r="F103" s="11"/>
      <c r="G103" s="11"/>
      <c r="H103" s="11"/>
      <c r="I103" s="11"/>
      <c r="J103" s="11"/>
      <c r="K103" s="10"/>
      <c r="L103" s="10"/>
      <c r="M103" s="11"/>
    </row>
    <row r="104" spans="1:13">
      <c r="A104" s="10"/>
      <c r="B104" s="10"/>
      <c r="C104" s="10"/>
      <c r="D104" s="10"/>
      <c r="E104" s="10"/>
      <c r="F104" s="11"/>
      <c r="G104" s="11"/>
      <c r="H104" s="11"/>
      <c r="I104" s="11"/>
      <c r="J104" s="11"/>
      <c r="K104" s="10"/>
      <c r="L104" s="10"/>
      <c r="M104" s="11"/>
    </row>
    <row r="105" spans="1:13">
      <c r="A105" s="10"/>
      <c r="B105" s="10"/>
      <c r="C105" s="10"/>
      <c r="D105" s="10"/>
      <c r="E105" s="10"/>
      <c r="F105" s="11"/>
      <c r="G105" s="11"/>
      <c r="H105" s="11"/>
      <c r="I105" s="11"/>
      <c r="J105" s="11"/>
      <c r="K105" s="10"/>
      <c r="L105" s="10"/>
      <c r="M105" s="11"/>
    </row>
    <row r="106" spans="1:13">
      <c r="A106" s="10"/>
      <c r="B106" s="10"/>
      <c r="C106" s="10"/>
      <c r="D106" s="10"/>
      <c r="E106" s="10"/>
      <c r="F106" s="11"/>
      <c r="G106" s="11"/>
      <c r="H106" s="11"/>
      <c r="I106" s="11"/>
      <c r="J106" s="11"/>
      <c r="K106" s="10"/>
      <c r="L106" s="10"/>
      <c r="M106" s="11"/>
    </row>
    <row r="107" spans="1:13">
      <c r="A107" s="10"/>
      <c r="B107" s="10"/>
      <c r="C107" s="10"/>
      <c r="D107" s="10"/>
      <c r="E107" s="10"/>
      <c r="F107" s="11"/>
      <c r="G107" s="11"/>
      <c r="H107" s="11"/>
      <c r="I107" s="11"/>
      <c r="J107" s="11"/>
      <c r="K107" s="10"/>
      <c r="L107" s="10"/>
      <c r="M107" s="11"/>
    </row>
    <row r="108" spans="1:13">
      <c r="A108" s="10"/>
      <c r="B108" s="10"/>
      <c r="C108" s="10"/>
      <c r="D108" s="10"/>
      <c r="E108" s="10"/>
      <c r="F108" s="11"/>
      <c r="G108" s="11"/>
      <c r="H108" s="11"/>
      <c r="I108" s="11"/>
      <c r="J108" s="11"/>
      <c r="K108" s="10"/>
      <c r="L108" s="10"/>
      <c r="M108" s="11"/>
    </row>
    <row r="109" spans="1:13">
      <c r="A109" s="10"/>
      <c r="B109" s="10"/>
      <c r="C109" s="10"/>
      <c r="D109" s="10"/>
      <c r="E109" s="10"/>
      <c r="F109" s="11"/>
      <c r="G109" s="11"/>
      <c r="H109" s="11"/>
      <c r="I109" s="11"/>
      <c r="J109" s="11"/>
      <c r="K109" s="10"/>
      <c r="L109" s="10"/>
      <c r="M109" s="11"/>
    </row>
    <row r="110" spans="1:13">
      <c r="A110" s="10"/>
      <c r="B110" s="10"/>
      <c r="C110" s="10"/>
      <c r="D110" s="10"/>
      <c r="E110" s="10"/>
      <c r="F110" s="11"/>
      <c r="G110" s="11"/>
      <c r="H110" s="11"/>
      <c r="I110" s="11"/>
      <c r="J110" s="11"/>
      <c r="K110" s="10"/>
      <c r="L110" s="10"/>
      <c r="M110" s="11"/>
    </row>
    <row r="111" spans="1:13">
      <c r="A111" s="10"/>
      <c r="B111" s="10"/>
      <c r="C111" s="10"/>
      <c r="D111" s="10"/>
      <c r="E111" s="10"/>
      <c r="F111" s="11"/>
      <c r="G111" s="11"/>
      <c r="H111" s="11"/>
      <c r="I111" s="11"/>
      <c r="J111" s="11"/>
      <c r="K111" s="10"/>
      <c r="L111" s="10"/>
      <c r="M111" s="11"/>
    </row>
    <row r="112" spans="1:13">
      <c r="A112" s="10"/>
      <c r="B112" s="10"/>
      <c r="C112" s="10"/>
      <c r="D112" s="10"/>
      <c r="E112" s="10"/>
      <c r="F112" s="11"/>
      <c r="G112" s="11"/>
      <c r="H112" s="11"/>
      <c r="I112" s="11"/>
      <c r="J112" s="11"/>
      <c r="K112" s="10"/>
      <c r="L112" s="10"/>
      <c r="M112" s="11"/>
    </row>
    <row r="113" spans="1:13">
      <c r="A113" s="10"/>
      <c r="B113" s="10"/>
      <c r="C113" s="10"/>
      <c r="D113" s="10"/>
      <c r="E113" s="10"/>
      <c r="F113" s="11"/>
      <c r="G113" s="11"/>
      <c r="H113" s="11"/>
      <c r="I113" s="11"/>
      <c r="J113" s="11"/>
      <c r="K113" s="10"/>
      <c r="L113" s="10"/>
      <c r="M113" s="11"/>
    </row>
    <row r="114" spans="1:13">
      <c r="A114" s="10"/>
      <c r="B114" s="10"/>
      <c r="C114" s="10"/>
      <c r="D114" s="10"/>
      <c r="E114" s="10"/>
      <c r="F114" s="11"/>
      <c r="G114" s="11"/>
      <c r="H114" s="11"/>
      <c r="I114" s="11"/>
      <c r="J114" s="11"/>
      <c r="K114" s="10"/>
      <c r="L114" s="10"/>
      <c r="M114" s="11"/>
    </row>
    <row r="115" spans="1:13">
      <c r="A115" s="10"/>
      <c r="B115" s="10"/>
      <c r="C115" s="10"/>
      <c r="D115" s="10"/>
      <c r="E115" s="10"/>
      <c r="F115" s="11"/>
      <c r="G115" s="11"/>
      <c r="H115" s="11"/>
      <c r="I115" s="11"/>
      <c r="J115" s="11"/>
      <c r="K115" s="10"/>
      <c r="L115" s="10"/>
      <c r="M115" s="11"/>
    </row>
    <row r="116" spans="1:13">
      <c r="A116" s="10"/>
      <c r="B116" s="10"/>
      <c r="C116" s="10"/>
      <c r="D116" s="10"/>
      <c r="E116" s="10"/>
      <c r="F116" s="11"/>
      <c r="G116" s="11"/>
      <c r="H116" s="11"/>
      <c r="I116" s="11"/>
      <c r="J116" s="11"/>
      <c r="K116" s="10"/>
      <c r="L116" s="10"/>
      <c r="M116" s="11"/>
    </row>
    <row r="117" spans="1:13">
      <c r="A117" s="10"/>
      <c r="B117" s="10"/>
      <c r="C117" s="10"/>
      <c r="D117" s="10"/>
      <c r="E117" s="10"/>
      <c r="F117" s="11"/>
      <c r="G117" s="11"/>
      <c r="H117" s="11"/>
      <c r="I117" s="11"/>
      <c r="J117" s="11"/>
      <c r="K117" s="10"/>
      <c r="L117" s="10"/>
      <c r="M117" s="11"/>
    </row>
    <row r="118" spans="1:13">
      <c r="A118" s="10"/>
      <c r="B118" s="10"/>
      <c r="C118" s="10"/>
      <c r="D118" s="10"/>
      <c r="E118" s="10"/>
      <c r="F118" s="11"/>
      <c r="G118" s="11"/>
      <c r="H118" s="11"/>
      <c r="I118" s="11"/>
      <c r="J118" s="11"/>
      <c r="K118" s="10"/>
      <c r="L118" s="10"/>
      <c r="M118" s="11"/>
    </row>
    <row r="119" spans="1:13">
      <c r="A119" s="10"/>
      <c r="B119" s="10"/>
      <c r="C119" s="10"/>
      <c r="D119" s="10"/>
      <c r="E119" s="10"/>
      <c r="F119" s="11"/>
      <c r="G119" s="11"/>
      <c r="H119" s="11"/>
      <c r="I119" s="11"/>
      <c r="J119" s="11"/>
      <c r="K119" s="10"/>
      <c r="L119" s="10"/>
      <c r="M119" s="11"/>
    </row>
    <row r="120" spans="1:13">
      <c r="A120" s="10"/>
      <c r="B120" s="10"/>
      <c r="C120" s="10"/>
      <c r="D120" s="10"/>
      <c r="E120" s="10"/>
      <c r="F120" s="11"/>
      <c r="G120" s="11"/>
      <c r="H120" s="11"/>
      <c r="I120" s="11"/>
      <c r="J120" s="11"/>
      <c r="K120" s="10"/>
      <c r="L120" s="10"/>
      <c r="M120" s="11"/>
    </row>
    <row r="121" spans="1:13">
      <c r="A121" s="10"/>
      <c r="B121" s="10"/>
      <c r="C121" s="10"/>
      <c r="D121" s="10"/>
      <c r="E121" s="10"/>
      <c r="F121" s="11"/>
      <c r="G121" s="11"/>
      <c r="H121" s="11"/>
      <c r="I121" s="11"/>
      <c r="J121" s="11"/>
      <c r="K121" s="10"/>
      <c r="L121" s="10"/>
      <c r="M121" s="11"/>
    </row>
    <row r="122" spans="1:13">
      <c r="A122" s="10"/>
      <c r="B122" s="10"/>
      <c r="C122" s="10"/>
      <c r="D122" s="10"/>
      <c r="E122" s="10"/>
      <c r="F122" s="11"/>
      <c r="G122" s="11"/>
      <c r="H122" s="11"/>
      <c r="I122" s="11"/>
      <c r="J122" s="11"/>
      <c r="K122" s="10"/>
      <c r="L122" s="10"/>
      <c r="M122" s="11"/>
    </row>
    <row r="123" spans="1:13">
      <c r="A123" s="10"/>
      <c r="B123" s="10"/>
      <c r="C123" s="10"/>
      <c r="D123" s="10"/>
      <c r="E123" s="10"/>
      <c r="F123" s="11"/>
      <c r="G123" s="11"/>
      <c r="H123" s="11"/>
      <c r="I123" s="11"/>
      <c r="J123" s="11"/>
      <c r="K123" s="10"/>
      <c r="L123" s="10"/>
      <c r="M123" s="11"/>
    </row>
    <row r="124" spans="1:13">
      <c r="A124" s="10"/>
      <c r="B124" s="10"/>
      <c r="C124" s="10"/>
      <c r="D124" s="10"/>
      <c r="E124" s="10"/>
      <c r="F124" s="11"/>
      <c r="G124" s="11"/>
      <c r="H124" s="11"/>
      <c r="I124" s="11"/>
      <c r="J124" s="11"/>
      <c r="K124" s="10"/>
      <c r="L124" s="10"/>
      <c r="M124" s="11"/>
    </row>
    <row r="125" spans="1:13">
      <c r="A125" s="10"/>
      <c r="B125" s="10"/>
      <c r="C125" s="10"/>
      <c r="D125" s="10"/>
      <c r="E125" s="10"/>
      <c r="F125" s="11"/>
      <c r="G125" s="11"/>
      <c r="H125" s="11"/>
      <c r="I125" s="11"/>
      <c r="J125" s="11"/>
      <c r="K125" s="10"/>
      <c r="L125" s="10"/>
      <c r="M125" s="11"/>
    </row>
    <row r="126" spans="1:13">
      <c r="A126" s="10"/>
      <c r="B126" s="10"/>
      <c r="C126" s="10"/>
      <c r="D126" s="10"/>
      <c r="E126" s="10"/>
      <c r="F126" s="11"/>
      <c r="G126" s="11"/>
      <c r="H126" s="11"/>
      <c r="I126" s="11"/>
      <c r="J126" s="11"/>
      <c r="K126" s="10"/>
      <c r="L126" s="10"/>
      <c r="M126" s="11"/>
    </row>
    <row r="127" spans="1:13">
      <c r="A127" s="10"/>
      <c r="B127" s="10"/>
      <c r="C127" s="10"/>
      <c r="D127" s="10"/>
      <c r="E127" s="10"/>
      <c r="F127" s="11"/>
      <c r="G127" s="11"/>
      <c r="H127" s="11"/>
      <c r="I127" s="11"/>
      <c r="J127" s="11"/>
      <c r="K127" s="10"/>
      <c r="L127" s="10"/>
      <c r="M127" s="11"/>
    </row>
    <row r="128" spans="1:13">
      <c r="A128" s="10"/>
      <c r="B128" s="10"/>
      <c r="C128" s="10"/>
      <c r="D128" s="10"/>
      <c r="E128" s="10"/>
      <c r="F128" s="11"/>
      <c r="G128" s="11"/>
      <c r="H128" s="11"/>
      <c r="I128" s="11"/>
      <c r="J128" s="11"/>
      <c r="K128" s="10"/>
      <c r="L128" s="10"/>
      <c r="M128" s="11"/>
    </row>
    <row r="129" spans="1:13">
      <c r="A129" s="10"/>
      <c r="B129" s="10"/>
      <c r="C129" s="10"/>
      <c r="D129" s="10"/>
      <c r="E129" s="10"/>
      <c r="F129" s="11"/>
      <c r="G129" s="11"/>
      <c r="H129" s="11"/>
      <c r="I129" s="11"/>
      <c r="J129" s="11"/>
      <c r="K129" s="10"/>
      <c r="L129" s="10"/>
      <c r="M129" s="11"/>
    </row>
    <row r="130" spans="1:13">
      <c r="A130" s="10"/>
      <c r="B130" s="10"/>
      <c r="C130" s="10"/>
      <c r="D130" s="10"/>
      <c r="E130" s="10"/>
      <c r="F130" s="11"/>
      <c r="G130" s="11"/>
      <c r="H130" s="11"/>
      <c r="I130" s="11"/>
      <c r="J130" s="11"/>
      <c r="K130" s="10"/>
      <c r="L130" s="10"/>
      <c r="M130" s="11"/>
    </row>
    <row r="131" spans="1:13">
      <c r="A131" s="10"/>
      <c r="B131" s="10"/>
      <c r="C131" s="10"/>
      <c r="D131" s="10"/>
      <c r="E131" s="10"/>
      <c r="F131" s="11"/>
      <c r="G131" s="11"/>
      <c r="H131" s="11"/>
      <c r="I131" s="11"/>
      <c r="J131" s="11"/>
      <c r="K131" s="10"/>
      <c r="L131" s="10"/>
      <c r="M131" s="11"/>
    </row>
    <row r="132" spans="1:13">
      <c r="A132" s="10"/>
      <c r="B132" s="10"/>
      <c r="C132" s="10"/>
      <c r="D132" s="10"/>
      <c r="E132" s="10"/>
      <c r="F132" s="11"/>
      <c r="G132" s="11"/>
      <c r="H132" s="11"/>
      <c r="I132" s="11"/>
      <c r="J132" s="11"/>
      <c r="K132" s="10"/>
      <c r="L132" s="10"/>
      <c r="M132" s="11"/>
    </row>
    <row r="133" spans="1:13">
      <c r="A133" s="10"/>
      <c r="B133" s="10"/>
      <c r="C133" s="10"/>
      <c r="D133" s="10"/>
      <c r="E133" s="10"/>
      <c r="F133" s="11"/>
      <c r="G133" s="11"/>
      <c r="H133" s="11"/>
      <c r="I133" s="11"/>
      <c r="J133" s="11"/>
      <c r="K133" s="10"/>
      <c r="L133" s="10"/>
      <c r="M133" s="11"/>
    </row>
    <row r="134" spans="1:13">
      <c r="A134" s="10"/>
      <c r="B134" s="10"/>
      <c r="C134" s="10"/>
      <c r="D134" s="10"/>
      <c r="E134" s="10"/>
      <c r="F134" s="11"/>
      <c r="G134" s="11"/>
      <c r="H134" s="11"/>
      <c r="I134" s="11"/>
      <c r="J134" s="11"/>
      <c r="K134" s="10"/>
      <c r="L134" s="10"/>
      <c r="M134" s="11"/>
    </row>
    <row r="135" spans="1:13">
      <c r="A135" s="10"/>
      <c r="B135" s="10"/>
      <c r="C135" s="10"/>
      <c r="D135" s="10"/>
      <c r="E135" s="10"/>
      <c r="F135" s="11"/>
      <c r="G135" s="11"/>
      <c r="H135" s="11"/>
      <c r="I135" s="11"/>
      <c r="J135" s="11"/>
      <c r="K135" s="10"/>
      <c r="L135" s="10"/>
      <c r="M135" s="11"/>
    </row>
    <row r="136" spans="1:13">
      <c r="A136" s="10"/>
      <c r="B136" s="10"/>
      <c r="C136" s="10"/>
      <c r="D136" s="10"/>
      <c r="E136" s="10"/>
      <c r="F136" s="11"/>
      <c r="G136" s="11"/>
      <c r="H136" s="11"/>
      <c r="I136" s="11"/>
      <c r="J136" s="11"/>
      <c r="K136" s="10"/>
      <c r="L136" s="10"/>
      <c r="M136" s="11"/>
    </row>
    <row r="137" spans="1:13">
      <c r="A137" s="10"/>
      <c r="B137" s="10"/>
      <c r="C137" s="10"/>
      <c r="D137" s="10"/>
      <c r="E137" s="10"/>
      <c r="F137" s="11"/>
      <c r="G137" s="11"/>
      <c r="H137" s="11"/>
      <c r="I137" s="11"/>
      <c r="J137" s="11"/>
      <c r="K137" s="10"/>
      <c r="L137" s="10"/>
      <c r="M137" s="11"/>
    </row>
    <row r="138" spans="1:13">
      <c r="A138" s="10"/>
      <c r="B138" s="10"/>
      <c r="C138" s="10"/>
      <c r="D138" s="10"/>
      <c r="E138" s="10"/>
      <c r="F138" s="11"/>
      <c r="G138" s="11"/>
      <c r="H138" s="11"/>
      <c r="I138" s="11"/>
      <c r="J138" s="11"/>
      <c r="K138" s="10"/>
      <c r="L138" s="10"/>
      <c r="M138" s="11"/>
    </row>
    <row r="139" spans="1:13">
      <c r="A139" s="10"/>
      <c r="B139" s="10"/>
      <c r="C139" s="10"/>
      <c r="D139" s="10"/>
      <c r="E139" s="10"/>
      <c r="F139" s="11"/>
      <c r="G139" s="11"/>
      <c r="H139" s="11"/>
      <c r="I139" s="11"/>
      <c r="J139" s="11"/>
      <c r="K139" s="10"/>
      <c r="L139" s="10"/>
      <c r="M139" s="11"/>
    </row>
    <row r="140" spans="1:13">
      <c r="A140" s="10"/>
      <c r="B140" s="10"/>
      <c r="C140" s="10"/>
      <c r="D140" s="10"/>
      <c r="E140" s="10"/>
      <c r="F140" s="11"/>
      <c r="G140" s="11"/>
      <c r="H140" s="11"/>
      <c r="I140" s="11"/>
      <c r="J140" s="11"/>
      <c r="K140" s="10"/>
      <c r="L140" s="10"/>
      <c r="M140" s="11"/>
    </row>
    <row r="141" spans="1:13">
      <c r="A141" s="10"/>
      <c r="B141" s="10"/>
      <c r="C141" s="10"/>
      <c r="D141" s="10"/>
      <c r="E141" s="10"/>
      <c r="F141" s="11"/>
      <c r="G141" s="11"/>
      <c r="H141" s="11"/>
      <c r="I141" s="11"/>
      <c r="J141" s="11"/>
      <c r="K141" s="10"/>
      <c r="L141" s="10"/>
      <c r="M141" s="11"/>
    </row>
    <row r="142" spans="1:13">
      <c r="A142" s="10"/>
      <c r="B142" s="10"/>
      <c r="C142" s="10"/>
      <c r="D142" s="10"/>
      <c r="E142" s="10"/>
      <c r="F142" s="11"/>
      <c r="G142" s="11"/>
      <c r="H142" s="11"/>
      <c r="I142" s="11"/>
      <c r="J142" s="11"/>
      <c r="K142" s="10"/>
      <c r="L142" s="10"/>
      <c r="M142" s="11"/>
    </row>
    <row r="143" spans="1:13">
      <c r="A143" s="10"/>
      <c r="B143" s="10"/>
      <c r="C143" s="10"/>
      <c r="D143" s="10"/>
      <c r="E143" s="10"/>
      <c r="F143" s="11"/>
      <c r="G143" s="11"/>
      <c r="H143" s="11"/>
      <c r="I143" s="11"/>
      <c r="J143" s="11"/>
      <c r="K143" s="10"/>
      <c r="L143" s="10"/>
      <c r="M143" s="11"/>
    </row>
    <row r="144" spans="1:13">
      <c r="A144" s="10"/>
      <c r="B144" s="10"/>
      <c r="C144" s="10"/>
      <c r="D144" s="10"/>
      <c r="E144" s="10"/>
      <c r="F144" s="11"/>
      <c r="G144" s="11"/>
      <c r="H144" s="11"/>
      <c r="I144" s="11"/>
      <c r="J144" s="11"/>
      <c r="K144" s="10"/>
      <c r="L144" s="10"/>
      <c r="M144" s="11"/>
    </row>
    <row r="145" spans="1:13">
      <c r="A145" s="10"/>
      <c r="B145" s="10"/>
      <c r="C145" s="10"/>
      <c r="D145" s="10"/>
      <c r="E145" s="10"/>
      <c r="F145" s="11"/>
      <c r="G145" s="11"/>
      <c r="H145" s="11"/>
      <c r="I145" s="11"/>
      <c r="J145" s="11"/>
      <c r="K145" s="10"/>
      <c r="L145" s="10"/>
      <c r="M145" s="11"/>
    </row>
    <row r="146" spans="1:13">
      <c r="A146" s="10"/>
      <c r="B146" s="10"/>
      <c r="C146" s="10"/>
      <c r="D146" s="10"/>
      <c r="E146" s="10"/>
      <c r="F146" s="11"/>
      <c r="G146" s="11"/>
      <c r="H146" s="11"/>
      <c r="I146" s="11"/>
      <c r="J146" s="11"/>
      <c r="K146" s="10"/>
      <c r="L146" s="10"/>
      <c r="M146" s="11"/>
    </row>
    <row r="147" spans="1:13">
      <c r="A147" s="10"/>
      <c r="B147" s="10"/>
      <c r="C147" s="10"/>
      <c r="D147" s="10"/>
      <c r="E147" s="10"/>
      <c r="F147" s="11"/>
      <c r="G147" s="11"/>
      <c r="H147" s="11"/>
      <c r="I147" s="11"/>
      <c r="J147" s="11"/>
      <c r="K147" s="10"/>
      <c r="L147" s="10"/>
      <c r="M147" s="11"/>
    </row>
    <row r="148" spans="1:13">
      <c r="A148" s="10"/>
      <c r="B148" s="10"/>
      <c r="C148" s="10"/>
      <c r="D148" s="10"/>
      <c r="E148" s="10"/>
      <c r="F148" s="11"/>
      <c r="G148" s="11"/>
      <c r="H148" s="11"/>
      <c r="I148" s="11"/>
      <c r="J148" s="11"/>
      <c r="K148" s="10"/>
      <c r="L148" s="10"/>
      <c r="M148" s="11"/>
    </row>
    <row r="149" spans="1:13">
      <c r="A149" s="10"/>
      <c r="B149" s="10"/>
      <c r="C149" s="10"/>
      <c r="D149" s="10"/>
      <c r="E149" s="10"/>
      <c r="F149" s="11"/>
      <c r="G149" s="11"/>
      <c r="H149" s="11"/>
      <c r="I149" s="11"/>
      <c r="J149" s="11"/>
      <c r="K149" s="10"/>
      <c r="L149" s="10"/>
      <c r="M149" s="11"/>
    </row>
    <row r="150" spans="1:13">
      <c r="A150" s="10"/>
      <c r="B150" s="10"/>
      <c r="C150" s="10"/>
      <c r="D150" s="10"/>
      <c r="E150" s="10"/>
      <c r="F150" s="11"/>
      <c r="G150" s="11"/>
      <c r="H150" s="11"/>
      <c r="I150" s="11"/>
      <c r="J150" s="11"/>
      <c r="K150" s="10"/>
      <c r="L150" s="10"/>
      <c r="M150" s="11"/>
    </row>
    <row r="151" spans="1:13">
      <c r="A151" s="10"/>
      <c r="B151" s="10"/>
      <c r="C151" s="10"/>
      <c r="D151" s="10"/>
      <c r="E151" s="10"/>
      <c r="F151" s="11"/>
      <c r="G151" s="11"/>
      <c r="H151" s="11"/>
      <c r="I151" s="11"/>
      <c r="J151" s="11"/>
      <c r="K151" s="10"/>
      <c r="L151" s="10"/>
      <c r="M151" s="11"/>
    </row>
    <row r="152" spans="1:13">
      <c r="A152" s="10"/>
      <c r="B152" s="10"/>
      <c r="C152" s="10"/>
      <c r="D152" s="10"/>
      <c r="E152" s="10"/>
      <c r="F152" s="11"/>
      <c r="G152" s="11"/>
      <c r="H152" s="11"/>
      <c r="I152" s="11"/>
      <c r="J152" s="11"/>
      <c r="K152" s="10"/>
      <c r="L152" s="10"/>
      <c r="M152" s="11"/>
    </row>
    <row r="153" spans="1:13">
      <c r="A153" s="10"/>
      <c r="B153" s="10"/>
      <c r="C153" s="10"/>
      <c r="D153" s="10"/>
      <c r="E153" s="10"/>
      <c r="F153" s="11"/>
      <c r="G153" s="11"/>
      <c r="H153" s="11"/>
      <c r="I153" s="11"/>
      <c r="J153" s="11"/>
      <c r="K153" s="10"/>
      <c r="L153" s="10"/>
      <c r="M153" s="11"/>
    </row>
    <row r="154" spans="1:13">
      <c r="A154" s="10"/>
      <c r="B154" s="10"/>
      <c r="C154" s="10"/>
      <c r="D154" s="10"/>
      <c r="E154" s="10"/>
      <c r="F154" s="11"/>
      <c r="G154" s="11"/>
      <c r="H154" s="11"/>
      <c r="I154" s="11"/>
      <c r="J154" s="11"/>
      <c r="K154" s="10"/>
      <c r="L154" s="10"/>
      <c r="M154" s="11"/>
    </row>
    <row r="155" spans="1:13">
      <c r="A155" s="10"/>
      <c r="B155" s="10"/>
      <c r="C155" s="10"/>
      <c r="D155" s="10"/>
      <c r="E155" s="10"/>
      <c r="F155" s="11"/>
      <c r="G155" s="11"/>
      <c r="H155" s="11"/>
      <c r="I155" s="11"/>
      <c r="J155" s="11"/>
      <c r="K155" s="10"/>
      <c r="L155" s="10"/>
      <c r="M155" s="11"/>
    </row>
    <row r="156" spans="1:13">
      <c r="A156" s="10"/>
      <c r="B156" s="10"/>
      <c r="C156" s="10"/>
      <c r="D156" s="10"/>
      <c r="E156" s="10"/>
      <c r="F156" s="11"/>
      <c r="G156" s="11"/>
      <c r="H156" s="11"/>
      <c r="I156" s="11"/>
      <c r="J156" s="11"/>
      <c r="K156" s="10"/>
      <c r="L156" s="10"/>
      <c r="M156" s="11"/>
    </row>
    <row r="157" spans="1:13">
      <c r="A157" s="10"/>
      <c r="B157" s="10"/>
      <c r="C157" s="10"/>
      <c r="D157" s="10"/>
      <c r="E157" s="10"/>
      <c r="F157" s="11"/>
      <c r="G157" s="11"/>
      <c r="H157" s="11"/>
      <c r="I157" s="11"/>
      <c r="J157" s="11"/>
      <c r="K157" s="10"/>
      <c r="L157" s="10"/>
      <c r="M157" s="11"/>
    </row>
    <row r="158" spans="1:13">
      <c r="A158" s="10"/>
      <c r="B158" s="10"/>
      <c r="C158" s="10"/>
      <c r="D158" s="10"/>
      <c r="E158" s="10"/>
      <c r="F158" s="11"/>
      <c r="G158" s="11"/>
      <c r="H158" s="11"/>
      <c r="I158" s="11"/>
      <c r="J158" s="11"/>
      <c r="K158" s="10"/>
      <c r="L158" s="10"/>
      <c r="M158" s="11"/>
    </row>
    <row r="159" spans="1:13">
      <c r="A159" s="10"/>
      <c r="B159" s="10"/>
      <c r="C159" s="10"/>
      <c r="D159" s="10"/>
      <c r="E159" s="10"/>
      <c r="F159" s="11"/>
      <c r="G159" s="11"/>
      <c r="H159" s="11"/>
      <c r="I159" s="11"/>
      <c r="J159" s="11"/>
      <c r="K159" s="10"/>
      <c r="L159" s="10"/>
      <c r="M159" s="11"/>
    </row>
    <row r="160" spans="1:13">
      <c r="A160" s="10"/>
      <c r="B160" s="10"/>
      <c r="C160" s="10"/>
      <c r="D160" s="10"/>
      <c r="E160" s="10"/>
      <c r="F160" s="11"/>
      <c r="G160" s="11"/>
      <c r="H160" s="11"/>
      <c r="I160" s="11"/>
      <c r="J160" s="11"/>
      <c r="K160" s="10"/>
      <c r="L160" s="10"/>
      <c r="M160" s="11"/>
    </row>
    <row r="161" spans="1:13">
      <c r="A161" s="10"/>
      <c r="B161" s="10"/>
      <c r="C161" s="10"/>
      <c r="D161" s="10"/>
      <c r="E161" s="10"/>
      <c r="F161" s="11"/>
      <c r="G161" s="11"/>
      <c r="H161" s="11"/>
      <c r="I161" s="11"/>
      <c r="J161" s="11"/>
      <c r="K161" s="10"/>
      <c r="L161" s="10"/>
      <c r="M161" s="11"/>
    </row>
    <row r="162" spans="1:13">
      <c r="A162" s="10"/>
      <c r="B162" s="10"/>
      <c r="C162" s="10"/>
      <c r="D162" s="10"/>
      <c r="E162" s="10"/>
      <c r="F162" s="11"/>
      <c r="G162" s="11"/>
      <c r="H162" s="11"/>
      <c r="I162" s="11"/>
      <c r="J162" s="11"/>
      <c r="K162" s="10"/>
      <c r="L162" s="10"/>
      <c r="M162" s="11"/>
    </row>
    <row r="163" spans="1:13">
      <c r="A163" s="10"/>
      <c r="B163" s="10"/>
      <c r="C163" s="10"/>
      <c r="D163" s="10"/>
      <c r="E163" s="10"/>
      <c r="F163" s="11"/>
      <c r="G163" s="11"/>
      <c r="H163" s="11"/>
      <c r="I163" s="11"/>
      <c r="J163" s="11"/>
      <c r="K163" s="10"/>
      <c r="L163" s="10"/>
      <c r="M163" s="11"/>
    </row>
    <row r="164" spans="1:13">
      <c r="A164" s="10"/>
      <c r="B164" s="10"/>
      <c r="C164" s="10"/>
      <c r="D164" s="10"/>
      <c r="E164" s="10"/>
      <c r="F164" s="11"/>
      <c r="G164" s="11"/>
      <c r="H164" s="11"/>
      <c r="I164" s="11"/>
      <c r="J164" s="11"/>
      <c r="K164" s="10"/>
      <c r="L164" s="10"/>
      <c r="M164" s="11"/>
    </row>
    <row r="165" spans="1:13">
      <c r="A165" s="10"/>
      <c r="B165" s="10"/>
      <c r="C165" s="10"/>
      <c r="D165" s="10"/>
      <c r="E165" s="10"/>
      <c r="F165" s="11"/>
      <c r="G165" s="11"/>
      <c r="H165" s="11"/>
      <c r="I165" s="11"/>
      <c r="J165" s="11"/>
      <c r="K165" s="10"/>
      <c r="L165" s="10"/>
      <c r="M165" s="11"/>
    </row>
    <row r="166" spans="1:13">
      <c r="A166" s="10"/>
      <c r="B166" s="10"/>
      <c r="C166" s="10"/>
      <c r="D166" s="10"/>
      <c r="E166" s="10"/>
      <c r="F166" s="11"/>
      <c r="G166" s="11"/>
      <c r="H166" s="11"/>
      <c r="I166" s="11"/>
      <c r="J166" s="11"/>
      <c r="K166" s="10"/>
      <c r="L166" s="10"/>
      <c r="M166" s="11"/>
    </row>
    <row r="167" spans="1:13">
      <c r="A167" s="10"/>
      <c r="B167" s="10"/>
      <c r="C167" s="10"/>
      <c r="D167" s="10"/>
      <c r="E167" s="10"/>
      <c r="F167" s="11"/>
      <c r="G167" s="11"/>
      <c r="H167" s="11"/>
      <c r="I167" s="11"/>
      <c r="J167" s="11"/>
      <c r="K167" s="10"/>
      <c r="L167" s="10"/>
      <c r="M167" s="11"/>
    </row>
    <row r="168" spans="1:13">
      <c r="A168" s="10"/>
      <c r="B168" s="10"/>
      <c r="C168" s="10"/>
      <c r="D168" s="10"/>
      <c r="E168" s="10"/>
      <c r="F168" s="11"/>
      <c r="G168" s="11"/>
      <c r="H168" s="11"/>
      <c r="I168" s="11"/>
      <c r="J168" s="11"/>
      <c r="K168" s="10"/>
      <c r="L168" s="10"/>
      <c r="M168" s="11"/>
    </row>
    <row r="169" spans="1:13">
      <c r="A169" s="10"/>
      <c r="B169" s="10"/>
      <c r="C169" s="10"/>
      <c r="D169" s="10"/>
      <c r="E169" s="10"/>
      <c r="F169" s="11"/>
      <c r="G169" s="11"/>
      <c r="H169" s="11"/>
      <c r="I169" s="11"/>
      <c r="J169" s="11"/>
      <c r="K169" s="10"/>
      <c r="L169" s="10"/>
      <c r="M169" s="11"/>
    </row>
    <row r="170" spans="1:13">
      <c r="A170" s="10"/>
      <c r="B170" s="10"/>
      <c r="C170" s="10"/>
      <c r="D170" s="10"/>
      <c r="E170" s="10"/>
      <c r="F170" s="11"/>
      <c r="G170" s="11"/>
      <c r="H170" s="11"/>
      <c r="I170" s="11"/>
      <c r="J170" s="11"/>
      <c r="K170" s="10"/>
      <c r="L170" s="10"/>
      <c r="M170" s="11"/>
    </row>
    <row r="171" spans="1:13">
      <c r="A171" s="10"/>
      <c r="B171" s="10"/>
      <c r="C171" s="10"/>
      <c r="D171" s="10"/>
      <c r="E171" s="10"/>
      <c r="F171" s="11"/>
      <c r="G171" s="11"/>
      <c r="H171" s="11"/>
      <c r="I171" s="11"/>
      <c r="J171" s="11"/>
      <c r="K171" s="10"/>
      <c r="L171" s="10"/>
      <c r="M171" s="11"/>
    </row>
    <row r="172" spans="1:13">
      <c r="A172" s="10"/>
      <c r="B172" s="10"/>
      <c r="C172" s="10"/>
      <c r="D172" s="10"/>
      <c r="E172" s="10"/>
      <c r="F172" s="11"/>
      <c r="G172" s="11"/>
      <c r="H172" s="11"/>
      <c r="I172" s="11"/>
      <c r="J172" s="11"/>
      <c r="K172" s="10"/>
      <c r="L172" s="10"/>
      <c r="M172" s="11"/>
    </row>
    <row r="173" spans="1:13">
      <c r="A173" s="10"/>
      <c r="B173" s="10"/>
      <c r="C173" s="10"/>
      <c r="D173" s="10"/>
      <c r="E173" s="10"/>
      <c r="F173" s="11"/>
      <c r="G173" s="11"/>
      <c r="H173" s="11"/>
      <c r="I173" s="11"/>
      <c r="J173" s="11"/>
      <c r="K173" s="10"/>
      <c r="L173" s="10"/>
      <c r="M173" s="11"/>
    </row>
    <row r="174" spans="1:13">
      <c r="A174" s="10"/>
      <c r="B174" s="10"/>
      <c r="C174" s="10"/>
      <c r="D174" s="10"/>
      <c r="E174" s="10"/>
      <c r="F174" s="11"/>
      <c r="G174" s="11"/>
      <c r="H174" s="11"/>
      <c r="I174" s="11"/>
      <c r="J174" s="11"/>
      <c r="K174" s="10"/>
      <c r="L174" s="10"/>
      <c r="M174" s="11"/>
    </row>
    <row r="175" spans="1:13">
      <c r="A175" s="10"/>
      <c r="B175" s="10"/>
      <c r="C175" s="10"/>
      <c r="D175" s="10"/>
      <c r="E175" s="10"/>
      <c r="F175" s="11"/>
      <c r="G175" s="11"/>
      <c r="H175" s="11"/>
      <c r="I175" s="11"/>
      <c r="J175" s="11"/>
      <c r="K175" s="10"/>
      <c r="L175" s="10"/>
      <c r="M175" s="11"/>
    </row>
    <row r="176" spans="1:13">
      <c r="A176" s="10"/>
      <c r="B176" s="10"/>
      <c r="C176" s="10"/>
      <c r="D176" s="10"/>
      <c r="E176" s="10"/>
      <c r="F176" s="11"/>
      <c r="G176" s="11"/>
      <c r="H176" s="11"/>
      <c r="I176" s="11"/>
      <c r="J176" s="11"/>
      <c r="K176" s="10"/>
      <c r="L176" s="10"/>
      <c r="M176" s="11"/>
    </row>
    <row r="177" spans="1:13">
      <c r="A177" s="10"/>
      <c r="B177" s="10"/>
      <c r="C177" s="10"/>
      <c r="D177" s="10"/>
      <c r="E177" s="10"/>
      <c r="F177" s="11"/>
      <c r="G177" s="11"/>
      <c r="H177" s="11"/>
      <c r="I177" s="11"/>
      <c r="J177" s="11"/>
      <c r="K177" s="10"/>
      <c r="L177" s="10"/>
      <c r="M177" s="11"/>
    </row>
    <row r="178" spans="1:13">
      <c r="A178" s="10"/>
      <c r="B178" s="10"/>
      <c r="C178" s="10"/>
      <c r="D178" s="10"/>
      <c r="E178" s="10"/>
      <c r="F178" s="11"/>
      <c r="G178" s="11"/>
      <c r="H178" s="11"/>
      <c r="I178" s="11"/>
      <c r="J178" s="11"/>
      <c r="K178" s="10"/>
      <c r="L178" s="10"/>
      <c r="M178" s="11"/>
    </row>
    <row r="179" spans="1:13">
      <c r="A179" s="10"/>
      <c r="B179" s="10"/>
      <c r="C179" s="10"/>
      <c r="D179" s="10"/>
      <c r="E179" s="10"/>
      <c r="F179" s="11"/>
      <c r="G179" s="11"/>
      <c r="H179" s="11"/>
      <c r="I179" s="11"/>
      <c r="J179" s="11"/>
      <c r="K179" s="10"/>
      <c r="L179" s="10"/>
      <c r="M179" s="11"/>
    </row>
    <row r="180" spans="1:13">
      <c r="A180" s="10"/>
      <c r="B180" s="10"/>
      <c r="C180" s="10"/>
      <c r="D180" s="10"/>
      <c r="E180" s="10"/>
      <c r="F180" s="11"/>
      <c r="G180" s="11"/>
      <c r="H180" s="11"/>
      <c r="I180" s="11"/>
      <c r="J180" s="11"/>
      <c r="K180" s="10"/>
      <c r="L180" s="10"/>
      <c r="M180" s="11"/>
    </row>
    <row r="181" spans="1:13">
      <c r="A181" s="10"/>
      <c r="B181" s="10"/>
      <c r="C181" s="10"/>
      <c r="D181" s="10"/>
      <c r="E181" s="10"/>
      <c r="F181" s="11"/>
      <c r="G181" s="11"/>
      <c r="H181" s="11"/>
      <c r="I181" s="11"/>
      <c r="J181" s="11"/>
      <c r="K181" s="10"/>
      <c r="L181" s="10"/>
      <c r="M181" s="11"/>
    </row>
    <row r="182" spans="1:13">
      <c r="A182" s="10"/>
      <c r="B182" s="10"/>
      <c r="C182" s="10"/>
      <c r="D182" s="10"/>
      <c r="E182" s="10"/>
      <c r="F182" s="11"/>
      <c r="G182" s="11"/>
      <c r="H182" s="11"/>
      <c r="I182" s="11"/>
      <c r="J182" s="11"/>
      <c r="K182" s="10"/>
      <c r="L182" s="10"/>
      <c r="M182" s="11"/>
    </row>
    <row r="183" spans="1:13">
      <c r="A183" s="10"/>
      <c r="B183" s="10"/>
      <c r="C183" s="10"/>
      <c r="D183" s="10"/>
      <c r="E183" s="10"/>
      <c r="F183" s="11"/>
      <c r="G183" s="11"/>
      <c r="H183" s="11"/>
      <c r="I183" s="11"/>
      <c r="J183" s="11"/>
      <c r="K183" s="10"/>
      <c r="L183" s="10"/>
      <c r="M183" s="11"/>
    </row>
    <row r="184" spans="1:13">
      <c r="A184" s="10"/>
      <c r="B184" s="10"/>
      <c r="C184" s="10"/>
      <c r="D184" s="10"/>
      <c r="E184" s="10"/>
      <c r="F184" s="11"/>
      <c r="G184" s="11"/>
      <c r="H184" s="11"/>
      <c r="I184" s="11"/>
      <c r="J184" s="11"/>
      <c r="K184" s="10"/>
      <c r="L184" s="10"/>
      <c r="M184" s="11"/>
    </row>
    <row r="185" spans="1:13">
      <c r="A185" s="10"/>
      <c r="B185" s="10"/>
      <c r="C185" s="10"/>
      <c r="D185" s="10"/>
      <c r="E185" s="10"/>
      <c r="F185" s="11"/>
      <c r="G185" s="11"/>
      <c r="H185" s="11"/>
      <c r="I185" s="11"/>
      <c r="J185" s="11"/>
      <c r="K185" s="10"/>
      <c r="L185" s="10"/>
      <c r="M185" s="11"/>
    </row>
    <row r="186" spans="1:13">
      <c r="A186" s="10"/>
      <c r="B186" s="10"/>
      <c r="C186" s="10"/>
      <c r="D186" s="10"/>
      <c r="E186" s="10"/>
      <c r="F186" s="11"/>
      <c r="G186" s="11"/>
      <c r="H186" s="11"/>
      <c r="I186" s="11"/>
      <c r="J186" s="11"/>
      <c r="K186" s="10"/>
      <c r="L186" s="10"/>
      <c r="M186" s="11"/>
    </row>
    <row r="187" spans="1:13">
      <c r="A187" s="10"/>
      <c r="B187" s="10"/>
      <c r="C187" s="10"/>
      <c r="D187" s="10"/>
      <c r="E187" s="10"/>
      <c r="F187" s="11"/>
      <c r="G187" s="11"/>
      <c r="H187" s="11"/>
      <c r="I187" s="11"/>
      <c r="J187" s="11"/>
      <c r="K187" s="10"/>
      <c r="L187" s="10"/>
      <c r="M187" s="11"/>
    </row>
    <row r="188" spans="1:13">
      <c r="A188" s="10"/>
      <c r="B188" s="10"/>
      <c r="C188" s="10"/>
      <c r="D188" s="10"/>
      <c r="E188" s="10"/>
      <c r="F188" s="11"/>
      <c r="G188" s="11"/>
      <c r="H188" s="11"/>
      <c r="I188" s="11"/>
      <c r="J188" s="11"/>
      <c r="K188" s="10"/>
      <c r="L188" s="10"/>
      <c r="M188" s="11"/>
    </row>
    <row r="189" spans="1:13">
      <c r="A189" s="10"/>
      <c r="B189" s="10"/>
      <c r="C189" s="10"/>
      <c r="D189" s="10"/>
      <c r="E189" s="10"/>
      <c r="F189" s="11"/>
      <c r="G189" s="11"/>
      <c r="H189" s="11"/>
      <c r="I189" s="11"/>
      <c r="J189" s="11"/>
      <c r="K189" s="10"/>
      <c r="L189" s="10"/>
      <c r="M189" s="11"/>
    </row>
    <row r="190" spans="1:13">
      <c r="A190" s="10"/>
      <c r="B190" s="10"/>
      <c r="C190" s="10"/>
      <c r="D190" s="10"/>
      <c r="E190" s="10"/>
      <c r="F190" s="11"/>
      <c r="G190" s="11"/>
      <c r="H190" s="11"/>
      <c r="I190" s="11"/>
      <c r="J190" s="11"/>
      <c r="K190" s="10"/>
      <c r="L190" s="10"/>
      <c r="M190" s="11"/>
    </row>
    <row r="191" spans="1:13">
      <c r="A191" s="10"/>
      <c r="B191" s="10"/>
      <c r="C191" s="10"/>
      <c r="D191" s="10"/>
      <c r="E191" s="10"/>
      <c r="F191" s="11"/>
      <c r="G191" s="11"/>
      <c r="H191" s="11"/>
      <c r="I191" s="11"/>
      <c r="J191" s="11"/>
      <c r="K191" s="10"/>
      <c r="L191" s="10"/>
      <c r="M191" s="11"/>
    </row>
    <row r="192" spans="1:13">
      <c r="A192" s="10"/>
      <c r="B192" s="10"/>
      <c r="C192" s="10"/>
      <c r="D192" s="10"/>
      <c r="E192" s="10"/>
      <c r="F192" s="11"/>
      <c r="G192" s="11"/>
      <c r="H192" s="11"/>
      <c r="I192" s="11"/>
      <c r="J192" s="11"/>
      <c r="K192" s="10"/>
      <c r="L192" s="10"/>
      <c r="M192" s="11"/>
    </row>
    <row r="193" spans="1:13">
      <c r="A193" s="10"/>
      <c r="B193" s="10"/>
      <c r="C193" s="10"/>
      <c r="D193" s="10"/>
      <c r="E193" s="10"/>
      <c r="F193" s="11"/>
      <c r="G193" s="11"/>
      <c r="H193" s="11"/>
      <c r="I193" s="11"/>
      <c r="J193" s="11"/>
      <c r="K193" s="10"/>
      <c r="L193" s="10"/>
      <c r="M193" s="11"/>
    </row>
    <row r="194" spans="1:13">
      <c r="A194" s="10"/>
      <c r="B194" s="10"/>
      <c r="C194" s="10"/>
      <c r="D194" s="10"/>
      <c r="E194" s="10"/>
      <c r="F194" s="11"/>
      <c r="G194" s="11"/>
      <c r="H194" s="11"/>
      <c r="I194" s="11"/>
      <c r="J194" s="11"/>
      <c r="K194" s="10"/>
      <c r="L194" s="10"/>
      <c r="M194" s="11"/>
    </row>
    <row r="195" spans="1:13">
      <c r="A195" s="10"/>
      <c r="B195" s="10"/>
      <c r="C195" s="10"/>
      <c r="D195" s="10"/>
      <c r="E195" s="10"/>
      <c r="F195" s="11"/>
      <c r="G195" s="11"/>
      <c r="H195" s="11"/>
      <c r="I195" s="11"/>
      <c r="J195" s="11"/>
      <c r="K195" s="10"/>
      <c r="L195" s="10"/>
      <c r="M195" s="11"/>
    </row>
    <row r="196" spans="1:13">
      <c r="A196" s="10"/>
      <c r="B196" s="10"/>
      <c r="C196" s="10"/>
      <c r="D196" s="10"/>
      <c r="E196" s="10"/>
      <c r="F196" s="11"/>
      <c r="G196" s="11"/>
      <c r="H196" s="11"/>
      <c r="I196" s="11"/>
      <c r="J196" s="11"/>
      <c r="K196" s="10"/>
      <c r="L196" s="10"/>
      <c r="M196" s="11"/>
    </row>
    <row r="197" spans="1:13">
      <c r="A197" s="10"/>
      <c r="B197" s="10"/>
      <c r="C197" s="10"/>
      <c r="D197" s="10"/>
      <c r="E197" s="10"/>
      <c r="F197" s="11"/>
      <c r="G197" s="11"/>
      <c r="H197" s="11"/>
      <c r="I197" s="11"/>
      <c r="J197" s="11"/>
      <c r="K197" s="10"/>
      <c r="L197" s="10"/>
      <c r="M197" s="11"/>
    </row>
    <row r="198" spans="1:13">
      <c r="A198" s="10"/>
      <c r="B198" s="10"/>
      <c r="C198" s="10"/>
      <c r="D198" s="10"/>
      <c r="E198" s="10"/>
      <c r="F198" s="11"/>
      <c r="G198" s="11"/>
      <c r="H198" s="11"/>
      <c r="I198" s="11"/>
      <c r="J198" s="11"/>
      <c r="K198" s="10"/>
      <c r="L198" s="10"/>
      <c r="M198" s="11"/>
    </row>
    <row r="199" spans="1:13">
      <c r="A199" s="10"/>
      <c r="B199" s="10"/>
      <c r="C199" s="10"/>
      <c r="D199" s="10"/>
      <c r="E199" s="10"/>
      <c r="F199" s="11"/>
      <c r="G199" s="11"/>
      <c r="H199" s="11"/>
      <c r="I199" s="11"/>
      <c r="J199" s="11"/>
      <c r="K199" s="10"/>
      <c r="L199" s="10"/>
      <c r="M199" s="11"/>
    </row>
    <row r="200" spans="1:13">
      <c r="A200" s="10"/>
      <c r="B200" s="10"/>
      <c r="C200" s="10"/>
      <c r="D200" s="10"/>
      <c r="E200" s="10"/>
      <c r="F200" s="11"/>
      <c r="G200" s="11"/>
      <c r="H200" s="11"/>
      <c r="I200" s="11"/>
      <c r="J200" s="11"/>
      <c r="K200" s="10"/>
      <c r="L200" s="10"/>
      <c r="M200" s="11"/>
    </row>
    <row r="201" spans="1:13">
      <c r="A201" s="10"/>
      <c r="B201" s="10"/>
      <c r="C201" s="10"/>
      <c r="D201" s="10"/>
      <c r="E201" s="10"/>
      <c r="F201" s="11"/>
      <c r="G201" s="11"/>
      <c r="H201" s="11"/>
      <c r="I201" s="11"/>
      <c r="J201" s="11"/>
      <c r="K201" s="10"/>
      <c r="L201" s="10"/>
      <c r="M201" s="11"/>
    </row>
    <row r="202" spans="1:13">
      <c r="A202" s="10"/>
      <c r="B202" s="10"/>
      <c r="C202" s="10"/>
      <c r="D202" s="10"/>
      <c r="E202" s="10"/>
      <c r="F202" s="11"/>
      <c r="G202" s="11"/>
      <c r="H202" s="11"/>
      <c r="I202" s="11"/>
      <c r="J202" s="11"/>
      <c r="K202" s="10"/>
      <c r="L202" s="10"/>
      <c r="M202" s="11"/>
    </row>
    <row r="203" spans="1:13">
      <c r="A203" s="10"/>
      <c r="B203" s="10"/>
      <c r="C203" s="10"/>
      <c r="D203" s="10"/>
      <c r="E203" s="10"/>
      <c r="F203" s="11"/>
      <c r="G203" s="11"/>
      <c r="H203" s="11"/>
      <c r="I203" s="11"/>
      <c r="J203" s="11"/>
      <c r="K203" s="10"/>
      <c r="L203" s="10"/>
      <c r="M203" s="11"/>
    </row>
    <row r="204" spans="1:13">
      <c r="A204" s="10"/>
      <c r="B204" s="10"/>
      <c r="C204" s="10"/>
      <c r="D204" s="10"/>
      <c r="E204" s="10"/>
      <c r="F204" s="11"/>
      <c r="G204" s="11"/>
      <c r="H204" s="11"/>
      <c r="I204" s="11"/>
      <c r="J204" s="11"/>
      <c r="K204" s="10"/>
      <c r="L204" s="10"/>
      <c r="M204" s="11"/>
    </row>
    <row r="205" spans="1:13">
      <c r="A205" s="10"/>
      <c r="B205" s="10"/>
      <c r="C205" s="10"/>
      <c r="D205" s="10"/>
      <c r="E205" s="10"/>
      <c r="F205" s="11"/>
      <c r="G205" s="11"/>
      <c r="H205" s="11"/>
      <c r="I205" s="11"/>
      <c r="J205" s="11"/>
      <c r="K205" s="10"/>
      <c r="L205" s="10"/>
      <c r="M205" s="11"/>
    </row>
    <row r="206" spans="1:13">
      <c r="A206" s="10"/>
      <c r="B206" s="10"/>
      <c r="C206" s="10"/>
      <c r="D206" s="10"/>
      <c r="E206" s="10"/>
      <c r="F206" s="11"/>
      <c r="G206" s="11"/>
      <c r="H206" s="11"/>
      <c r="I206" s="11"/>
      <c r="J206" s="11"/>
      <c r="K206" s="10"/>
      <c r="L206" s="10"/>
      <c r="M206" s="11"/>
    </row>
    <row r="207" spans="1:13">
      <c r="A207" s="10"/>
      <c r="B207" s="10"/>
      <c r="C207" s="10"/>
      <c r="D207" s="10"/>
      <c r="E207" s="10"/>
      <c r="F207" s="11"/>
      <c r="G207" s="11"/>
      <c r="H207" s="11"/>
      <c r="I207" s="11"/>
      <c r="J207" s="11"/>
      <c r="K207" s="10"/>
      <c r="L207" s="10"/>
      <c r="M207" s="11"/>
    </row>
    <row r="208" spans="1:13">
      <c r="A208" s="10"/>
      <c r="B208" s="10"/>
      <c r="C208" s="10"/>
      <c r="D208" s="10"/>
      <c r="E208" s="10"/>
      <c r="F208" s="11"/>
      <c r="G208" s="11"/>
      <c r="H208" s="11"/>
      <c r="I208" s="11"/>
      <c r="J208" s="11"/>
      <c r="K208" s="10"/>
      <c r="L208" s="10"/>
      <c r="M208" s="11"/>
    </row>
    <row r="209" spans="1:13">
      <c r="A209" s="10"/>
      <c r="B209" s="10"/>
      <c r="C209" s="10"/>
      <c r="D209" s="10"/>
      <c r="E209" s="10"/>
      <c r="F209" s="11"/>
      <c r="G209" s="11"/>
      <c r="H209" s="11"/>
      <c r="I209" s="11"/>
      <c r="J209" s="11"/>
      <c r="K209" s="10"/>
      <c r="L209" s="10"/>
      <c r="M209" s="11"/>
    </row>
    <row r="210" spans="1:13">
      <c r="A210" s="10"/>
      <c r="B210" s="10"/>
      <c r="C210" s="10"/>
      <c r="D210" s="10"/>
      <c r="E210" s="10"/>
      <c r="F210" s="11"/>
      <c r="G210" s="11"/>
      <c r="H210" s="11"/>
      <c r="I210" s="11"/>
      <c r="J210" s="11"/>
      <c r="K210" s="10"/>
      <c r="L210" s="10"/>
      <c r="M210" s="11"/>
    </row>
    <row r="211" spans="1:13">
      <c r="A211" s="10"/>
      <c r="B211" s="10"/>
      <c r="C211" s="10"/>
      <c r="D211" s="10"/>
      <c r="E211" s="10"/>
      <c r="F211" s="11"/>
      <c r="G211" s="11"/>
      <c r="H211" s="11"/>
      <c r="I211" s="11"/>
      <c r="J211" s="11"/>
      <c r="K211" s="10"/>
      <c r="L211" s="10"/>
      <c r="M211" s="11"/>
    </row>
    <row r="212" spans="1:13">
      <c r="A212" s="10"/>
      <c r="B212" s="10"/>
      <c r="C212" s="10"/>
      <c r="D212" s="10"/>
      <c r="E212" s="10"/>
      <c r="F212" s="11"/>
      <c r="G212" s="11"/>
      <c r="H212" s="11"/>
      <c r="I212" s="11"/>
      <c r="J212" s="11"/>
      <c r="K212" s="10"/>
      <c r="L212" s="10"/>
      <c r="M212" s="11"/>
    </row>
    <row r="213" spans="1:13">
      <c r="A213" s="10"/>
      <c r="B213" s="10"/>
      <c r="C213" s="10"/>
      <c r="D213" s="10"/>
      <c r="E213" s="10"/>
      <c r="F213" s="11"/>
      <c r="G213" s="11"/>
      <c r="H213" s="11"/>
      <c r="I213" s="11"/>
      <c r="J213" s="11"/>
      <c r="K213" s="10"/>
      <c r="L213" s="10"/>
      <c r="M213" s="11"/>
    </row>
    <row r="214" spans="1:13">
      <c r="A214" s="10"/>
      <c r="B214" s="10"/>
      <c r="C214" s="10"/>
      <c r="D214" s="10"/>
      <c r="E214" s="10"/>
      <c r="F214" s="11"/>
      <c r="G214" s="11"/>
      <c r="H214" s="11"/>
      <c r="I214" s="11"/>
      <c r="J214" s="11"/>
      <c r="K214" s="10"/>
      <c r="L214" s="10"/>
      <c r="M214" s="11"/>
    </row>
    <row r="215" spans="1:13">
      <c r="A215" s="10"/>
      <c r="B215" s="10"/>
      <c r="C215" s="10"/>
      <c r="D215" s="10"/>
      <c r="E215" s="10"/>
      <c r="F215" s="11"/>
      <c r="G215" s="11"/>
      <c r="H215" s="11"/>
      <c r="I215" s="11"/>
      <c r="J215" s="11"/>
      <c r="K215" s="10"/>
      <c r="L215" s="10"/>
      <c r="M215" s="11"/>
    </row>
    <row r="216" spans="1:13">
      <c r="A216" s="10"/>
      <c r="B216" s="10"/>
      <c r="C216" s="10"/>
      <c r="D216" s="10"/>
      <c r="E216" s="10"/>
      <c r="F216" s="11"/>
      <c r="G216" s="11"/>
      <c r="H216" s="11"/>
      <c r="I216" s="11"/>
      <c r="J216" s="11"/>
      <c r="K216" s="10"/>
      <c r="L216" s="10"/>
      <c r="M216" s="11"/>
    </row>
    <row r="217" spans="1:13">
      <c r="A217" s="10"/>
      <c r="B217" s="10"/>
      <c r="C217" s="10"/>
      <c r="D217" s="10"/>
      <c r="E217" s="10"/>
      <c r="F217" s="11"/>
      <c r="G217" s="11"/>
      <c r="H217" s="11"/>
      <c r="I217" s="11"/>
      <c r="J217" s="11"/>
      <c r="K217" s="10"/>
      <c r="L217" s="10"/>
      <c r="M217" s="11"/>
    </row>
    <row r="218" spans="1:13">
      <c r="A218" s="10"/>
      <c r="B218" s="10"/>
      <c r="C218" s="10"/>
      <c r="D218" s="10"/>
      <c r="E218" s="10"/>
      <c r="F218" s="11"/>
      <c r="G218" s="11"/>
      <c r="H218" s="11"/>
      <c r="I218" s="11"/>
      <c r="J218" s="11"/>
      <c r="K218" s="10"/>
      <c r="L218" s="10"/>
      <c r="M218" s="11"/>
    </row>
    <row r="219" spans="1:13">
      <c r="A219" s="10"/>
      <c r="B219" s="10"/>
      <c r="C219" s="10"/>
      <c r="D219" s="10"/>
      <c r="E219" s="10"/>
      <c r="F219" s="11"/>
      <c r="G219" s="11"/>
      <c r="H219" s="11"/>
      <c r="I219" s="11"/>
      <c r="J219" s="11"/>
      <c r="K219" s="10"/>
      <c r="L219" s="10"/>
      <c r="M219" s="11"/>
    </row>
    <row r="220" spans="1:13">
      <c r="A220" s="10"/>
      <c r="B220" s="10"/>
      <c r="C220" s="10"/>
      <c r="D220" s="10"/>
      <c r="E220" s="10"/>
      <c r="F220" s="11"/>
      <c r="G220" s="11"/>
      <c r="H220" s="11"/>
      <c r="I220" s="11"/>
      <c r="J220" s="11"/>
      <c r="K220" s="10"/>
      <c r="L220" s="10"/>
      <c r="M220" s="11"/>
    </row>
    <row r="221" spans="1:13">
      <c r="A221" s="10"/>
      <c r="B221" s="10"/>
      <c r="C221" s="10"/>
      <c r="D221" s="10"/>
      <c r="E221" s="10"/>
      <c r="F221" s="11"/>
      <c r="G221" s="11"/>
      <c r="H221" s="11"/>
      <c r="I221" s="11"/>
      <c r="J221" s="11"/>
      <c r="K221" s="10"/>
      <c r="L221" s="10"/>
      <c r="M221" s="11"/>
    </row>
    <row r="222" spans="1:13">
      <c r="A222" s="10"/>
      <c r="B222" s="10"/>
      <c r="C222" s="10"/>
      <c r="D222" s="10"/>
      <c r="E222" s="10"/>
      <c r="F222" s="11"/>
      <c r="G222" s="11"/>
      <c r="H222" s="11"/>
      <c r="I222" s="11"/>
      <c r="J222" s="11"/>
      <c r="K222" s="10"/>
      <c r="L222" s="10"/>
      <c r="M222" s="11"/>
    </row>
    <row r="223" spans="1:13">
      <c r="A223" s="10"/>
      <c r="B223" s="10"/>
      <c r="C223" s="10"/>
      <c r="D223" s="10"/>
      <c r="E223" s="10"/>
      <c r="F223" s="11"/>
      <c r="G223" s="11"/>
      <c r="H223" s="11"/>
      <c r="I223" s="11"/>
      <c r="J223" s="11"/>
      <c r="K223" s="10"/>
      <c r="L223" s="10"/>
      <c r="M223" s="11"/>
    </row>
    <row r="224" spans="1:13">
      <c r="A224" s="10"/>
      <c r="B224" s="10"/>
      <c r="C224" s="10"/>
      <c r="D224" s="10"/>
      <c r="E224" s="10"/>
      <c r="F224" s="11"/>
      <c r="G224" s="11"/>
      <c r="H224" s="11"/>
      <c r="I224" s="11"/>
      <c r="J224" s="11"/>
      <c r="K224" s="10"/>
      <c r="L224" s="10"/>
      <c r="M224" s="11"/>
    </row>
    <row r="225" spans="1:13">
      <c r="A225" s="10"/>
      <c r="B225" s="10"/>
      <c r="C225" s="10"/>
      <c r="D225" s="10"/>
      <c r="E225" s="10"/>
      <c r="F225" s="11"/>
      <c r="G225" s="11"/>
      <c r="H225" s="11"/>
      <c r="I225" s="11"/>
      <c r="J225" s="11"/>
      <c r="K225" s="10"/>
      <c r="L225" s="10"/>
      <c r="M225" s="11"/>
    </row>
    <row r="226" spans="1:13">
      <c r="A226" s="10"/>
      <c r="B226" s="10"/>
      <c r="C226" s="10"/>
      <c r="D226" s="10"/>
      <c r="E226" s="10"/>
      <c r="F226" s="11"/>
      <c r="G226" s="11"/>
      <c r="H226" s="11"/>
      <c r="I226" s="11"/>
      <c r="J226" s="11"/>
      <c r="K226" s="10"/>
      <c r="L226" s="10"/>
      <c r="M226" s="11"/>
    </row>
    <row r="227" spans="1:13">
      <c r="A227" s="10"/>
      <c r="B227" s="10"/>
      <c r="C227" s="10"/>
      <c r="D227" s="10"/>
      <c r="E227" s="10"/>
      <c r="F227" s="11"/>
      <c r="G227" s="11"/>
      <c r="H227" s="11"/>
      <c r="I227" s="11"/>
      <c r="J227" s="11"/>
      <c r="K227" s="10"/>
      <c r="L227" s="10"/>
      <c r="M227" s="11"/>
    </row>
    <row r="228" spans="1:13">
      <c r="A228" s="10"/>
      <c r="B228" s="10"/>
      <c r="C228" s="10"/>
      <c r="D228" s="10"/>
      <c r="E228" s="10"/>
      <c r="F228" s="11"/>
      <c r="G228" s="11"/>
      <c r="H228" s="11"/>
      <c r="I228" s="11"/>
      <c r="J228" s="11"/>
      <c r="K228" s="10"/>
      <c r="L228" s="10"/>
      <c r="M228" s="11"/>
    </row>
    <row r="229" spans="1:13">
      <c r="A229" s="10"/>
      <c r="B229" s="10"/>
      <c r="C229" s="10"/>
      <c r="D229" s="10"/>
      <c r="E229" s="10"/>
      <c r="F229" s="11"/>
      <c r="G229" s="11"/>
      <c r="H229" s="11"/>
      <c r="I229" s="11"/>
      <c r="J229" s="11"/>
      <c r="K229" s="10"/>
      <c r="L229" s="10"/>
      <c r="M229" s="11"/>
    </row>
    <row r="230" spans="1:13">
      <c r="A230" s="10"/>
      <c r="B230" s="10"/>
      <c r="C230" s="10"/>
      <c r="D230" s="10"/>
      <c r="E230" s="10"/>
      <c r="F230" s="11"/>
      <c r="G230" s="11"/>
      <c r="H230" s="11"/>
      <c r="I230" s="11"/>
      <c r="J230" s="11"/>
      <c r="K230" s="10"/>
      <c r="L230" s="10"/>
      <c r="M230" s="11"/>
    </row>
    <row r="231" spans="1:13">
      <c r="A231" s="10"/>
      <c r="B231" s="10"/>
      <c r="C231" s="10"/>
      <c r="D231" s="10"/>
      <c r="E231" s="10"/>
      <c r="F231" s="11"/>
      <c r="G231" s="11"/>
      <c r="H231" s="11"/>
      <c r="I231" s="11"/>
      <c r="J231" s="11"/>
      <c r="K231" s="10"/>
      <c r="L231" s="10"/>
      <c r="M231" s="11"/>
    </row>
    <row r="232" spans="1:13">
      <c r="A232" s="10"/>
      <c r="B232" s="10"/>
      <c r="C232" s="10"/>
      <c r="D232" s="10"/>
      <c r="E232" s="10"/>
      <c r="F232" s="11"/>
      <c r="G232" s="11"/>
      <c r="H232" s="11"/>
      <c r="I232" s="11"/>
      <c r="J232" s="11"/>
      <c r="K232" s="10"/>
      <c r="L232" s="10"/>
      <c r="M232" s="11"/>
    </row>
    <row r="233" spans="1:13">
      <c r="A233" s="10"/>
      <c r="B233" s="10"/>
      <c r="C233" s="10"/>
      <c r="D233" s="10"/>
      <c r="E233" s="10"/>
      <c r="F233" s="11"/>
      <c r="G233" s="11"/>
      <c r="H233" s="11"/>
      <c r="I233" s="11"/>
      <c r="J233" s="11"/>
      <c r="K233" s="10"/>
      <c r="L233" s="10"/>
      <c r="M233" s="11"/>
    </row>
    <row r="234" spans="1:13">
      <c r="A234" s="10"/>
      <c r="B234" s="10"/>
      <c r="C234" s="10"/>
      <c r="D234" s="10"/>
      <c r="E234" s="10"/>
      <c r="F234" s="11"/>
      <c r="G234" s="11"/>
      <c r="H234" s="11"/>
      <c r="I234" s="11"/>
      <c r="J234" s="11"/>
      <c r="K234" s="10"/>
      <c r="L234" s="10"/>
      <c r="M234" s="11"/>
    </row>
    <row r="235" spans="1:13">
      <c r="A235" s="10"/>
      <c r="B235" s="10"/>
      <c r="C235" s="10"/>
      <c r="D235" s="10"/>
      <c r="E235" s="10"/>
      <c r="F235" s="11"/>
      <c r="G235" s="11"/>
      <c r="H235" s="11"/>
      <c r="I235" s="11"/>
      <c r="J235" s="11"/>
      <c r="K235" s="10"/>
      <c r="L235" s="10"/>
      <c r="M235" s="11"/>
    </row>
    <row r="236" spans="1:13">
      <c r="A236" s="10"/>
      <c r="B236" s="10"/>
      <c r="C236" s="10"/>
      <c r="D236" s="10"/>
      <c r="E236" s="10"/>
      <c r="F236" s="11"/>
      <c r="G236" s="11"/>
      <c r="H236" s="11"/>
      <c r="I236" s="11"/>
      <c r="J236" s="11"/>
      <c r="K236" s="10"/>
      <c r="L236" s="10"/>
      <c r="M236" s="11"/>
    </row>
    <row r="237" spans="1:13">
      <c r="A237" s="10"/>
      <c r="B237" s="10"/>
      <c r="C237" s="10"/>
      <c r="D237" s="10"/>
      <c r="E237" s="10"/>
      <c r="F237" s="11"/>
      <c r="G237" s="11"/>
      <c r="H237" s="11"/>
      <c r="I237" s="11"/>
      <c r="J237" s="11"/>
      <c r="K237" s="10"/>
      <c r="L237" s="10"/>
      <c r="M237" s="11"/>
    </row>
    <row r="238" spans="1:13">
      <c r="A238" s="10"/>
      <c r="B238" s="10"/>
      <c r="C238" s="10"/>
      <c r="D238" s="10"/>
      <c r="E238" s="10"/>
      <c r="F238" s="11"/>
      <c r="G238" s="11"/>
      <c r="H238" s="11"/>
      <c r="I238" s="11"/>
      <c r="J238" s="11"/>
      <c r="K238" s="10"/>
      <c r="L238" s="10"/>
      <c r="M238" s="11"/>
    </row>
    <row r="239" spans="1:13">
      <c r="A239" s="10"/>
      <c r="B239" s="10"/>
      <c r="C239" s="10"/>
      <c r="D239" s="10"/>
      <c r="E239" s="10"/>
      <c r="F239" s="11"/>
      <c r="G239" s="11"/>
      <c r="H239" s="11"/>
      <c r="I239" s="11"/>
      <c r="J239" s="11"/>
      <c r="K239" s="10"/>
      <c r="L239" s="10"/>
      <c r="M239" s="11"/>
    </row>
    <row r="240" spans="1:13">
      <c r="A240" s="10"/>
      <c r="B240" s="10"/>
      <c r="C240" s="10"/>
      <c r="D240" s="10"/>
      <c r="E240" s="10"/>
      <c r="F240" s="11"/>
      <c r="G240" s="11"/>
      <c r="H240" s="11"/>
      <c r="I240" s="11"/>
      <c r="J240" s="11"/>
      <c r="K240" s="10"/>
      <c r="L240" s="10"/>
      <c r="M240" s="11"/>
    </row>
    <row r="241" spans="1:13">
      <c r="A241" s="10"/>
      <c r="B241" s="10"/>
      <c r="C241" s="10"/>
      <c r="D241" s="10"/>
      <c r="E241" s="10"/>
      <c r="F241" s="11"/>
      <c r="G241" s="11"/>
      <c r="H241" s="11"/>
      <c r="I241" s="11"/>
      <c r="J241" s="11"/>
      <c r="K241" s="10"/>
      <c r="L241" s="10"/>
      <c r="M241" s="11"/>
    </row>
    <row r="242" spans="1:13">
      <c r="A242" s="10"/>
      <c r="B242" s="10"/>
      <c r="C242" s="10"/>
      <c r="D242" s="10"/>
      <c r="E242" s="10"/>
      <c r="F242" s="11"/>
      <c r="G242" s="11"/>
      <c r="H242" s="11"/>
      <c r="I242" s="11"/>
      <c r="J242" s="11"/>
      <c r="K242" s="10"/>
      <c r="L242" s="10"/>
      <c r="M242" s="11"/>
    </row>
    <row r="243" spans="1:13">
      <c r="A243" s="10"/>
      <c r="B243" s="10"/>
      <c r="C243" s="10"/>
      <c r="D243" s="10"/>
      <c r="E243" s="10"/>
      <c r="F243" s="11"/>
      <c r="G243" s="11"/>
      <c r="H243" s="11"/>
      <c r="I243" s="11"/>
      <c r="J243" s="11"/>
      <c r="K243" s="10"/>
      <c r="L243" s="10"/>
      <c r="M243" s="11"/>
    </row>
    <row r="244" spans="1:13">
      <c r="A244" s="10"/>
      <c r="B244" s="10"/>
      <c r="C244" s="10"/>
      <c r="D244" s="10"/>
      <c r="E244" s="10"/>
      <c r="F244" s="11"/>
      <c r="G244" s="11"/>
      <c r="H244" s="11"/>
      <c r="I244" s="11"/>
      <c r="J244" s="11"/>
      <c r="K244" s="10"/>
      <c r="L244" s="10"/>
      <c r="M244" s="11"/>
    </row>
    <row r="245" spans="1:13">
      <c r="A245" s="10"/>
      <c r="B245" s="10"/>
      <c r="C245" s="10"/>
      <c r="D245" s="10"/>
      <c r="E245" s="10"/>
      <c r="F245" s="11"/>
      <c r="G245" s="11"/>
      <c r="H245" s="11"/>
      <c r="I245" s="11"/>
      <c r="J245" s="11"/>
      <c r="K245" s="10"/>
      <c r="L245" s="10"/>
      <c r="M245" s="11"/>
    </row>
    <row r="246" spans="1:13">
      <c r="A246" s="10"/>
      <c r="B246" s="10"/>
      <c r="C246" s="10"/>
      <c r="D246" s="10"/>
      <c r="E246" s="10"/>
      <c r="F246" s="11"/>
      <c r="G246" s="11"/>
      <c r="H246" s="11"/>
      <c r="I246" s="11"/>
      <c r="J246" s="11"/>
      <c r="K246" s="10"/>
      <c r="L246" s="10"/>
      <c r="M246" s="11"/>
    </row>
    <row r="247" spans="1:13">
      <c r="A247" s="10"/>
      <c r="B247" s="10"/>
      <c r="C247" s="10"/>
      <c r="D247" s="10"/>
      <c r="E247" s="10"/>
      <c r="F247" s="11"/>
      <c r="G247" s="11"/>
      <c r="H247" s="11"/>
      <c r="I247" s="11"/>
      <c r="J247" s="11"/>
      <c r="K247" s="10"/>
      <c r="L247" s="10"/>
      <c r="M247" s="11"/>
    </row>
    <row r="248" spans="1:13">
      <c r="A248" s="10"/>
      <c r="B248" s="10"/>
      <c r="C248" s="10"/>
      <c r="D248" s="10"/>
      <c r="E248" s="10"/>
      <c r="F248" s="11"/>
      <c r="G248" s="11"/>
      <c r="H248" s="11"/>
      <c r="I248" s="11"/>
      <c r="J248" s="11"/>
      <c r="K248" s="10"/>
      <c r="L248" s="10"/>
      <c r="M248" s="11"/>
    </row>
    <row r="249" spans="1:13">
      <c r="A249" s="10"/>
      <c r="B249" s="10"/>
      <c r="C249" s="10"/>
      <c r="D249" s="10"/>
      <c r="E249" s="10"/>
      <c r="F249" s="11"/>
      <c r="G249" s="11"/>
      <c r="H249" s="11"/>
      <c r="I249" s="11"/>
      <c r="J249" s="11"/>
      <c r="K249" s="10"/>
      <c r="L249" s="10"/>
      <c r="M249" s="11"/>
    </row>
    <row r="250" spans="1:13">
      <c r="A250" s="10"/>
      <c r="B250" s="10"/>
      <c r="C250" s="10"/>
      <c r="D250" s="10"/>
      <c r="E250" s="10"/>
      <c r="F250" s="11"/>
      <c r="G250" s="11"/>
      <c r="H250" s="11"/>
      <c r="I250" s="11"/>
      <c r="J250" s="11"/>
      <c r="K250" s="10"/>
      <c r="L250" s="10"/>
      <c r="M250" s="11"/>
    </row>
  </sheetData>
  <mergeCells count="2">
    <mergeCell ref="A2:M2"/>
    <mergeCell ref="A1:M1"/>
  </mergeCells>
  <conditionalFormatting sqref="B4:B250">
    <cfRule type="expression" dxfId="5" priority="1">
      <formula>LEN($B4)=0</formula>
    </cfRule>
  </conditionalFormatting>
  <dataValidations count="3">
    <dataValidation type="list" allowBlank="1" sqref="B4:B250" xr:uid="{00000000-0002-0000-1000-000000000000}">
      <formula1>TechIDs</formula1>
    </dataValidation>
    <dataValidation type="list" allowBlank="1" sqref="E4:E250" xr:uid="{00000000-0002-0000-1000-000001000000}">
      <formula1>Geografie</formula1>
    </dataValidation>
    <dataValidation type="list" allowBlank="1" sqref="L4:L250" xr:uid="{00000000-0002-0000-1000-000002000000}">
      <formula1>SourceIDs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F766E"/>
  </sheetPr>
  <dimension ref="A1:K250"/>
  <sheetViews>
    <sheetView showGridLines="0" workbookViewId="0">
      <selection activeCell="K6" sqref="K6"/>
    </sheetView>
  </sheetViews>
  <sheetFormatPr defaultRowHeight="14.45"/>
  <cols>
    <col min="1" max="1" width="14" customWidth="1"/>
    <col min="2" max="2" width="10" customWidth="1"/>
    <col min="3" max="3" width="22" customWidth="1"/>
    <col min="4" max="4" width="16" customWidth="1"/>
    <col min="5" max="5" width="22" customWidth="1"/>
    <col min="6" max="6" width="30" customWidth="1"/>
    <col min="7" max="7" width="16" customWidth="1"/>
    <col min="8" max="8" width="18" customWidth="1"/>
    <col min="9" max="9" width="30" customWidth="1"/>
    <col min="10" max="10" width="12" customWidth="1"/>
    <col min="11" max="11" width="24" customWidth="1"/>
  </cols>
  <sheetData>
    <row r="1" spans="1:11" ht="24" customHeight="1">
      <c r="A1" s="28" t="s">
        <v>2782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36" customHeight="1">
      <c r="A2" s="29" t="s">
        <v>2783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27.95" customHeight="1">
      <c r="A3" s="9" t="s">
        <v>203</v>
      </c>
      <c r="B3" s="9" t="s">
        <v>64</v>
      </c>
      <c r="C3" s="9" t="s">
        <v>23</v>
      </c>
      <c r="D3" s="9" t="s">
        <v>2784</v>
      </c>
      <c r="E3" s="9" t="s">
        <v>2785</v>
      </c>
      <c r="F3" s="9" t="s">
        <v>2786</v>
      </c>
      <c r="G3" s="9" t="s">
        <v>2787</v>
      </c>
      <c r="H3" s="9" t="s">
        <v>2788</v>
      </c>
      <c r="I3" s="9" t="s">
        <v>2789</v>
      </c>
      <c r="J3" s="9" t="s">
        <v>1061</v>
      </c>
      <c r="K3" s="9" t="s">
        <v>1062</v>
      </c>
    </row>
    <row r="4" spans="1:11" ht="72.599999999999994" customHeight="1">
      <c r="A4" s="10" t="s">
        <v>2790</v>
      </c>
      <c r="B4" s="10" t="s">
        <v>117</v>
      </c>
      <c r="C4" s="10" t="s">
        <v>118</v>
      </c>
      <c r="D4" s="10" t="s">
        <v>265</v>
      </c>
      <c r="E4" s="10" t="s">
        <v>2791</v>
      </c>
      <c r="F4" s="11" t="s">
        <v>2792</v>
      </c>
      <c r="G4" s="10" t="s">
        <v>2793</v>
      </c>
      <c r="H4" s="10" t="s">
        <v>2794</v>
      </c>
      <c r="I4" s="11" t="s">
        <v>2795</v>
      </c>
      <c r="J4" s="10" t="s">
        <v>458</v>
      </c>
      <c r="K4" s="11" t="s">
        <v>2796</v>
      </c>
    </row>
    <row r="5" spans="1:11" ht="57.95" customHeight="1">
      <c r="A5" s="10" t="s">
        <v>2797</v>
      </c>
      <c r="B5" s="10" t="s">
        <v>117</v>
      </c>
      <c r="C5" s="10" t="s">
        <v>118</v>
      </c>
      <c r="D5" s="10" t="s">
        <v>265</v>
      </c>
      <c r="E5" s="10" t="s">
        <v>2798</v>
      </c>
      <c r="F5" s="11" t="s">
        <v>2799</v>
      </c>
      <c r="G5" s="10" t="s">
        <v>2800</v>
      </c>
      <c r="H5" s="10" t="s">
        <v>2801</v>
      </c>
      <c r="I5" s="11" t="s">
        <v>2802</v>
      </c>
      <c r="J5" s="10" t="s">
        <v>464</v>
      </c>
      <c r="K5" s="11" t="s">
        <v>2803</v>
      </c>
    </row>
    <row r="6" spans="1:11" ht="57.95" customHeight="1">
      <c r="A6" s="10" t="s">
        <v>2804</v>
      </c>
      <c r="B6" s="10" t="s">
        <v>117</v>
      </c>
      <c r="C6" s="10" t="s">
        <v>118</v>
      </c>
      <c r="D6" s="10" t="s">
        <v>242</v>
      </c>
      <c r="E6" s="10" t="s">
        <v>2805</v>
      </c>
      <c r="F6" s="11" t="s">
        <v>2806</v>
      </c>
      <c r="G6" s="10" t="s">
        <v>2807</v>
      </c>
      <c r="H6" s="10" t="s">
        <v>2808</v>
      </c>
      <c r="I6" s="11" t="s">
        <v>2809</v>
      </c>
      <c r="J6" s="10" t="s">
        <v>469</v>
      </c>
      <c r="K6" s="11" t="s">
        <v>2810</v>
      </c>
    </row>
    <row r="7" spans="1:11" ht="57.95" customHeight="1">
      <c r="A7" s="10" t="s">
        <v>2811</v>
      </c>
      <c r="B7" s="10" t="s">
        <v>117</v>
      </c>
      <c r="C7" s="10" t="s">
        <v>118</v>
      </c>
      <c r="D7" s="10" t="s">
        <v>242</v>
      </c>
      <c r="E7" s="10" t="s">
        <v>2812</v>
      </c>
      <c r="F7" s="11" t="s">
        <v>2813</v>
      </c>
      <c r="G7" s="10" t="s">
        <v>2814</v>
      </c>
      <c r="H7" s="10" t="s">
        <v>2815</v>
      </c>
      <c r="I7" s="11" t="s">
        <v>2816</v>
      </c>
      <c r="J7" s="10" t="s">
        <v>518</v>
      </c>
      <c r="K7" s="11" t="s">
        <v>2817</v>
      </c>
    </row>
    <row r="8" spans="1:11" ht="57.95" customHeight="1">
      <c r="A8" s="10" t="s">
        <v>2818</v>
      </c>
      <c r="B8" s="10" t="s">
        <v>117</v>
      </c>
      <c r="C8" s="10" t="s">
        <v>118</v>
      </c>
      <c r="D8" s="10" t="s">
        <v>265</v>
      </c>
      <c r="E8" s="10" t="s">
        <v>345</v>
      </c>
      <c r="F8" s="11" t="s">
        <v>2819</v>
      </c>
      <c r="G8" s="10" t="s">
        <v>2820</v>
      </c>
      <c r="H8" s="10" t="s">
        <v>2821</v>
      </c>
      <c r="I8" s="11" t="s">
        <v>2822</v>
      </c>
      <c r="J8" s="10" t="s">
        <v>481</v>
      </c>
      <c r="K8" s="11" t="s">
        <v>2823</v>
      </c>
    </row>
    <row r="9" spans="1:11" ht="43.5" customHeight="1">
      <c r="A9" s="10" t="s">
        <v>2824</v>
      </c>
      <c r="B9" s="10" t="s">
        <v>131</v>
      </c>
      <c r="C9" s="10" t="s">
        <v>132</v>
      </c>
      <c r="D9" s="10" t="s">
        <v>265</v>
      </c>
      <c r="E9" s="10" t="s">
        <v>2791</v>
      </c>
      <c r="F9" s="11" t="s">
        <v>2792</v>
      </c>
      <c r="G9" s="10" t="s">
        <v>2793</v>
      </c>
      <c r="H9" s="10" t="s">
        <v>2794</v>
      </c>
      <c r="I9" s="11" t="s">
        <v>2825</v>
      </c>
      <c r="J9" s="10" t="s">
        <v>458</v>
      </c>
      <c r="K9" s="11" t="s">
        <v>2826</v>
      </c>
    </row>
    <row r="10" spans="1:11" ht="57.95" customHeight="1">
      <c r="A10" s="10" t="s">
        <v>2827</v>
      </c>
      <c r="B10" s="10" t="s">
        <v>131</v>
      </c>
      <c r="C10" s="10" t="s">
        <v>132</v>
      </c>
      <c r="D10" s="10" t="s">
        <v>265</v>
      </c>
      <c r="E10" s="10" t="s">
        <v>2828</v>
      </c>
      <c r="F10" s="11" t="s">
        <v>2829</v>
      </c>
      <c r="G10" s="10" t="s">
        <v>2830</v>
      </c>
      <c r="H10" s="10" t="s">
        <v>2831</v>
      </c>
      <c r="I10" s="11" t="s">
        <v>2832</v>
      </c>
      <c r="J10" s="10" t="s">
        <v>577</v>
      </c>
      <c r="K10" s="11" t="s">
        <v>2212</v>
      </c>
    </row>
    <row r="11" spans="1:11" ht="43.5" customHeight="1">
      <c r="A11" s="10" t="s">
        <v>2833</v>
      </c>
      <c r="B11" s="10" t="s">
        <v>131</v>
      </c>
      <c r="C11" s="10" t="s">
        <v>132</v>
      </c>
      <c r="D11" s="10" t="s">
        <v>265</v>
      </c>
      <c r="E11" s="10" t="s">
        <v>238</v>
      </c>
      <c r="F11" s="11" t="s">
        <v>2834</v>
      </c>
      <c r="G11" s="10" t="s">
        <v>2835</v>
      </c>
      <c r="H11" s="10" t="s">
        <v>2836</v>
      </c>
      <c r="I11" s="11" t="s">
        <v>2837</v>
      </c>
      <c r="J11" s="10" t="s">
        <v>572</v>
      </c>
      <c r="K11" s="11" t="s">
        <v>2838</v>
      </c>
    </row>
    <row r="12" spans="1:11" ht="43.5" customHeight="1">
      <c r="A12" s="10" t="s">
        <v>2839</v>
      </c>
      <c r="B12" s="10" t="s">
        <v>131</v>
      </c>
      <c r="C12" s="10" t="s">
        <v>132</v>
      </c>
      <c r="D12" s="10" t="s">
        <v>242</v>
      </c>
      <c r="E12" s="10" t="s">
        <v>2840</v>
      </c>
      <c r="F12" s="11" t="s">
        <v>583</v>
      </c>
      <c r="G12" s="10" t="s">
        <v>2830</v>
      </c>
      <c r="H12" s="10" t="s">
        <v>2841</v>
      </c>
      <c r="I12" s="11" t="s">
        <v>2842</v>
      </c>
      <c r="J12" s="10" t="s">
        <v>582</v>
      </c>
      <c r="K12" s="11" t="s">
        <v>2843</v>
      </c>
    </row>
    <row r="13" spans="1:11" ht="43.5" customHeight="1">
      <c r="A13" s="10" t="s">
        <v>2844</v>
      </c>
      <c r="B13" s="10" t="s">
        <v>131</v>
      </c>
      <c r="C13" s="10" t="s">
        <v>132</v>
      </c>
      <c r="D13" s="10" t="s">
        <v>242</v>
      </c>
      <c r="E13" s="10" t="s">
        <v>2805</v>
      </c>
      <c r="F13" s="11" t="s">
        <v>2845</v>
      </c>
      <c r="G13" s="10" t="s">
        <v>2830</v>
      </c>
      <c r="H13" s="10" t="s">
        <v>2841</v>
      </c>
      <c r="I13" s="11" t="s">
        <v>2846</v>
      </c>
      <c r="J13" s="10" t="s">
        <v>588</v>
      </c>
      <c r="K13" s="11" t="s">
        <v>2847</v>
      </c>
    </row>
    <row r="14" spans="1:11" ht="43.5" customHeight="1">
      <c r="A14" s="10" t="s">
        <v>2848</v>
      </c>
      <c r="B14" s="10" t="s">
        <v>161</v>
      </c>
      <c r="C14" s="10" t="s">
        <v>162</v>
      </c>
      <c r="D14" s="10" t="s">
        <v>265</v>
      </c>
      <c r="E14" s="10" t="s">
        <v>2849</v>
      </c>
      <c r="F14" s="11" t="s">
        <v>2850</v>
      </c>
      <c r="G14" s="10" t="s">
        <v>2820</v>
      </c>
      <c r="H14" s="10" t="s">
        <v>2851</v>
      </c>
      <c r="I14" s="11" t="s">
        <v>2852</v>
      </c>
      <c r="J14" s="10" t="s">
        <v>2853</v>
      </c>
      <c r="K14" s="11" t="s">
        <v>2854</v>
      </c>
    </row>
    <row r="15" spans="1:11" ht="43.5" customHeight="1">
      <c r="A15" s="10" t="s">
        <v>2855</v>
      </c>
      <c r="B15" s="10" t="s">
        <v>161</v>
      </c>
      <c r="C15" s="10" t="s">
        <v>162</v>
      </c>
      <c r="D15" s="10" t="s">
        <v>265</v>
      </c>
      <c r="E15" s="10" t="s">
        <v>2856</v>
      </c>
      <c r="F15" s="11" t="s">
        <v>2857</v>
      </c>
      <c r="G15" s="10" t="s">
        <v>2830</v>
      </c>
      <c r="H15" s="10" t="s">
        <v>2821</v>
      </c>
      <c r="I15" s="11" t="s">
        <v>2858</v>
      </c>
      <c r="J15" s="10" t="s">
        <v>661</v>
      </c>
      <c r="K15" s="11" t="s">
        <v>2859</v>
      </c>
    </row>
    <row r="16" spans="1:11" ht="43.5" customHeight="1">
      <c r="A16" s="10" t="s">
        <v>2860</v>
      </c>
      <c r="B16" s="10" t="s">
        <v>161</v>
      </c>
      <c r="C16" s="10" t="s">
        <v>162</v>
      </c>
      <c r="D16" s="10" t="s">
        <v>265</v>
      </c>
      <c r="E16" s="10" t="s">
        <v>2798</v>
      </c>
      <c r="F16" s="11" t="s">
        <v>2861</v>
      </c>
      <c r="G16" s="10" t="s">
        <v>253</v>
      </c>
      <c r="H16" s="10" t="s">
        <v>2801</v>
      </c>
      <c r="I16" s="11" t="s">
        <v>2862</v>
      </c>
      <c r="J16" s="10" t="s">
        <v>464</v>
      </c>
      <c r="K16" s="11" t="s">
        <v>2863</v>
      </c>
    </row>
    <row r="17" spans="1:11" ht="57.95" customHeight="1">
      <c r="A17" s="10" t="s">
        <v>2864</v>
      </c>
      <c r="B17" s="10" t="s">
        <v>161</v>
      </c>
      <c r="C17" s="10" t="s">
        <v>162</v>
      </c>
      <c r="D17" s="10" t="s">
        <v>242</v>
      </c>
      <c r="E17" s="10" t="s">
        <v>673</v>
      </c>
      <c r="F17" s="11" t="s">
        <v>2865</v>
      </c>
      <c r="G17" s="10" t="s">
        <v>2866</v>
      </c>
      <c r="H17" s="10" t="s">
        <v>2867</v>
      </c>
      <c r="I17" s="11" t="s">
        <v>2868</v>
      </c>
      <c r="J17" s="10" t="s">
        <v>671</v>
      </c>
      <c r="K17" s="11" t="s">
        <v>2869</v>
      </c>
    </row>
    <row r="18" spans="1:11" ht="43.5" customHeight="1">
      <c r="A18" s="10" t="s">
        <v>2870</v>
      </c>
      <c r="B18" s="10" t="s">
        <v>161</v>
      </c>
      <c r="C18" s="10" t="s">
        <v>162</v>
      </c>
      <c r="D18" s="10" t="s">
        <v>242</v>
      </c>
      <c r="E18" s="10" t="s">
        <v>2871</v>
      </c>
      <c r="F18" s="11" t="s">
        <v>2872</v>
      </c>
      <c r="G18" s="10" t="s">
        <v>2830</v>
      </c>
      <c r="H18" s="10" t="s">
        <v>2821</v>
      </c>
      <c r="I18" s="11" t="s">
        <v>2873</v>
      </c>
      <c r="J18" s="10" t="s">
        <v>677</v>
      </c>
      <c r="K18" s="11" t="s">
        <v>2874</v>
      </c>
    </row>
    <row r="19" spans="1:11" ht="43.5" customHeight="1">
      <c r="A19" s="10" t="s">
        <v>2875</v>
      </c>
      <c r="B19" s="10" t="s">
        <v>90</v>
      </c>
      <c r="C19" s="10" t="s">
        <v>91</v>
      </c>
      <c r="D19" s="10" t="s">
        <v>265</v>
      </c>
      <c r="E19" s="10" t="s">
        <v>2876</v>
      </c>
      <c r="F19" s="11" t="s">
        <v>2877</v>
      </c>
      <c r="G19" s="10" t="s">
        <v>253</v>
      </c>
      <c r="H19" s="10" t="s">
        <v>2878</v>
      </c>
      <c r="I19" s="11" t="s">
        <v>2879</v>
      </c>
      <c r="J19" s="10" t="s">
        <v>805</v>
      </c>
      <c r="K19" s="11"/>
    </row>
    <row r="20" spans="1:11" ht="29.1" customHeight="1">
      <c r="A20" s="10" t="s">
        <v>2880</v>
      </c>
      <c r="B20" s="10" t="s">
        <v>90</v>
      </c>
      <c r="C20" s="10" t="s">
        <v>91</v>
      </c>
      <c r="D20" s="10" t="s">
        <v>265</v>
      </c>
      <c r="E20" s="10" t="s">
        <v>345</v>
      </c>
      <c r="F20" s="11" t="s">
        <v>2881</v>
      </c>
      <c r="G20" s="10" t="s">
        <v>253</v>
      </c>
      <c r="H20" s="10" t="s">
        <v>2882</v>
      </c>
      <c r="I20" s="11" t="s">
        <v>2883</v>
      </c>
      <c r="J20" s="10" t="s">
        <v>805</v>
      </c>
      <c r="K20" s="11"/>
    </row>
    <row r="21" spans="1:11" ht="43.5" customHeight="1">
      <c r="A21" s="10" t="s">
        <v>2884</v>
      </c>
      <c r="B21" s="10" t="s">
        <v>90</v>
      </c>
      <c r="C21" s="10" t="s">
        <v>91</v>
      </c>
      <c r="D21" s="10" t="s">
        <v>338</v>
      </c>
      <c r="E21" s="10" t="s">
        <v>1676</v>
      </c>
      <c r="F21" s="11" t="s">
        <v>2885</v>
      </c>
      <c r="G21" s="10" t="s">
        <v>2830</v>
      </c>
      <c r="H21" s="10" t="s">
        <v>2886</v>
      </c>
      <c r="I21" s="11" t="s">
        <v>2887</v>
      </c>
      <c r="J21" s="10" t="s">
        <v>835</v>
      </c>
      <c r="K21" s="11"/>
    </row>
    <row r="22" spans="1:11" ht="29.1" customHeight="1">
      <c r="A22" s="10" t="s">
        <v>2888</v>
      </c>
      <c r="B22" s="10" t="s">
        <v>90</v>
      </c>
      <c r="C22" s="10" t="s">
        <v>91</v>
      </c>
      <c r="D22" s="10" t="s">
        <v>242</v>
      </c>
      <c r="E22" s="10" t="s">
        <v>238</v>
      </c>
      <c r="F22" s="11" t="s">
        <v>2889</v>
      </c>
      <c r="G22" s="10" t="s">
        <v>2890</v>
      </c>
      <c r="H22" s="10" t="s">
        <v>2891</v>
      </c>
      <c r="I22" s="11" t="s">
        <v>2892</v>
      </c>
      <c r="J22" s="10" t="s">
        <v>100</v>
      </c>
      <c r="K22" s="11"/>
    </row>
    <row r="23" spans="1:11" ht="29.1" customHeight="1">
      <c r="A23" s="10" t="s">
        <v>2893</v>
      </c>
      <c r="B23" s="10" t="s">
        <v>90</v>
      </c>
      <c r="C23" s="10" t="s">
        <v>91</v>
      </c>
      <c r="D23" s="10" t="s">
        <v>338</v>
      </c>
      <c r="E23" s="10" t="s">
        <v>2894</v>
      </c>
      <c r="F23" s="11" t="s">
        <v>2895</v>
      </c>
      <c r="G23" s="10" t="s">
        <v>2896</v>
      </c>
      <c r="H23" s="10" t="s">
        <v>2841</v>
      </c>
      <c r="I23" s="11" t="s">
        <v>2897</v>
      </c>
      <c r="J23" s="10" t="s">
        <v>1000</v>
      </c>
      <c r="K23" s="11"/>
    </row>
    <row r="24" spans="1:11" ht="29.1" customHeight="1">
      <c r="A24" s="10" t="s">
        <v>2898</v>
      </c>
      <c r="B24" s="10" t="s">
        <v>102</v>
      </c>
      <c r="C24" s="10" t="s">
        <v>103</v>
      </c>
      <c r="D24" s="10" t="s">
        <v>265</v>
      </c>
      <c r="E24" s="10" t="s">
        <v>307</v>
      </c>
      <c r="F24" s="11" t="s">
        <v>2899</v>
      </c>
      <c r="G24" s="10" t="s">
        <v>253</v>
      </c>
      <c r="H24" s="10" t="s">
        <v>2900</v>
      </c>
      <c r="I24" s="11" t="s">
        <v>2901</v>
      </c>
      <c r="J24" s="10" t="s">
        <v>805</v>
      </c>
      <c r="K24" s="11"/>
    </row>
    <row r="25" spans="1:11" ht="43.5" customHeight="1">
      <c r="A25" s="10" t="s">
        <v>2902</v>
      </c>
      <c r="B25" s="10" t="s">
        <v>102</v>
      </c>
      <c r="C25" s="10" t="s">
        <v>103</v>
      </c>
      <c r="D25" s="10" t="s">
        <v>338</v>
      </c>
      <c r="E25" s="10" t="s">
        <v>1676</v>
      </c>
      <c r="F25" s="11" t="s">
        <v>2903</v>
      </c>
      <c r="G25" s="10" t="s">
        <v>2830</v>
      </c>
      <c r="H25" s="10" t="s">
        <v>2904</v>
      </c>
      <c r="I25" s="11" t="s">
        <v>2905</v>
      </c>
      <c r="J25" s="10" t="s">
        <v>830</v>
      </c>
      <c r="K25" s="11"/>
    </row>
    <row r="26" spans="1:11" ht="29.1" customHeight="1">
      <c r="A26" s="10" t="s">
        <v>2906</v>
      </c>
      <c r="B26" s="10" t="s">
        <v>102</v>
      </c>
      <c r="C26" s="10" t="s">
        <v>103</v>
      </c>
      <c r="D26" s="10" t="s">
        <v>265</v>
      </c>
      <c r="E26" s="10" t="s">
        <v>345</v>
      </c>
      <c r="F26" s="11" t="s">
        <v>2881</v>
      </c>
      <c r="G26" s="10" t="s">
        <v>253</v>
      </c>
      <c r="H26" s="10" t="s">
        <v>2882</v>
      </c>
      <c r="I26" s="11" t="s">
        <v>2907</v>
      </c>
      <c r="J26" s="10" t="s">
        <v>805</v>
      </c>
      <c r="K26" s="11"/>
    </row>
    <row r="27" spans="1:11" ht="29.1" customHeight="1">
      <c r="A27" s="10" t="s">
        <v>2908</v>
      </c>
      <c r="B27" s="10" t="s">
        <v>102</v>
      </c>
      <c r="C27" s="10" t="s">
        <v>103</v>
      </c>
      <c r="D27" s="10" t="s">
        <v>338</v>
      </c>
      <c r="E27" s="10" t="s">
        <v>2909</v>
      </c>
      <c r="F27" s="11" t="s">
        <v>2910</v>
      </c>
      <c r="G27" s="10" t="s">
        <v>2896</v>
      </c>
      <c r="H27" s="10" t="s">
        <v>2841</v>
      </c>
      <c r="I27" s="11" t="s">
        <v>2911</v>
      </c>
      <c r="J27" s="10" t="s">
        <v>988</v>
      </c>
      <c r="K27" s="11"/>
    </row>
    <row r="28" spans="1:11" ht="29.1" customHeight="1">
      <c r="A28" s="10" t="s">
        <v>2912</v>
      </c>
      <c r="B28" s="10" t="s">
        <v>102</v>
      </c>
      <c r="C28" s="10" t="s">
        <v>103</v>
      </c>
      <c r="D28" s="10" t="s">
        <v>1036</v>
      </c>
      <c r="E28" s="10" t="s">
        <v>2913</v>
      </c>
      <c r="F28" s="11" t="s">
        <v>2914</v>
      </c>
      <c r="G28" s="10" t="s">
        <v>2890</v>
      </c>
      <c r="H28" s="10" t="s">
        <v>2821</v>
      </c>
      <c r="I28" s="11" t="s">
        <v>2915</v>
      </c>
      <c r="J28" s="10" t="s">
        <v>982</v>
      </c>
      <c r="K28" s="11"/>
    </row>
    <row r="29" spans="1:11" ht="43.5" customHeight="1">
      <c r="A29" s="10" t="s">
        <v>2916</v>
      </c>
      <c r="B29" s="10" t="s">
        <v>108</v>
      </c>
      <c r="C29" s="10" t="s">
        <v>109</v>
      </c>
      <c r="D29" s="10" t="s">
        <v>265</v>
      </c>
      <c r="E29" s="10" t="s">
        <v>2917</v>
      </c>
      <c r="F29" s="11" t="s">
        <v>2918</v>
      </c>
      <c r="G29" s="10" t="s">
        <v>253</v>
      </c>
      <c r="H29" s="10" t="s">
        <v>2794</v>
      </c>
      <c r="I29" s="11" t="s">
        <v>2919</v>
      </c>
      <c r="J29" s="10" t="s">
        <v>796</v>
      </c>
      <c r="K29" s="11"/>
    </row>
    <row r="30" spans="1:11" ht="43.5" customHeight="1">
      <c r="A30" s="10" t="s">
        <v>2920</v>
      </c>
      <c r="B30" s="10" t="s">
        <v>108</v>
      </c>
      <c r="C30" s="10" t="s">
        <v>109</v>
      </c>
      <c r="D30" s="10" t="s">
        <v>265</v>
      </c>
      <c r="E30" s="10" t="s">
        <v>345</v>
      </c>
      <c r="F30" s="11" t="s">
        <v>2921</v>
      </c>
      <c r="G30" s="10" t="s">
        <v>253</v>
      </c>
      <c r="H30" s="10" t="s">
        <v>2922</v>
      </c>
      <c r="I30" s="11" t="s">
        <v>2923</v>
      </c>
      <c r="J30" s="10" t="s">
        <v>782</v>
      </c>
      <c r="K30" s="11"/>
    </row>
    <row r="31" spans="1:11" ht="29.1" customHeight="1">
      <c r="A31" s="10" t="s">
        <v>2924</v>
      </c>
      <c r="B31" s="10" t="s">
        <v>108</v>
      </c>
      <c r="C31" s="10" t="s">
        <v>109</v>
      </c>
      <c r="D31" s="10" t="s">
        <v>265</v>
      </c>
      <c r="E31" s="10" t="s">
        <v>2925</v>
      </c>
      <c r="F31" s="11" t="s">
        <v>2926</v>
      </c>
      <c r="G31" s="10" t="s">
        <v>2927</v>
      </c>
      <c r="H31" s="10" t="s">
        <v>2821</v>
      </c>
      <c r="I31" s="11" t="s">
        <v>2928</v>
      </c>
      <c r="J31" s="10" t="s">
        <v>825</v>
      </c>
      <c r="K31" s="11"/>
    </row>
    <row r="32" spans="1:11" ht="29.1" customHeight="1">
      <c r="A32" s="10" t="s">
        <v>2929</v>
      </c>
      <c r="B32" s="10" t="s">
        <v>108</v>
      </c>
      <c r="C32" s="10" t="s">
        <v>109</v>
      </c>
      <c r="D32" s="10" t="s">
        <v>1036</v>
      </c>
      <c r="E32" s="10" t="s">
        <v>2930</v>
      </c>
      <c r="F32" s="11" t="s">
        <v>2931</v>
      </c>
      <c r="G32" s="10" t="s">
        <v>2830</v>
      </c>
      <c r="H32" s="10" t="s">
        <v>2932</v>
      </c>
      <c r="I32" s="11" t="s">
        <v>2933</v>
      </c>
      <c r="J32" s="10" t="s">
        <v>116</v>
      </c>
      <c r="K32" s="11"/>
    </row>
    <row r="33" spans="1:11" ht="43.5" customHeight="1">
      <c r="A33" s="10" t="s">
        <v>2934</v>
      </c>
      <c r="B33" s="10" t="s">
        <v>108</v>
      </c>
      <c r="C33" s="10" t="s">
        <v>109</v>
      </c>
      <c r="D33" s="10" t="s">
        <v>338</v>
      </c>
      <c r="E33" s="10" t="s">
        <v>1676</v>
      </c>
      <c r="F33" s="11" t="s">
        <v>2935</v>
      </c>
      <c r="G33" s="10" t="s">
        <v>2830</v>
      </c>
      <c r="H33" s="10" t="s">
        <v>2936</v>
      </c>
      <c r="I33" s="11" t="s">
        <v>2937</v>
      </c>
      <c r="J33" s="10" t="s">
        <v>825</v>
      </c>
      <c r="K33" s="11"/>
    </row>
    <row r="34" spans="1:11" ht="43.5" customHeight="1">
      <c r="A34" s="10" t="s">
        <v>2938</v>
      </c>
      <c r="B34" s="10" t="s">
        <v>124</v>
      </c>
      <c r="C34" s="10" t="s">
        <v>125</v>
      </c>
      <c r="D34" s="10" t="s">
        <v>265</v>
      </c>
      <c r="E34" s="10" t="s">
        <v>2791</v>
      </c>
      <c r="F34" s="11" t="s">
        <v>2939</v>
      </c>
      <c r="G34" s="10" t="s">
        <v>253</v>
      </c>
      <c r="H34" s="10" t="s">
        <v>2794</v>
      </c>
      <c r="I34" s="11" t="s">
        <v>2940</v>
      </c>
      <c r="J34" s="10" t="s">
        <v>796</v>
      </c>
      <c r="K34" s="11"/>
    </row>
    <row r="35" spans="1:11" ht="43.5" customHeight="1">
      <c r="A35" s="10" t="s">
        <v>2941</v>
      </c>
      <c r="B35" s="10" t="s">
        <v>124</v>
      </c>
      <c r="C35" s="10" t="s">
        <v>125</v>
      </c>
      <c r="D35" s="10" t="s">
        <v>265</v>
      </c>
      <c r="E35" s="10" t="s">
        <v>343</v>
      </c>
      <c r="F35" s="11" t="s">
        <v>2942</v>
      </c>
      <c r="G35" s="10" t="s">
        <v>253</v>
      </c>
      <c r="H35" s="10" t="s">
        <v>2821</v>
      </c>
      <c r="I35" s="11" t="s">
        <v>2943</v>
      </c>
      <c r="J35" s="10" t="s">
        <v>729</v>
      </c>
      <c r="K35" s="11"/>
    </row>
    <row r="36" spans="1:11" ht="29.1" customHeight="1">
      <c r="A36" s="10" t="s">
        <v>2944</v>
      </c>
      <c r="B36" s="10" t="s">
        <v>124</v>
      </c>
      <c r="C36" s="10" t="s">
        <v>125</v>
      </c>
      <c r="D36" s="10" t="s">
        <v>265</v>
      </c>
      <c r="E36" s="10" t="s">
        <v>260</v>
      </c>
      <c r="F36" s="11" t="s">
        <v>2861</v>
      </c>
      <c r="G36" s="10" t="s">
        <v>253</v>
      </c>
      <c r="H36" s="10" t="s">
        <v>2801</v>
      </c>
      <c r="I36" s="11" t="s">
        <v>2945</v>
      </c>
      <c r="J36" s="10" t="s">
        <v>464</v>
      </c>
      <c r="K36" s="11"/>
    </row>
    <row r="37" spans="1:11" ht="29.1" customHeight="1">
      <c r="A37" s="10" t="s">
        <v>2946</v>
      </c>
      <c r="B37" s="10" t="s">
        <v>124</v>
      </c>
      <c r="C37" s="10" t="s">
        <v>125</v>
      </c>
      <c r="D37" s="10" t="s">
        <v>242</v>
      </c>
      <c r="E37" s="10" t="s">
        <v>343</v>
      </c>
      <c r="F37" s="11" t="s">
        <v>2947</v>
      </c>
      <c r="G37" s="10" t="s">
        <v>2830</v>
      </c>
      <c r="H37" s="10" t="s">
        <v>2821</v>
      </c>
      <c r="I37" s="11" t="s">
        <v>2948</v>
      </c>
      <c r="J37" s="10" t="s">
        <v>808</v>
      </c>
      <c r="K37" s="11"/>
    </row>
    <row r="38" spans="1:11" ht="43.5" customHeight="1">
      <c r="A38" s="10" t="s">
        <v>2949</v>
      </c>
      <c r="B38" s="10" t="s">
        <v>124</v>
      </c>
      <c r="C38" s="10" t="s">
        <v>125</v>
      </c>
      <c r="D38" s="10" t="s">
        <v>338</v>
      </c>
      <c r="E38" s="10" t="s">
        <v>2950</v>
      </c>
      <c r="F38" s="11" t="s">
        <v>2951</v>
      </c>
      <c r="G38" s="10" t="s">
        <v>2830</v>
      </c>
      <c r="H38" s="10" t="s">
        <v>2841</v>
      </c>
      <c r="I38" s="11" t="s">
        <v>2952</v>
      </c>
      <c r="J38" s="10" t="s">
        <v>713</v>
      </c>
      <c r="K38" s="11"/>
    </row>
    <row r="39" spans="1:11" ht="43.5" customHeight="1">
      <c r="A39" s="10" t="s">
        <v>2953</v>
      </c>
      <c r="B39" s="10" t="s">
        <v>136</v>
      </c>
      <c r="C39" s="10" t="s">
        <v>137</v>
      </c>
      <c r="D39" s="10" t="s">
        <v>265</v>
      </c>
      <c r="E39" s="10" t="s">
        <v>2791</v>
      </c>
      <c r="F39" s="11" t="s">
        <v>2939</v>
      </c>
      <c r="G39" s="10" t="s">
        <v>253</v>
      </c>
      <c r="H39" s="10" t="s">
        <v>2794</v>
      </c>
      <c r="I39" s="11" t="s">
        <v>2954</v>
      </c>
      <c r="J39" s="10" t="s">
        <v>796</v>
      </c>
      <c r="K39" s="11"/>
    </row>
    <row r="40" spans="1:11" ht="29.1" customHeight="1">
      <c r="A40" s="10" t="s">
        <v>2955</v>
      </c>
      <c r="B40" s="10" t="s">
        <v>136</v>
      </c>
      <c r="C40" s="10" t="s">
        <v>137</v>
      </c>
      <c r="D40" s="10" t="s">
        <v>265</v>
      </c>
      <c r="E40" s="10" t="s">
        <v>345</v>
      </c>
      <c r="F40" s="11" t="s">
        <v>2881</v>
      </c>
      <c r="G40" s="10" t="s">
        <v>253</v>
      </c>
      <c r="H40" s="10" t="s">
        <v>2882</v>
      </c>
      <c r="I40" s="11" t="s">
        <v>2956</v>
      </c>
      <c r="J40" s="10" t="s">
        <v>805</v>
      </c>
      <c r="K40" s="11"/>
    </row>
    <row r="41" spans="1:11" ht="43.5" customHeight="1">
      <c r="A41" s="10" t="s">
        <v>2957</v>
      </c>
      <c r="B41" s="10" t="s">
        <v>136</v>
      </c>
      <c r="C41" s="10" t="s">
        <v>137</v>
      </c>
      <c r="D41" s="10" t="s">
        <v>265</v>
      </c>
      <c r="E41" s="10" t="s">
        <v>1676</v>
      </c>
      <c r="F41" s="11" t="s">
        <v>2942</v>
      </c>
      <c r="G41" s="10" t="s">
        <v>253</v>
      </c>
      <c r="H41" s="10" t="s">
        <v>2821</v>
      </c>
      <c r="I41" s="11" t="s">
        <v>2958</v>
      </c>
      <c r="J41" s="10" t="s">
        <v>729</v>
      </c>
      <c r="K41" s="11"/>
    </row>
    <row r="42" spans="1:11" ht="29.1" customHeight="1">
      <c r="A42" s="10" t="s">
        <v>2959</v>
      </c>
      <c r="B42" s="10" t="s">
        <v>136</v>
      </c>
      <c r="C42" s="10" t="s">
        <v>137</v>
      </c>
      <c r="D42" s="10" t="s">
        <v>242</v>
      </c>
      <c r="E42" s="10" t="s">
        <v>2960</v>
      </c>
      <c r="F42" s="11" t="s">
        <v>2961</v>
      </c>
      <c r="G42" s="10" t="s">
        <v>2890</v>
      </c>
      <c r="H42" s="10" t="s">
        <v>2821</v>
      </c>
      <c r="I42" s="11" t="s">
        <v>2962</v>
      </c>
      <c r="J42" s="10" t="s">
        <v>142</v>
      </c>
      <c r="K42" s="11"/>
    </row>
    <row r="43" spans="1:11" ht="57.95" customHeight="1">
      <c r="A43" s="10" t="s">
        <v>2963</v>
      </c>
      <c r="B43" s="10" t="s">
        <v>136</v>
      </c>
      <c r="C43" s="10" t="s">
        <v>137</v>
      </c>
      <c r="D43" s="10" t="s">
        <v>338</v>
      </c>
      <c r="E43" s="10" t="s">
        <v>1676</v>
      </c>
      <c r="F43" s="11" t="s">
        <v>2964</v>
      </c>
      <c r="G43" s="10" t="s">
        <v>2830</v>
      </c>
      <c r="H43" s="10" t="s">
        <v>2841</v>
      </c>
      <c r="I43" s="11" t="s">
        <v>2965</v>
      </c>
      <c r="J43" s="10" t="s">
        <v>142</v>
      </c>
      <c r="K43" s="11"/>
    </row>
    <row r="44" spans="1:11" ht="29.1" customHeight="1">
      <c r="A44" s="10" t="s">
        <v>2966</v>
      </c>
      <c r="B44" s="10" t="s">
        <v>143</v>
      </c>
      <c r="C44" s="10" t="s">
        <v>144</v>
      </c>
      <c r="D44" s="10" t="s">
        <v>265</v>
      </c>
      <c r="E44" s="10" t="s">
        <v>2791</v>
      </c>
      <c r="F44" s="11" t="s">
        <v>2967</v>
      </c>
      <c r="G44" s="10" t="s">
        <v>253</v>
      </c>
      <c r="H44" s="10" t="s">
        <v>2794</v>
      </c>
      <c r="I44" s="11" t="s">
        <v>2968</v>
      </c>
      <c r="J44" s="10" t="s">
        <v>796</v>
      </c>
      <c r="K44" s="11"/>
    </row>
    <row r="45" spans="1:11" ht="29.1" customHeight="1">
      <c r="A45" s="10" t="s">
        <v>2969</v>
      </c>
      <c r="B45" s="10" t="s">
        <v>143</v>
      </c>
      <c r="C45" s="10" t="s">
        <v>144</v>
      </c>
      <c r="D45" s="10" t="s">
        <v>265</v>
      </c>
      <c r="E45" s="10" t="s">
        <v>2970</v>
      </c>
      <c r="F45" s="11" t="s">
        <v>2942</v>
      </c>
      <c r="G45" s="10" t="s">
        <v>253</v>
      </c>
      <c r="H45" s="10" t="s">
        <v>2821</v>
      </c>
      <c r="I45" s="11" t="s">
        <v>2971</v>
      </c>
      <c r="J45" s="10" t="s">
        <v>729</v>
      </c>
      <c r="K45" s="11"/>
    </row>
    <row r="46" spans="1:11" ht="43.5" customHeight="1">
      <c r="A46" s="10" t="s">
        <v>2972</v>
      </c>
      <c r="B46" s="10" t="s">
        <v>143</v>
      </c>
      <c r="C46" s="10" t="s">
        <v>144</v>
      </c>
      <c r="D46" s="10" t="s">
        <v>242</v>
      </c>
      <c r="E46" s="10" t="s">
        <v>323</v>
      </c>
      <c r="F46" s="11" t="s">
        <v>2973</v>
      </c>
      <c r="G46" s="10" t="s">
        <v>2830</v>
      </c>
      <c r="H46" s="10" t="s">
        <v>2821</v>
      </c>
      <c r="I46" s="11" t="s">
        <v>2974</v>
      </c>
      <c r="J46" s="10" t="s">
        <v>800</v>
      </c>
      <c r="K46" s="11"/>
    </row>
    <row r="47" spans="1:11" ht="29.1" customHeight="1">
      <c r="A47" s="10" t="s">
        <v>2975</v>
      </c>
      <c r="B47" s="10" t="s">
        <v>143</v>
      </c>
      <c r="C47" s="10" t="s">
        <v>144</v>
      </c>
      <c r="D47" s="10" t="s">
        <v>265</v>
      </c>
      <c r="E47" s="10" t="s">
        <v>345</v>
      </c>
      <c r="F47" s="11" t="s">
        <v>2881</v>
      </c>
      <c r="G47" s="10" t="s">
        <v>253</v>
      </c>
      <c r="H47" s="10" t="s">
        <v>2882</v>
      </c>
      <c r="I47" s="11" t="s">
        <v>2976</v>
      </c>
      <c r="J47" s="10" t="s">
        <v>805</v>
      </c>
      <c r="K47" s="11"/>
    </row>
    <row r="48" spans="1:11" ht="43.5" customHeight="1">
      <c r="A48" s="10" t="s">
        <v>2977</v>
      </c>
      <c r="B48" s="10" t="s">
        <v>143</v>
      </c>
      <c r="C48" s="10" t="s">
        <v>144</v>
      </c>
      <c r="D48" s="10" t="s">
        <v>338</v>
      </c>
      <c r="E48" s="10" t="s">
        <v>2978</v>
      </c>
      <c r="F48" s="11" t="s">
        <v>2979</v>
      </c>
      <c r="G48" s="10" t="s">
        <v>2830</v>
      </c>
      <c r="H48" s="10" t="s">
        <v>2841</v>
      </c>
      <c r="I48" s="11" t="s">
        <v>2980</v>
      </c>
      <c r="J48" s="10" t="s">
        <v>149</v>
      </c>
      <c r="K48" s="11"/>
    </row>
    <row r="49" spans="1:11" ht="29.1" customHeight="1">
      <c r="A49" s="10" t="s">
        <v>2981</v>
      </c>
      <c r="B49" s="10" t="s">
        <v>150</v>
      </c>
      <c r="C49" s="10" t="s">
        <v>151</v>
      </c>
      <c r="D49" s="10" t="s">
        <v>265</v>
      </c>
      <c r="E49" s="10" t="s">
        <v>2791</v>
      </c>
      <c r="F49" s="11" t="s">
        <v>2939</v>
      </c>
      <c r="G49" s="10" t="s">
        <v>253</v>
      </c>
      <c r="H49" s="10" t="s">
        <v>2794</v>
      </c>
      <c r="I49" s="11" t="s">
        <v>2982</v>
      </c>
      <c r="J49" s="10" t="s">
        <v>796</v>
      </c>
      <c r="K49" s="11"/>
    </row>
    <row r="50" spans="1:11" ht="29.1" customHeight="1">
      <c r="A50" s="10" t="s">
        <v>2983</v>
      </c>
      <c r="B50" s="10" t="s">
        <v>150</v>
      </c>
      <c r="C50" s="10" t="s">
        <v>151</v>
      </c>
      <c r="D50" s="10" t="s">
        <v>242</v>
      </c>
      <c r="E50" s="10" t="s">
        <v>323</v>
      </c>
      <c r="F50" s="11" t="s">
        <v>2984</v>
      </c>
      <c r="G50" s="10" t="s">
        <v>2830</v>
      </c>
      <c r="H50" s="10" t="s">
        <v>2821</v>
      </c>
      <c r="I50" s="11" t="s">
        <v>2985</v>
      </c>
      <c r="J50" s="10" t="s">
        <v>808</v>
      </c>
      <c r="K50" s="11"/>
    </row>
    <row r="51" spans="1:11" ht="29.1" customHeight="1">
      <c r="A51" s="10" t="s">
        <v>2986</v>
      </c>
      <c r="B51" s="10" t="s">
        <v>150</v>
      </c>
      <c r="C51" s="10" t="s">
        <v>151</v>
      </c>
      <c r="D51" s="10" t="s">
        <v>265</v>
      </c>
      <c r="E51" s="10" t="s">
        <v>345</v>
      </c>
      <c r="F51" s="11" t="s">
        <v>2881</v>
      </c>
      <c r="G51" s="10" t="s">
        <v>253</v>
      </c>
      <c r="H51" s="10" t="s">
        <v>2882</v>
      </c>
      <c r="I51" s="11" t="s">
        <v>2987</v>
      </c>
      <c r="J51" s="10" t="s">
        <v>805</v>
      </c>
      <c r="K51" s="11"/>
    </row>
    <row r="52" spans="1:11" ht="29.1" customHeight="1">
      <c r="A52" s="10" t="s">
        <v>2988</v>
      </c>
      <c r="B52" s="10" t="s">
        <v>150</v>
      </c>
      <c r="C52" s="10" t="s">
        <v>151</v>
      </c>
      <c r="D52" s="10" t="s">
        <v>338</v>
      </c>
      <c r="E52" s="10" t="s">
        <v>2989</v>
      </c>
      <c r="F52" s="11" t="s">
        <v>2990</v>
      </c>
      <c r="G52" s="10" t="s">
        <v>2830</v>
      </c>
      <c r="H52" s="10" t="s">
        <v>2991</v>
      </c>
      <c r="I52" s="11" t="s">
        <v>2992</v>
      </c>
      <c r="J52" s="10" t="s">
        <v>154</v>
      </c>
      <c r="K52" s="11"/>
    </row>
    <row r="53" spans="1:11" ht="29.1" customHeight="1">
      <c r="A53" s="10" t="s">
        <v>2993</v>
      </c>
      <c r="B53" s="10" t="s">
        <v>150</v>
      </c>
      <c r="C53" s="10" t="s">
        <v>151</v>
      </c>
      <c r="D53" s="10" t="s">
        <v>2994</v>
      </c>
      <c r="E53" s="10" t="s">
        <v>2995</v>
      </c>
      <c r="F53" s="11" t="s">
        <v>2996</v>
      </c>
      <c r="G53" s="10" t="s">
        <v>253</v>
      </c>
      <c r="H53" s="10" t="s">
        <v>2821</v>
      </c>
      <c r="I53" s="11" t="s">
        <v>2997</v>
      </c>
      <c r="J53" s="10" t="s">
        <v>154</v>
      </c>
      <c r="K53" s="11"/>
    </row>
    <row r="54" spans="1:11" ht="43.5" customHeight="1">
      <c r="A54" s="10" t="s">
        <v>2998</v>
      </c>
      <c r="B54" s="10" t="s">
        <v>155</v>
      </c>
      <c r="C54" s="10" t="s">
        <v>156</v>
      </c>
      <c r="D54" s="10" t="s">
        <v>265</v>
      </c>
      <c r="E54" s="10" t="s">
        <v>345</v>
      </c>
      <c r="F54" s="11" t="s">
        <v>2921</v>
      </c>
      <c r="G54" s="10" t="s">
        <v>253</v>
      </c>
      <c r="H54" s="10" t="s">
        <v>2922</v>
      </c>
      <c r="I54" s="11" t="s">
        <v>2999</v>
      </c>
      <c r="J54" s="10" t="s">
        <v>782</v>
      </c>
      <c r="K54" s="11"/>
    </row>
    <row r="55" spans="1:11" ht="43.5" customHeight="1">
      <c r="A55" s="10" t="s">
        <v>3000</v>
      </c>
      <c r="B55" s="10" t="s">
        <v>155</v>
      </c>
      <c r="C55" s="10" t="s">
        <v>156</v>
      </c>
      <c r="D55" s="10" t="s">
        <v>265</v>
      </c>
      <c r="E55" s="10" t="s">
        <v>238</v>
      </c>
      <c r="F55" s="11" t="s">
        <v>814</v>
      </c>
      <c r="G55" s="10" t="s">
        <v>2835</v>
      </c>
      <c r="H55" s="10" t="s">
        <v>3001</v>
      </c>
      <c r="I55" s="11" t="s">
        <v>3002</v>
      </c>
      <c r="J55" s="10" t="s">
        <v>813</v>
      </c>
      <c r="K55" s="11"/>
    </row>
    <row r="56" spans="1:11" ht="29.1" customHeight="1">
      <c r="A56" s="10" t="s">
        <v>3003</v>
      </c>
      <c r="B56" s="10" t="s">
        <v>155</v>
      </c>
      <c r="C56" s="10" t="s">
        <v>156</v>
      </c>
      <c r="D56" s="10" t="s">
        <v>265</v>
      </c>
      <c r="E56" s="10" t="s">
        <v>238</v>
      </c>
      <c r="F56" s="11" t="s">
        <v>3004</v>
      </c>
      <c r="G56" s="10" t="s">
        <v>2866</v>
      </c>
      <c r="H56" s="10" t="s">
        <v>3005</v>
      </c>
      <c r="I56" s="11" t="s">
        <v>3006</v>
      </c>
      <c r="J56" s="10" t="s">
        <v>819</v>
      </c>
      <c r="K56" s="11"/>
    </row>
    <row r="57" spans="1:11" ht="29.1" customHeight="1">
      <c r="A57" s="10" t="s">
        <v>3007</v>
      </c>
      <c r="B57" s="10" t="s">
        <v>155</v>
      </c>
      <c r="C57" s="10" t="s">
        <v>156</v>
      </c>
      <c r="D57" s="10" t="s">
        <v>761</v>
      </c>
      <c r="E57" s="10" t="s">
        <v>3008</v>
      </c>
      <c r="F57" s="11" t="s">
        <v>3009</v>
      </c>
      <c r="G57" s="10" t="s">
        <v>253</v>
      </c>
      <c r="H57" s="10" t="s">
        <v>2821</v>
      </c>
      <c r="I57" s="11" t="s">
        <v>3010</v>
      </c>
      <c r="J57" s="10" t="s">
        <v>759</v>
      </c>
      <c r="K57" s="11"/>
    </row>
    <row r="58" spans="1:11" ht="29.1" customHeight="1">
      <c r="A58" s="10" t="s">
        <v>3011</v>
      </c>
      <c r="B58" s="10" t="s">
        <v>155</v>
      </c>
      <c r="C58" s="10" t="s">
        <v>156</v>
      </c>
      <c r="D58" s="10" t="s">
        <v>242</v>
      </c>
      <c r="E58" s="10" t="s">
        <v>238</v>
      </c>
      <c r="F58" s="11" t="s">
        <v>3012</v>
      </c>
      <c r="G58" s="10" t="s">
        <v>2890</v>
      </c>
      <c r="H58" s="10" t="s">
        <v>2841</v>
      </c>
      <c r="I58" s="11" t="s">
        <v>3013</v>
      </c>
      <c r="J58" s="10" t="s">
        <v>753</v>
      </c>
      <c r="K58" s="11"/>
    </row>
    <row r="59" spans="1:11">
      <c r="A59" s="10"/>
      <c r="B59" s="10"/>
      <c r="C59" s="10"/>
      <c r="D59" s="10"/>
      <c r="E59" s="10"/>
      <c r="F59" s="11"/>
      <c r="G59" s="10"/>
      <c r="H59" s="10"/>
      <c r="I59" s="11"/>
      <c r="J59" s="10"/>
      <c r="K59" s="11"/>
    </row>
    <row r="60" spans="1:11">
      <c r="A60" s="10"/>
      <c r="B60" s="10"/>
      <c r="C60" s="10"/>
      <c r="D60" s="10"/>
      <c r="E60" s="10"/>
      <c r="F60" s="11"/>
      <c r="G60" s="10"/>
      <c r="H60" s="10"/>
      <c r="I60" s="11"/>
      <c r="J60" s="10"/>
      <c r="K60" s="11"/>
    </row>
    <row r="61" spans="1:11">
      <c r="A61" s="10"/>
      <c r="B61" s="10"/>
      <c r="C61" s="10"/>
      <c r="D61" s="10"/>
      <c r="E61" s="10"/>
      <c r="F61" s="11"/>
      <c r="G61" s="10"/>
      <c r="H61" s="10"/>
      <c r="I61" s="11"/>
      <c r="J61" s="10"/>
      <c r="K61" s="11"/>
    </row>
    <row r="62" spans="1:11">
      <c r="A62" s="10"/>
      <c r="B62" s="10"/>
      <c r="C62" s="10"/>
      <c r="D62" s="10"/>
      <c r="E62" s="10"/>
      <c r="F62" s="11"/>
      <c r="G62" s="10"/>
      <c r="H62" s="10"/>
      <c r="I62" s="11"/>
      <c r="J62" s="10"/>
      <c r="K62" s="11"/>
    </row>
    <row r="63" spans="1:11">
      <c r="A63" s="10"/>
      <c r="B63" s="10"/>
      <c r="C63" s="10"/>
      <c r="D63" s="10"/>
      <c r="E63" s="10"/>
      <c r="F63" s="11"/>
      <c r="G63" s="10"/>
      <c r="H63" s="10"/>
      <c r="I63" s="11"/>
      <c r="J63" s="10"/>
      <c r="K63" s="11"/>
    </row>
    <row r="64" spans="1:11">
      <c r="A64" s="10"/>
      <c r="B64" s="10"/>
      <c r="C64" s="10"/>
      <c r="D64" s="10"/>
      <c r="E64" s="10"/>
      <c r="F64" s="11"/>
      <c r="G64" s="10"/>
      <c r="H64" s="10"/>
      <c r="I64" s="11"/>
      <c r="J64" s="10"/>
      <c r="K64" s="11"/>
    </row>
    <row r="65" spans="1:11">
      <c r="A65" s="10"/>
      <c r="B65" s="10"/>
      <c r="C65" s="10"/>
      <c r="D65" s="10"/>
      <c r="E65" s="10"/>
      <c r="F65" s="11"/>
      <c r="G65" s="10"/>
      <c r="H65" s="10"/>
      <c r="I65" s="11"/>
      <c r="J65" s="10"/>
      <c r="K65" s="11"/>
    </row>
    <row r="66" spans="1:11">
      <c r="A66" s="10"/>
      <c r="B66" s="10"/>
      <c r="C66" s="10"/>
      <c r="D66" s="10"/>
      <c r="E66" s="10"/>
      <c r="F66" s="11"/>
      <c r="G66" s="10"/>
      <c r="H66" s="10"/>
      <c r="I66" s="11"/>
      <c r="J66" s="10"/>
      <c r="K66" s="11"/>
    </row>
    <row r="67" spans="1:11">
      <c r="A67" s="10"/>
      <c r="B67" s="10"/>
      <c r="C67" s="10"/>
      <c r="D67" s="10"/>
      <c r="E67" s="10"/>
      <c r="F67" s="11"/>
      <c r="G67" s="10"/>
      <c r="H67" s="10"/>
      <c r="I67" s="11"/>
      <c r="J67" s="10"/>
      <c r="K67" s="11"/>
    </row>
    <row r="68" spans="1:11">
      <c r="A68" s="10"/>
      <c r="B68" s="10"/>
      <c r="C68" s="10"/>
      <c r="D68" s="10"/>
      <c r="E68" s="10"/>
      <c r="F68" s="11"/>
      <c r="G68" s="10"/>
      <c r="H68" s="10"/>
      <c r="I68" s="11"/>
      <c r="J68" s="10"/>
      <c r="K68" s="11"/>
    </row>
    <row r="69" spans="1:11">
      <c r="A69" s="10"/>
      <c r="B69" s="10"/>
      <c r="C69" s="10"/>
      <c r="D69" s="10"/>
      <c r="E69" s="10"/>
      <c r="F69" s="11"/>
      <c r="G69" s="10"/>
      <c r="H69" s="10"/>
      <c r="I69" s="11"/>
      <c r="J69" s="10"/>
      <c r="K69" s="11"/>
    </row>
    <row r="70" spans="1:11">
      <c r="A70" s="10"/>
      <c r="B70" s="10"/>
      <c r="C70" s="10"/>
      <c r="D70" s="10"/>
      <c r="E70" s="10"/>
      <c r="F70" s="11"/>
      <c r="G70" s="10"/>
      <c r="H70" s="10"/>
      <c r="I70" s="11"/>
      <c r="J70" s="10"/>
      <c r="K70" s="11"/>
    </row>
    <row r="71" spans="1:11">
      <c r="A71" s="10"/>
      <c r="B71" s="10"/>
      <c r="C71" s="10"/>
      <c r="D71" s="10"/>
      <c r="E71" s="10"/>
      <c r="F71" s="11"/>
      <c r="G71" s="10"/>
      <c r="H71" s="10"/>
      <c r="I71" s="11"/>
      <c r="J71" s="10"/>
      <c r="K71" s="11"/>
    </row>
    <row r="72" spans="1:11">
      <c r="A72" s="10"/>
      <c r="B72" s="10"/>
      <c r="C72" s="10"/>
      <c r="D72" s="10"/>
      <c r="E72" s="10"/>
      <c r="F72" s="11"/>
      <c r="G72" s="10"/>
      <c r="H72" s="10"/>
      <c r="I72" s="11"/>
      <c r="J72" s="10"/>
      <c r="K72" s="11"/>
    </row>
    <row r="73" spans="1:11">
      <c r="A73" s="10"/>
      <c r="B73" s="10"/>
      <c r="C73" s="10"/>
      <c r="D73" s="10"/>
      <c r="E73" s="10"/>
      <c r="F73" s="11"/>
      <c r="G73" s="10"/>
      <c r="H73" s="10"/>
      <c r="I73" s="11"/>
      <c r="J73" s="10"/>
      <c r="K73" s="11"/>
    </row>
    <row r="74" spans="1:11">
      <c r="A74" s="10"/>
      <c r="B74" s="10"/>
      <c r="C74" s="10"/>
      <c r="D74" s="10"/>
      <c r="E74" s="10"/>
      <c r="F74" s="11"/>
      <c r="G74" s="10"/>
      <c r="H74" s="10"/>
      <c r="I74" s="11"/>
      <c r="J74" s="10"/>
      <c r="K74" s="11"/>
    </row>
    <row r="75" spans="1:11">
      <c r="A75" s="10"/>
      <c r="B75" s="10"/>
      <c r="C75" s="10"/>
      <c r="D75" s="10"/>
      <c r="E75" s="10"/>
      <c r="F75" s="11"/>
      <c r="G75" s="10"/>
      <c r="H75" s="10"/>
      <c r="I75" s="11"/>
      <c r="J75" s="10"/>
      <c r="K75" s="11"/>
    </row>
    <row r="76" spans="1:11">
      <c r="A76" s="10"/>
      <c r="B76" s="10"/>
      <c r="C76" s="10"/>
      <c r="D76" s="10"/>
      <c r="E76" s="10"/>
      <c r="F76" s="11"/>
      <c r="G76" s="10"/>
      <c r="H76" s="10"/>
      <c r="I76" s="11"/>
      <c r="J76" s="10"/>
      <c r="K76" s="11"/>
    </row>
    <row r="77" spans="1:11">
      <c r="A77" s="10"/>
      <c r="B77" s="10"/>
      <c r="C77" s="10"/>
      <c r="D77" s="10"/>
      <c r="E77" s="10"/>
      <c r="F77" s="11"/>
      <c r="G77" s="10"/>
      <c r="H77" s="10"/>
      <c r="I77" s="11"/>
      <c r="J77" s="10"/>
      <c r="K77" s="11"/>
    </row>
    <row r="78" spans="1:11">
      <c r="A78" s="10"/>
      <c r="B78" s="10"/>
      <c r="C78" s="10"/>
      <c r="D78" s="10"/>
      <c r="E78" s="10"/>
      <c r="F78" s="11"/>
      <c r="G78" s="10"/>
      <c r="H78" s="10"/>
      <c r="I78" s="11"/>
      <c r="J78" s="10"/>
      <c r="K78" s="11"/>
    </row>
    <row r="79" spans="1:11">
      <c r="A79" s="10"/>
      <c r="B79" s="10"/>
      <c r="C79" s="10"/>
      <c r="D79" s="10"/>
      <c r="E79" s="10"/>
      <c r="F79" s="11"/>
      <c r="G79" s="10"/>
      <c r="H79" s="10"/>
      <c r="I79" s="11"/>
      <c r="J79" s="10"/>
      <c r="K79" s="11"/>
    </row>
    <row r="80" spans="1:11">
      <c r="A80" s="10"/>
      <c r="B80" s="10"/>
      <c r="C80" s="10"/>
      <c r="D80" s="10"/>
      <c r="E80" s="10"/>
      <c r="F80" s="11"/>
      <c r="G80" s="10"/>
      <c r="H80" s="10"/>
      <c r="I80" s="11"/>
      <c r="J80" s="10"/>
      <c r="K80" s="11"/>
    </row>
    <row r="81" spans="1:11">
      <c r="A81" s="10"/>
      <c r="B81" s="10"/>
      <c r="C81" s="10"/>
      <c r="D81" s="10"/>
      <c r="E81" s="10"/>
      <c r="F81" s="11"/>
      <c r="G81" s="10"/>
      <c r="H81" s="10"/>
      <c r="I81" s="11"/>
      <c r="J81" s="10"/>
      <c r="K81" s="11"/>
    </row>
    <row r="82" spans="1:11">
      <c r="A82" s="10"/>
      <c r="B82" s="10"/>
      <c r="C82" s="10"/>
      <c r="D82" s="10"/>
      <c r="E82" s="10"/>
      <c r="F82" s="11"/>
      <c r="G82" s="10"/>
      <c r="H82" s="10"/>
      <c r="I82" s="11"/>
      <c r="J82" s="10"/>
      <c r="K82" s="11"/>
    </row>
    <row r="83" spans="1:11">
      <c r="A83" s="10"/>
      <c r="B83" s="10"/>
      <c r="C83" s="10"/>
      <c r="D83" s="10"/>
      <c r="E83" s="10"/>
      <c r="F83" s="11"/>
      <c r="G83" s="10"/>
      <c r="H83" s="10"/>
      <c r="I83" s="11"/>
      <c r="J83" s="10"/>
      <c r="K83" s="11"/>
    </row>
    <row r="84" spans="1:11">
      <c r="A84" s="10"/>
      <c r="B84" s="10"/>
      <c r="C84" s="10"/>
      <c r="D84" s="10"/>
      <c r="E84" s="10"/>
      <c r="F84" s="11"/>
      <c r="G84" s="10"/>
      <c r="H84" s="10"/>
      <c r="I84" s="11"/>
      <c r="J84" s="10"/>
      <c r="K84" s="11"/>
    </row>
    <row r="85" spans="1:11">
      <c r="A85" s="10"/>
      <c r="B85" s="10"/>
      <c r="C85" s="10"/>
      <c r="D85" s="10"/>
      <c r="E85" s="10"/>
      <c r="F85" s="11"/>
      <c r="G85" s="10"/>
      <c r="H85" s="10"/>
      <c r="I85" s="11"/>
      <c r="J85" s="10"/>
      <c r="K85" s="11"/>
    </row>
    <row r="86" spans="1:11">
      <c r="A86" s="10"/>
      <c r="B86" s="10"/>
      <c r="C86" s="10"/>
      <c r="D86" s="10"/>
      <c r="E86" s="10"/>
      <c r="F86" s="11"/>
      <c r="G86" s="10"/>
      <c r="H86" s="10"/>
      <c r="I86" s="11"/>
      <c r="J86" s="10"/>
      <c r="K86" s="11"/>
    </row>
    <row r="87" spans="1:11">
      <c r="A87" s="10"/>
      <c r="B87" s="10"/>
      <c r="C87" s="10"/>
      <c r="D87" s="10"/>
      <c r="E87" s="10"/>
      <c r="F87" s="11"/>
      <c r="G87" s="10"/>
      <c r="H87" s="10"/>
      <c r="I87" s="11"/>
      <c r="J87" s="10"/>
      <c r="K87" s="11"/>
    </row>
    <row r="88" spans="1:11">
      <c r="A88" s="10"/>
      <c r="B88" s="10"/>
      <c r="C88" s="10"/>
      <c r="D88" s="10"/>
      <c r="E88" s="10"/>
      <c r="F88" s="11"/>
      <c r="G88" s="10"/>
      <c r="H88" s="10"/>
      <c r="I88" s="11"/>
      <c r="J88" s="10"/>
      <c r="K88" s="11"/>
    </row>
    <row r="89" spans="1:11">
      <c r="A89" s="10"/>
      <c r="B89" s="10"/>
      <c r="C89" s="10"/>
      <c r="D89" s="10"/>
      <c r="E89" s="10"/>
      <c r="F89" s="11"/>
      <c r="G89" s="10"/>
      <c r="H89" s="10"/>
      <c r="I89" s="11"/>
      <c r="J89" s="10"/>
      <c r="K89" s="11"/>
    </row>
    <row r="90" spans="1:11">
      <c r="A90" s="10"/>
      <c r="B90" s="10"/>
      <c r="C90" s="10"/>
      <c r="D90" s="10"/>
      <c r="E90" s="10"/>
      <c r="F90" s="11"/>
      <c r="G90" s="10"/>
      <c r="H90" s="10"/>
      <c r="I90" s="11"/>
      <c r="J90" s="10"/>
      <c r="K90" s="11"/>
    </row>
    <row r="91" spans="1:11">
      <c r="A91" s="10"/>
      <c r="B91" s="10"/>
      <c r="C91" s="10"/>
      <c r="D91" s="10"/>
      <c r="E91" s="10"/>
      <c r="F91" s="11"/>
      <c r="G91" s="10"/>
      <c r="H91" s="10"/>
      <c r="I91" s="11"/>
      <c r="J91" s="10"/>
      <c r="K91" s="11"/>
    </row>
    <row r="92" spans="1:11">
      <c r="A92" s="10"/>
      <c r="B92" s="10"/>
      <c r="C92" s="10"/>
      <c r="D92" s="10"/>
      <c r="E92" s="10"/>
      <c r="F92" s="11"/>
      <c r="G92" s="10"/>
      <c r="H92" s="10"/>
      <c r="I92" s="11"/>
      <c r="J92" s="10"/>
      <c r="K92" s="11"/>
    </row>
    <row r="93" spans="1:11">
      <c r="A93" s="10"/>
      <c r="B93" s="10"/>
      <c r="C93" s="10"/>
      <c r="D93" s="10"/>
      <c r="E93" s="10"/>
      <c r="F93" s="11"/>
      <c r="G93" s="10"/>
      <c r="H93" s="10"/>
      <c r="I93" s="11"/>
      <c r="J93" s="10"/>
      <c r="K93" s="11"/>
    </row>
    <row r="94" spans="1:11">
      <c r="A94" s="10"/>
      <c r="B94" s="10"/>
      <c r="C94" s="10"/>
      <c r="D94" s="10"/>
      <c r="E94" s="10"/>
      <c r="F94" s="11"/>
      <c r="G94" s="10"/>
      <c r="H94" s="10"/>
      <c r="I94" s="11"/>
      <c r="J94" s="10"/>
      <c r="K94" s="11"/>
    </row>
    <row r="95" spans="1:11">
      <c r="A95" s="10"/>
      <c r="B95" s="10"/>
      <c r="C95" s="10"/>
      <c r="D95" s="10"/>
      <c r="E95" s="10"/>
      <c r="F95" s="11"/>
      <c r="G95" s="10"/>
      <c r="H95" s="10"/>
      <c r="I95" s="11"/>
      <c r="J95" s="10"/>
      <c r="K95" s="11"/>
    </row>
    <row r="96" spans="1:11">
      <c r="A96" s="10"/>
      <c r="B96" s="10"/>
      <c r="C96" s="10"/>
      <c r="D96" s="10"/>
      <c r="E96" s="10"/>
      <c r="F96" s="11"/>
      <c r="G96" s="10"/>
      <c r="H96" s="10"/>
      <c r="I96" s="11"/>
      <c r="J96" s="10"/>
      <c r="K96" s="11"/>
    </row>
    <row r="97" spans="1:11">
      <c r="A97" s="10"/>
      <c r="B97" s="10"/>
      <c r="C97" s="10"/>
      <c r="D97" s="10"/>
      <c r="E97" s="10"/>
      <c r="F97" s="11"/>
      <c r="G97" s="10"/>
      <c r="H97" s="10"/>
      <c r="I97" s="11"/>
      <c r="J97" s="10"/>
      <c r="K97" s="11"/>
    </row>
    <row r="98" spans="1:11">
      <c r="A98" s="10"/>
      <c r="B98" s="10"/>
      <c r="C98" s="10"/>
      <c r="D98" s="10"/>
      <c r="E98" s="10"/>
      <c r="F98" s="11"/>
      <c r="G98" s="10"/>
      <c r="H98" s="10"/>
      <c r="I98" s="11"/>
      <c r="J98" s="10"/>
      <c r="K98" s="11"/>
    </row>
    <row r="99" spans="1:11">
      <c r="A99" s="10"/>
      <c r="B99" s="10"/>
      <c r="C99" s="10"/>
      <c r="D99" s="10"/>
      <c r="E99" s="10"/>
      <c r="F99" s="11"/>
      <c r="G99" s="10"/>
      <c r="H99" s="10"/>
      <c r="I99" s="11"/>
      <c r="J99" s="10"/>
      <c r="K99" s="11"/>
    </row>
    <row r="100" spans="1:11">
      <c r="A100" s="10"/>
      <c r="B100" s="10"/>
      <c r="C100" s="10"/>
      <c r="D100" s="10"/>
      <c r="E100" s="10"/>
      <c r="F100" s="11"/>
      <c r="G100" s="10"/>
      <c r="H100" s="10"/>
      <c r="I100" s="11"/>
      <c r="J100" s="10"/>
      <c r="K100" s="11"/>
    </row>
    <row r="101" spans="1:11">
      <c r="A101" s="10"/>
      <c r="B101" s="10"/>
      <c r="C101" s="10"/>
      <c r="D101" s="10"/>
      <c r="E101" s="10"/>
      <c r="F101" s="11"/>
      <c r="G101" s="10"/>
      <c r="H101" s="10"/>
      <c r="I101" s="11"/>
      <c r="J101" s="10"/>
      <c r="K101" s="11"/>
    </row>
    <row r="102" spans="1:11">
      <c r="A102" s="10"/>
      <c r="B102" s="10"/>
      <c r="C102" s="10"/>
      <c r="D102" s="10"/>
      <c r="E102" s="10"/>
      <c r="F102" s="11"/>
      <c r="G102" s="10"/>
      <c r="H102" s="10"/>
      <c r="I102" s="11"/>
      <c r="J102" s="10"/>
      <c r="K102" s="11"/>
    </row>
    <row r="103" spans="1:11">
      <c r="A103" s="10"/>
      <c r="B103" s="10"/>
      <c r="C103" s="10"/>
      <c r="D103" s="10"/>
      <c r="E103" s="10"/>
      <c r="F103" s="11"/>
      <c r="G103" s="10"/>
      <c r="H103" s="10"/>
      <c r="I103" s="11"/>
      <c r="J103" s="10"/>
      <c r="K103" s="11"/>
    </row>
    <row r="104" spans="1:11">
      <c r="A104" s="10"/>
      <c r="B104" s="10"/>
      <c r="C104" s="10"/>
      <c r="D104" s="10"/>
      <c r="E104" s="10"/>
      <c r="F104" s="11"/>
      <c r="G104" s="10"/>
      <c r="H104" s="10"/>
      <c r="I104" s="11"/>
      <c r="J104" s="10"/>
      <c r="K104" s="11"/>
    </row>
    <row r="105" spans="1:11">
      <c r="A105" s="10"/>
      <c r="B105" s="10"/>
      <c r="C105" s="10"/>
      <c r="D105" s="10"/>
      <c r="E105" s="10"/>
      <c r="F105" s="11"/>
      <c r="G105" s="10"/>
      <c r="H105" s="10"/>
      <c r="I105" s="11"/>
      <c r="J105" s="10"/>
      <c r="K105" s="11"/>
    </row>
    <row r="106" spans="1:11">
      <c r="A106" s="10"/>
      <c r="B106" s="10"/>
      <c r="C106" s="10"/>
      <c r="D106" s="10"/>
      <c r="E106" s="10"/>
      <c r="F106" s="11"/>
      <c r="G106" s="10"/>
      <c r="H106" s="10"/>
      <c r="I106" s="11"/>
      <c r="J106" s="10"/>
      <c r="K106" s="11"/>
    </row>
    <row r="107" spans="1:11">
      <c r="A107" s="10"/>
      <c r="B107" s="10"/>
      <c r="C107" s="10"/>
      <c r="D107" s="10"/>
      <c r="E107" s="10"/>
      <c r="F107" s="11"/>
      <c r="G107" s="10"/>
      <c r="H107" s="10"/>
      <c r="I107" s="11"/>
      <c r="J107" s="10"/>
      <c r="K107" s="11"/>
    </row>
    <row r="108" spans="1:11">
      <c r="A108" s="10"/>
      <c r="B108" s="10"/>
      <c r="C108" s="10"/>
      <c r="D108" s="10"/>
      <c r="E108" s="10"/>
      <c r="F108" s="11"/>
      <c r="G108" s="10"/>
      <c r="H108" s="10"/>
      <c r="I108" s="11"/>
      <c r="J108" s="10"/>
      <c r="K108" s="11"/>
    </row>
    <row r="109" spans="1:11">
      <c r="A109" s="10"/>
      <c r="B109" s="10"/>
      <c r="C109" s="10"/>
      <c r="D109" s="10"/>
      <c r="E109" s="10"/>
      <c r="F109" s="11"/>
      <c r="G109" s="10"/>
      <c r="H109" s="10"/>
      <c r="I109" s="11"/>
      <c r="J109" s="10"/>
      <c r="K109" s="11"/>
    </row>
    <row r="110" spans="1:11">
      <c r="A110" s="10"/>
      <c r="B110" s="10"/>
      <c r="C110" s="10"/>
      <c r="D110" s="10"/>
      <c r="E110" s="10"/>
      <c r="F110" s="11"/>
      <c r="G110" s="10"/>
      <c r="H110" s="10"/>
      <c r="I110" s="11"/>
      <c r="J110" s="10"/>
      <c r="K110" s="11"/>
    </row>
    <row r="111" spans="1:11">
      <c r="A111" s="10"/>
      <c r="B111" s="10"/>
      <c r="C111" s="10"/>
      <c r="D111" s="10"/>
      <c r="E111" s="10"/>
      <c r="F111" s="11"/>
      <c r="G111" s="10"/>
      <c r="H111" s="10"/>
      <c r="I111" s="11"/>
      <c r="J111" s="10"/>
      <c r="K111" s="11"/>
    </row>
    <row r="112" spans="1:11">
      <c r="A112" s="10"/>
      <c r="B112" s="10"/>
      <c r="C112" s="10"/>
      <c r="D112" s="10"/>
      <c r="E112" s="10"/>
      <c r="F112" s="11"/>
      <c r="G112" s="10"/>
      <c r="H112" s="10"/>
      <c r="I112" s="11"/>
      <c r="J112" s="10"/>
      <c r="K112" s="11"/>
    </row>
    <row r="113" spans="1:11">
      <c r="A113" s="10"/>
      <c r="B113" s="10"/>
      <c r="C113" s="10"/>
      <c r="D113" s="10"/>
      <c r="E113" s="10"/>
      <c r="F113" s="11"/>
      <c r="G113" s="10"/>
      <c r="H113" s="10"/>
      <c r="I113" s="11"/>
      <c r="J113" s="10"/>
      <c r="K113" s="11"/>
    </row>
    <row r="114" spans="1:11">
      <c r="A114" s="10"/>
      <c r="B114" s="10"/>
      <c r="C114" s="10"/>
      <c r="D114" s="10"/>
      <c r="E114" s="10"/>
      <c r="F114" s="11"/>
      <c r="G114" s="10"/>
      <c r="H114" s="10"/>
      <c r="I114" s="11"/>
      <c r="J114" s="10"/>
      <c r="K114" s="11"/>
    </row>
    <row r="115" spans="1:11">
      <c r="A115" s="10"/>
      <c r="B115" s="10"/>
      <c r="C115" s="10"/>
      <c r="D115" s="10"/>
      <c r="E115" s="10"/>
      <c r="F115" s="11"/>
      <c r="G115" s="10"/>
      <c r="H115" s="10"/>
      <c r="I115" s="11"/>
      <c r="J115" s="10"/>
      <c r="K115" s="11"/>
    </row>
    <row r="116" spans="1:11">
      <c r="A116" s="10"/>
      <c r="B116" s="10"/>
      <c r="C116" s="10"/>
      <c r="D116" s="10"/>
      <c r="E116" s="10"/>
      <c r="F116" s="11"/>
      <c r="G116" s="10"/>
      <c r="H116" s="10"/>
      <c r="I116" s="11"/>
      <c r="J116" s="10"/>
      <c r="K116" s="11"/>
    </row>
    <row r="117" spans="1:11">
      <c r="A117" s="10"/>
      <c r="B117" s="10"/>
      <c r="C117" s="10"/>
      <c r="D117" s="10"/>
      <c r="E117" s="10"/>
      <c r="F117" s="11"/>
      <c r="G117" s="10"/>
      <c r="H117" s="10"/>
      <c r="I117" s="11"/>
      <c r="J117" s="10"/>
      <c r="K117" s="11"/>
    </row>
    <row r="118" spans="1:11">
      <c r="A118" s="10"/>
      <c r="B118" s="10"/>
      <c r="C118" s="10"/>
      <c r="D118" s="10"/>
      <c r="E118" s="10"/>
      <c r="F118" s="11"/>
      <c r="G118" s="10"/>
      <c r="H118" s="10"/>
      <c r="I118" s="11"/>
      <c r="J118" s="10"/>
      <c r="K118" s="11"/>
    </row>
    <row r="119" spans="1:11">
      <c r="A119" s="10"/>
      <c r="B119" s="10"/>
      <c r="C119" s="10"/>
      <c r="D119" s="10"/>
      <c r="E119" s="10"/>
      <c r="F119" s="11"/>
      <c r="G119" s="10"/>
      <c r="H119" s="10"/>
      <c r="I119" s="11"/>
      <c r="J119" s="10"/>
      <c r="K119" s="11"/>
    </row>
    <row r="120" spans="1:11">
      <c r="A120" s="10"/>
      <c r="B120" s="10"/>
      <c r="C120" s="10"/>
      <c r="D120" s="10"/>
      <c r="E120" s="10"/>
      <c r="F120" s="11"/>
      <c r="G120" s="10"/>
      <c r="H120" s="10"/>
      <c r="I120" s="11"/>
      <c r="J120" s="10"/>
      <c r="K120" s="11"/>
    </row>
    <row r="121" spans="1:11">
      <c r="A121" s="10"/>
      <c r="B121" s="10"/>
      <c r="C121" s="10"/>
      <c r="D121" s="10"/>
      <c r="E121" s="10"/>
      <c r="F121" s="11"/>
      <c r="G121" s="10"/>
      <c r="H121" s="10"/>
      <c r="I121" s="11"/>
      <c r="J121" s="10"/>
      <c r="K121" s="11"/>
    </row>
    <row r="122" spans="1:11">
      <c r="A122" s="10"/>
      <c r="B122" s="10"/>
      <c r="C122" s="10"/>
      <c r="D122" s="10"/>
      <c r="E122" s="10"/>
      <c r="F122" s="11"/>
      <c r="G122" s="10"/>
      <c r="H122" s="10"/>
      <c r="I122" s="11"/>
      <c r="J122" s="10"/>
      <c r="K122" s="11"/>
    </row>
    <row r="123" spans="1:11">
      <c r="A123" s="10"/>
      <c r="B123" s="10"/>
      <c r="C123" s="10"/>
      <c r="D123" s="10"/>
      <c r="E123" s="10"/>
      <c r="F123" s="11"/>
      <c r="G123" s="10"/>
      <c r="H123" s="10"/>
      <c r="I123" s="11"/>
      <c r="J123" s="10"/>
      <c r="K123" s="11"/>
    </row>
    <row r="124" spans="1:11">
      <c r="A124" s="10"/>
      <c r="B124" s="10"/>
      <c r="C124" s="10"/>
      <c r="D124" s="10"/>
      <c r="E124" s="10"/>
      <c r="F124" s="11"/>
      <c r="G124" s="10"/>
      <c r="H124" s="10"/>
      <c r="I124" s="11"/>
      <c r="J124" s="10"/>
      <c r="K124" s="11"/>
    </row>
    <row r="125" spans="1:11">
      <c r="A125" s="10"/>
      <c r="B125" s="10"/>
      <c r="C125" s="10"/>
      <c r="D125" s="10"/>
      <c r="E125" s="10"/>
      <c r="F125" s="11"/>
      <c r="G125" s="10"/>
      <c r="H125" s="10"/>
      <c r="I125" s="11"/>
      <c r="J125" s="10"/>
      <c r="K125" s="11"/>
    </row>
    <row r="126" spans="1:11">
      <c r="A126" s="10"/>
      <c r="B126" s="10"/>
      <c r="C126" s="10"/>
      <c r="D126" s="10"/>
      <c r="E126" s="10"/>
      <c r="F126" s="11"/>
      <c r="G126" s="10"/>
      <c r="H126" s="10"/>
      <c r="I126" s="11"/>
      <c r="J126" s="10"/>
      <c r="K126" s="11"/>
    </row>
    <row r="127" spans="1:11">
      <c r="A127" s="10"/>
      <c r="B127" s="10"/>
      <c r="C127" s="10"/>
      <c r="D127" s="10"/>
      <c r="E127" s="10"/>
      <c r="F127" s="11"/>
      <c r="G127" s="10"/>
      <c r="H127" s="10"/>
      <c r="I127" s="11"/>
      <c r="J127" s="10"/>
      <c r="K127" s="11"/>
    </row>
    <row r="128" spans="1:11">
      <c r="A128" s="10"/>
      <c r="B128" s="10"/>
      <c r="C128" s="10"/>
      <c r="D128" s="10"/>
      <c r="E128" s="10"/>
      <c r="F128" s="11"/>
      <c r="G128" s="10"/>
      <c r="H128" s="10"/>
      <c r="I128" s="11"/>
      <c r="J128" s="10"/>
      <c r="K128" s="11"/>
    </row>
    <row r="129" spans="1:11">
      <c r="A129" s="10"/>
      <c r="B129" s="10"/>
      <c r="C129" s="10"/>
      <c r="D129" s="10"/>
      <c r="E129" s="10"/>
      <c r="F129" s="11"/>
      <c r="G129" s="10"/>
      <c r="H129" s="10"/>
      <c r="I129" s="11"/>
      <c r="J129" s="10"/>
      <c r="K129" s="11"/>
    </row>
    <row r="130" spans="1:11">
      <c r="A130" s="10"/>
      <c r="B130" s="10"/>
      <c r="C130" s="10"/>
      <c r="D130" s="10"/>
      <c r="E130" s="10"/>
      <c r="F130" s="11"/>
      <c r="G130" s="10"/>
      <c r="H130" s="10"/>
      <c r="I130" s="11"/>
      <c r="J130" s="10"/>
      <c r="K130" s="11"/>
    </row>
    <row r="131" spans="1:11">
      <c r="A131" s="10"/>
      <c r="B131" s="10"/>
      <c r="C131" s="10"/>
      <c r="D131" s="10"/>
      <c r="E131" s="10"/>
      <c r="F131" s="11"/>
      <c r="G131" s="10"/>
      <c r="H131" s="10"/>
      <c r="I131" s="11"/>
      <c r="J131" s="10"/>
      <c r="K131" s="11"/>
    </row>
    <row r="132" spans="1:11">
      <c r="A132" s="10"/>
      <c r="B132" s="10"/>
      <c r="C132" s="10"/>
      <c r="D132" s="10"/>
      <c r="E132" s="10"/>
      <c r="F132" s="11"/>
      <c r="G132" s="10"/>
      <c r="H132" s="10"/>
      <c r="I132" s="11"/>
      <c r="J132" s="10"/>
      <c r="K132" s="11"/>
    </row>
    <row r="133" spans="1:11">
      <c r="A133" s="10"/>
      <c r="B133" s="10"/>
      <c r="C133" s="10"/>
      <c r="D133" s="10"/>
      <c r="E133" s="10"/>
      <c r="F133" s="11"/>
      <c r="G133" s="10"/>
      <c r="H133" s="10"/>
      <c r="I133" s="11"/>
      <c r="J133" s="10"/>
      <c r="K133" s="11"/>
    </row>
    <row r="134" spans="1:11">
      <c r="A134" s="10"/>
      <c r="B134" s="10"/>
      <c r="C134" s="10"/>
      <c r="D134" s="10"/>
      <c r="E134" s="10"/>
      <c r="F134" s="11"/>
      <c r="G134" s="10"/>
      <c r="H134" s="10"/>
      <c r="I134" s="11"/>
      <c r="J134" s="10"/>
      <c r="K134" s="11"/>
    </row>
    <row r="135" spans="1:11">
      <c r="A135" s="10"/>
      <c r="B135" s="10"/>
      <c r="C135" s="10"/>
      <c r="D135" s="10"/>
      <c r="E135" s="10"/>
      <c r="F135" s="11"/>
      <c r="G135" s="10"/>
      <c r="H135" s="10"/>
      <c r="I135" s="11"/>
      <c r="J135" s="10"/>
      <c r="K135" s="11"/>
    </row>
    <row r="136" spans="1:11">
      <c r="A136" s="10"/>
      <c r="B136" s="10"/>
      <c r="C136" s="10"/>
      <c r="D136" s="10"/>
      <c r="E136" s="10"/>
      <c r="F136" s="11"/>
      <c r="G136" s="10"/>
      <c r="H136" s="10"/>
      <c r="I136" s="11"/>
      <c r="J136" s="10"/>
      <c r="K136" s="11"/>
    </row>
    <row r="137" spans="1:11">
      <c r="A137" s="10"/>
      <c r="B137" s="10"/>
      <c r="C137" s="10"/>
      <c r="D137" s="10"/>
      <c r="E137" s="10"/>
      <c r="F137" s="11"/>
      <c r="G137" s="10"/>
      <c r="H137" s="10"/>
      <c r="I137" s="11"/>
      <c r="J137" s="10"/>
      <c r="K137" s="11"/>
    </row>
    <row r="138" spans="1:11">
      <c r="A138" s="10"/>
      <c r="B138" s="10"/>
      <c r="C138" s="10"/>
      <c r="D138" s="10"/>
      <c r="E138" s="10"/>
      <c r="F138" s="11"/>
      <c r="G138" s="10"/>
      <c r="H138" s="10"/>
      <c r="I138" s="11"/>
      <c r="J138" s="10"/>
      <c r="K138" s="11"/>
    </row>
    <row r="139" spans="1:11">
      <c r="A139" s="10"/>
      <c r="B139" s="10"/>
      <c r="C139" s="10"/>
      <c r="D139" s="10"/>
      <c r="E139" s="10"/>
      <c r="F139" s="11"/>
      <c r="G139" s="10"/>
      <c r="H139" s="10"/>
      <c r="I139" s="11"/>
      <c r="J139" s="10"/>
      <c r="K139" s="11"/>
    </row>
    <row r="140" spans="1:11">
      <c r="A140" s="10"/>
      <c r="B140" s="10"/>
      <c r="C140" s="10"/>
      <c r="D140" s="10"/>
      <c r="E140" s="10"/>
      <c r="F140" s="11"/>
      <c r="G140" s="10"/>
      <c r="H140" s="10"/>
      <c r="I140" s="11"/>
      <c r="J140" s="10"/>
      <c r="K140" s="11"/>
    </row>
    <row r="141" spans="1:11">
      <c r="A141" s="10"/>
      <c r="B141" s="10"/>
      <c r="C141" s="10"/>
      <c r="D141" s="10"/>
      <c r="E141" s="10"/>
      <c r="F141" s="11"/>
      <c r="G141" s="10"/>
      <c r="H141" s="10"/>
      <c r="I141" s="11"/>
      <c r="J141" s="10"/>
      <c r="K141" s="11"/>
    </row>
    <row r="142" spans="1:11">
      <c r="A142" s="10"/>
      <c r="B142" s="10"/>
      <c r="C142" s="10"/>
      <c r="D142" s="10"/>
      <c r="E142" s="10"/>
      <c r="F142" s="11"/>
      <c r="G142" s="10"/>
      <c r="H142" s="10"/>
      <c r="I142" s="11"/>
      <c r="J142" s="10"/>
      <c r="K142" s="11"/>
    </row>
    <row r="143" spans="1:11">
      <c r="A143" s="10"/>
      <c r="B143" s="10"/>
      <c r="C143" s="10"/>
      <c r="D143" s="10"/>
      <c r="E143" s="10"/>
      <c r="F143" s="11"/>
      <c r="G143" s="10"/>
      <c r="H143" s="10"/>
      <c r="I143" s="11"/>
      <c r="J143" s="10"/>
      <c r="K143" s="11"/>
    </row>
    <row r="144" spans="1:11">
      <c r="A144" s="10"/>
      <c r="B144" s="10"/>
      <c r="C144" s="10"/>
      <c r="D144" s="10"/>
      <c r="E144" s="10"/>
      <c r="F144" s="11"/>
      <c r="G144" s="10"/>
      <c r="H144" s="10"/>
      <c r="I144" s="11"/>
      <c r="J144" s="10"/>
      <c r="K144" s="11"/>
    </row>
    <row r="145" spans="1:11">
      <c r="A145" s="10"/>
      <c r="B145" s="10"/>
      <c r="C145" s="10"/>
      <c r="D145" s="10"/>
      <c r="E145" s="10"/>
      <c r="F145" s="11"/>
      <c r="G145" s="10"/>
      <c r="H145" s="10"/>
      <c r="I145" s="11"/>
      <c r="J145" s="10"/>
      <c r="K145" s="11"/>
    </row>
    <row r="146" spans="1:11">
      <c r="A146" s="10"/>
      <c r="B146" s="10"/>
      <c r="C146" s="10"/>
      <c r="D146" s="10"/>
      <c r="E146" s="10"/>
      <c r="F146" s="11"/>
      <c r="G146" s="10"/>
      <c r="H146" s="10"/>
      <c r="I146" s="11"/>
      <c r="J146" s="10"/>
      <c r="K146" s="11"/>
    </row>
    <row r="147" spans="1:11">
      <c r="A147" s="10"/>
      <c r="B147" s="10"/>
      <c r="C147" s="10"/>
      <c r="D147" s="10"/>
      <c r="E147" s="10"/>
      <c r="F147" s="11"/>
      <c r="G147" s="10"/>
      <c r="H147" s="10"/>
      <c r="I147" s="11"/>
      <c r="J147" s="10"/>
      <c r="K147" s="11"/>
    </row>
    <row r="148" spans="1:11">
      <c r="A148" s="10"/>
      <c r="B148" s="10"/>
      <c r="C148" s="10"/>
      <c r="D148" s="10"/>
      <c r="E148" s="10"/>
      <c r="F148" s="11"/>
      <c r="G148" s="10"/>
      <c r="H148" s="10"/>
      <c r="I148" s="11"/>
      <c r="J148" s="10"/>
      <c r="K148" s="11"/>
    </row>
    <row r="149" spans="1:11">
      <c r="A149" s="10"/>
      <c r="B149" s="10"/>
      <c r="C149" s="10"/>
      <c r="D149" s="10"/>
      <c r="E149" s="10"/>
      <c r="F149" s="11"/>
      <c r="G149" s="10"/>
      <c r="H149" s="10"/>
      <c r="I149" s="11"/>
      <c r="J149" s="10"/>
      <c r="K149" s="11"/>
    </row>
    <row r="150" spans="1:11">
      <c r="A150" s="10"/>
      <c r="B150" s="10"/>
      <c r="C150" s="10"/>
      <c r="D150" s="10"/>
      <c r="E150" s="10"/>
      <c r="F150" s="11"/>
      <c r="G150" s="10"/>
      <c r="H150" s="10"/>
      <c r="I150" s="11"/>
      <c r="J150" s="10"/>
      <c r="K150" s="11"/>
    </row>
    <row r="151" spans="1:11">
      <c r="A151" s="10"/>
      <c r="B151" s="10"/>
      <c r="C151" s="10"/>
      <c r="D151" s="10"/>
      <c r="E151" s="10"/>
      <c r="F151" s="11"/>
      <c r="G151" s="10"/>
      <c r="H151" s="10"/>
      <c r="I151" s="11"/>
      <c r="J151" s="10"/>
      <c r="K151" s="11"/>
    </row>
    <row r="152" spans="1:11">
      <c r="A152" s="10"/>
      <c r="B152" s="10"/>
      <c r="C152" s="10"/>
      <c r="D152" s="10"/>
      <c r="E152" s="10"/>
      <c r="F152" s="11"/>
      <c r="G152" s="10"/>
      <c r="H152" s="10"/>
      <c r="I152" s="11"/>
      <c r="J152" s="10"/>
      <c r="K152" s="11"/>
    </row>
    <row r="153" spans="1:11">
      <c r="A153" s="10"/>
      <c r="B153" s="10"/>
      <c r="C153" s="10"/>
      <c r="D153" s="10"/>
      <c r="E153" s="10"/>
      <c r="F153" s="11"/>
      <c r="G153" s="10"/>
      <c r="H153" s="10"/>
      <c r="I153" s="11"/>
      <c r="J153" s="10"/>
      <c r="K153" s="11"/>
    </row>
    <row r="154" spans="1:11">
      <c r="A154" s="10"/>
      <c r="B154" s="10"/>
      <c r="C154" s="10"/>
      <c r="D154" s="10"/>
      <c r="E154" s="10"/>
      <c r="F154" s="11"/>
      <c r="G154" s="10"/>
      <c r="H154" s="10"/>
      <c r="I154" s="11"/>
      <c r="J154" s="10"/>
      <c r="K154" s="11"/>
    </row>
    <row r="155" spans="1:11">
      <c r="A155" s="10"/>
      <c r="B155" s="10"/>
      <c r="C155" s="10"/>
      <c r="D155" s="10"/>
      <c r="E155" s="10"/>
      <c r="F155" s="11"/>
      <c r="G155" s="10"/>
      <c r="H155" s="10"/>
      <c r="I155" s="11"/>
      <c r="J155" s="10"/>
      <c r="K155" s="11"/>
    </row>
    <row r="156" spans="1:11">
      <c r="A156" s="10"/>
      <c r="B156" s="10"/>
      <c r="C156" s="10"/>
      <c r="D156" s="10"/>
      <c r="E156" s="10"/>
      <c r="F156" s="11"/>
      <c r="G156" s="10"/>
      <c r="H156" s="10"/>
      <c r="I156" s="11"/>
      <c r="J156" s="10"/>
      <c r="K156" s="11"/>
    </row>
    <row r="157" spans="1:11">
      <c r="A157" s="10"/>
      <c r="B157" s="10"/>
      <c r="C157" s="10"/>
      <c r="D157" s="10"/>
      <c r="E157" s="10"/>
      <c r="F157" s="11"/>
      <c r="G157" s="10"/>
      <c r="H157" s="10"/>
      <c r="I157" s="11"/>
      <c r="J157" s="10"/>
      <c r="K157" s="11"/>
    </row>
    <row r="158" spans="1:11">
      <c r="A158" s="10"/>
      <c r="B158" s="10"/>
      <c r="C158" s="10"/>
      <c r="D158" s="10"/>
      <c r="E158" s="10"/>
      <c r="F158" s="11"/>
      <c r="G158" s="10"/>
      <c r="H158" s="10"/>
      <c r="I158" s="11"/>
      <c r="J158" s="10"/>
      <c r="K158" s="11"/>
    </row>
    <row r="159" spans="1:11">
      <c r="A159" s="10"/>
      <c r="B159" s="10"/>
      <c r="C159" s="10"/>
      <c r="D159" s="10"/>
      <c r="E159" s="10"/>
      <c r="F159" s="11"/>
      <c r="G159" s="10"/>
      <c r="H159" s="10"/>
      <c r="I159" s="11"/>
      <c r="J159" s="10"/>
      <c r="K159" s="11"/>
    </row>
    <row r="160" spans="1:11">
      <c r="A160" s="10"/>
      <c r="B160" s="10"/>
      <c r="C160" s="10"/>
      <c r="D160" s="10"/>
      <c r="E160" s="10"/>
      <c r="F160" s="11"/>
      <c r="G160" s="10"/>
      <c r="H160" s="10"/>
      <c r="I160" s="11"/>
      <c r="J160" s="10"/>
      <c r="K160" s="11"/>
    </row>
    <row r="161" spans="1:11">
      <c r="A161" s="10"/>
      <c r="B161" s="10"/>
      <c r="C161" s="10"/>
      <c r="D161" s="10"/>
      <c r="E161" s="10"/>
      <c r="F161" s="11"/>
      <c r="G161" s="10"/>
      <c r="H161" s="10"/>
      <c r="I161" s="11"/>
      <c r="J161" s="10"/>
      <c r="K161" s="11"/>
    </row>
    <row r="162" spans="1:11">
      <c r="A162" s="10"/>
      <c r="B162" s="10"/>
      <c r="C162" s="10"/>
      <c r="D162" s="10"/>
      <c r="E162" s="10"/>
      <c r="F162" s="11"/>
      <c r="G162" s="10"/>
      <c r="H162" s="10"/>
      <c r="I162" s="11"/>
      <c r="J162" s="10"/>
      <c r="K162" s="11"/>
    </row>
    <row r="163" spans="1:11">
      <c r="A163" s="10"/>
      <c r="B163" s="10"/>
      <c r="C163" s="10"/>
      <c r="D163" s="10"/>
      <c r="E163" s="10"/>
      <c r="F163" s="11"/>
      <c r="G163" s="10"/>
      <c r="H163" s="10"/>
      <c r="I163" s="11"/>
      <c r="J163" s="10"/>
      <c r="K163" s="11"/>
    </row>
    <row r="164" spans="1:11">
      <c r="A164" s="10"/>
      <c r="B164" s="10"/>
      <c r="C164" s="10"/>
      <c r="D164" s="10"/>
      <c r="E164" s="10"/>
      <c r="F164" s="11"/>
      <c r="G164" s="10"/>
      <c r="H164" s="10"/>
      <c r="I164" s="11"/>
      <c r="J164" s="10"/>
      <c r="K164" s="11"/>
    </row>
    <row r="165" spans="1:11">
      <c r="A165" s="10"/>
      <c r="B165" s="10"/>
      <c r="C165" s="10"/>
      <c r="D165" s="10"/>
      <c r="E165" s="10"/>
      <c r="F165" s="11"/>
      <c r="G165" s="10"/>
      <c r="H165" s="10"/>
      <c r="I165" s="11"/>
      <c r="J165" s="10"/>
      <c r="K165" s="11"/>
    </row>
    <row r="166" spans="1:11">
      <c r="A166" s="10"/>
      <c r="B166" s="10"/>
      <c r="C166" s="10"/>
      <c r="D166" s="10"/>
      <c r="E166" s="10"/>
      <c r="F166" s="11"/>
      <c r="G166" s="10"/>
      <c r="H166" s="10"/>
      <c r="I166" s="11"/>
      <c r="J166" s="10"/>
      <c r="K166" s="11"/>
    </row>
    <row r="167" spans="1:11">
      <c r="A167" s="10"/>
      <c r="B167" s="10"/>
      <c r="C167" s="10"/>
      <c r="D167" s="10"/>
      <c r="E167" s="10"/>
      <c r="F167" s="11"/>
      <c r="G167" s="10"/>
      <c r="H167" s="10"/>
      <c r="I167" s="11"/>
      <c r="J167" s="10"/>
      <c r="K167" s="11"/>
    </row>
    <row r="168" spans="1:11">
      <c r="A168" s="10"/>
      <c r="B168" s="10"/>
      <c r="C168" s="10"/>
      <c r="D168" s="10"/>
      <c r="E168" s="10"/>
      <c r="F168" s="11"/>
      <c r="G168" s="10"/>
      <c r="H168" s="10"/>
      <c r="I168" s="11"/>
      <c r="J168" s="10"/>
      <c r="K168" s="11"/>
    </row>
    <row r="169" spans="1:11">
      <c r="A169" s="10"/>
      <c r="B169" s="10"/>
      <c r="C169" s="10"/>
      <c r="D169" s="10"/>
      <c r="E169" s="10"/>
      <c r="F169" s="11"/>
      <c r="G169" s="10"/>
      <c r="H169" s="10"/>
      <c r="I169" s="11"/>
      <c r="J169" s="10"/>
      <c r="K169" s="11"/>
    </row>
    <row r="170" spans="1:11">
      <c r="A170" s="10"/>
      <c r="B170" s="10"/>
      <c r="C170" s="10"/>
      <c r="D170" s="10"/>
      <c r="E170" s="10"/>
      <c r="F170" s="11"/>
      <c r="G170" s="10"/>
      <c r="H170" s="10"/>
      <c r="I170" s="11"/>
      <c r="J170" s="10"/>
      <c r="K170" s="11"/>
    </row>
    <row r="171" spans="1:11">
      <c r="A171" s="10"/>
      <c r="B171" s="10"/>
      <c r="C171" s="10"/>
      <c r="D171" s="10"/>
      <c r="E171" s="10"/>
      <c r="F171" s="11"/>
      <c r="G171" s="10"/>
      <c r="H171" s="10"/>
      <c r="I171" s="11"/>
      <c r="J171" s="10"/>
      <c r="K171" s="11"/>
    </row>
    <row r="172" spans="1:11">
      <c r="A172" s="10"/>
      <c r="B172" s="10"/>
      <c r="C172" s="10"/>
      <c r="D172" s="10"/>
      <c r="E172" s="10"/>
      <c r="F172" s="11"/>
      <c r="G172" s="10"/>
      <c r="H172" s="10"/>
      <c r="I172" s="11"/>
      <c r="J172" s="10"/>
      <c r="K172" s="11"/>
    </row>
    <row r="173" spans="1:11">
      <c r="A173" s="10"/>
      <c r="B173" s="10"/>
      <c r="C173" s="10"/>
      <c r="D173" s="10"/>
      <c r="E173" s="10"/>
      <c r="F173" s="11"/>
      <c r="G173" s="10"/>
      <c r="H173" s="10"/>
      <c r="I173" s="11"/>
      <c r="J173" s="10"/>
      <c r="K173" s="11"/>
    </row>
    <row r="174" spans="1:11">
      <c r="A174" s="10"/>
      <c r="B174" s="10"/>
      <c r="C174" s="10"/>
      <c r="D174" s="10"/>
      <c r="E174" s="10"/>
      <c r="F174" s="11"/>
      <c r="G174" s="10"/>
      <c r="H174" s="10"/>
      <c r="I174" s="11"/>
      <c r="J174" s="10"/>
      <c r="K174" s="11"/>
    </row>
    <row r="175" spans="1:11">
      <c r="A175" s="10"/>
      <c r="B175" s="10"/>
      <c r="C175" s="10"/>
      <c r="D175" s="10"/>
      <c r="E175" s="10"/>
      <c r="F175" s="11"/>
      <c r="G175" s="10"/>
      <c r="H175" s="10"/>
      <c r="I175" s="11"/>
      <c r="J175" s="10"/>
      <c r="K175" s="11"/>
    </row>
    <row r="176" spans="1:11">
      <c r="A176" s="10"/>
      <c r="B176" s="10"/>
      <c r="C176" s="10"/>
      <c r="D176" s="10"/>
      <c r="E176" s="10"/>
      <c r="F176" s="11"/>
      <c r="G176" s="10"/>
      <c r="H176" s="10"/>
      <c r="I176" s="11"/>
      <c r="J176" s="10"/>
      <c r="K176" s="11"/>
    </row>
    <row r="177" spans="1:11">
      <c r="A177" s="10"/>
      <c r="B177" s="10"/>
      <c r="C177" s="10"/>
      <c r="D177" s="10"/>
      <c r="E177" s="10"/>
      <c r="F177" s="11"/>
      <c r="G177" s="10"/>
      <c r="H177" s="10"/>
      <c r="I177" s="11"/>
      <c r="J177" s="10"/>
      <c r="K177" s="11"/>
    </row>
    <row r="178" spans="1:11">
      <c r="A178" s="10"/>
      <c r="B178" s="10"/>
      <c r="C178" s="10"/>
      <c r="D178" s="10"/>
      <c r="E178" s="10"/>
      <c r="F178" s="11"/>
      <c r="G178" s="10"/>
      <c r="H178" s="10"/>
      <c r="I178" s="11"/>
      <c r="J178" s="10"/>
      <c r="K178" s="11"/>
    </row>
    <row r="179" spans="1:11">
      <c r="A179" s="10"/>
      <c r="B179" s="10"/>
      <c r="C179" s="10"/>
      <c r="D179" s="10"/>
      <c r="E179" s="10"/>
      <c r="F179" s="11"/>
      <c r="G179" s="10"/>
      <c r="H179" s="10"/>
      <c r="I179" s="11"/>
      <c r="J179" s="10"/>
      <c r="K179" s="11"/>
    </row>
    <row r="180" spans="1:11">
      <c r="A180" s="10"/>
      <c r="B180" s="10"/>
      <c r="C180" s="10"/>
      <c r="D180" s="10"/>
      <c r="E180" s="10"/>
      <c r="F180" s="11"/>
      <c r="G180" s="10"/>
      <c r="H180" s="10"/>
      <c r="I180" s="11"/>
      <c r="J180" s="10"/>
      <c r="K180" s="11"/>
    </row>
    <row r="181" spans="1:11">
      <c r="A181" s="10"/>
      <c r="B181" s="10"/>
      <c r="C181" s="10"/>
      <c r="D181" s="10"/>
      <c r="E181" s="10"/>
      <c r="F181" s="11"/>
      <c r="G181" s="10"/>
      <c r="H181" s="10"/>
      <c r="I181" s="11"/>
      <c r="J181" s="10"/>
      <c r="K181" s="11"/>
    </row>
    <row r="182" spans="1:11">
      <c r="A182" s="10"/>
      <c r="B182" s="10"/>
      <c r="C182" s="10"/>
      <c r="D182" s="10"/>
      <c r="E182" s="10"/>
      <c r="F182" s="11"/>
      <c r="G182" s="10"/>
      <c r="H182" s="10"/>
      <c r="I182" s="11"/>
      <c r="J182" s="10"/>
      <c r="K182" s="11"/>
    </row>
    <row r="183" spans="1:11">
      <c r="A183" s="10"/>
      <c r="B183" s="10"/>
      <c r="C183" s="10"/>
      <c r="D183" s="10"/>
      <c r="E183" s="10"/>
      <c r="F183" s="11"/>
      <c r="G183" s="10"/>
      <c r="H183" s="10"/>
      <c r="I183" s="11"/>
      <c r="J183" s="10"/>
      <c r="K183" s="11"/>
    </row>
    <row r="184" spans="1:11">
      <c r="A184" s="10"/>
      <c r="B184" s="10"/>
      <c r="C184" s="10"/>
      <c r="D184" s="10"/>
      <c r="E184" s="10"/>
      <c r="F184" s="11"/>
      <c r="G184" s="10"/>
      <c r="H184" s="10"/>
      <c r="I184" s="11"/>
      <c r="J184" s="10"/>
      <c r="K184" s="11"/>
    </row>
    <row r="185" spans="1:11">
      <c r="A185" s="10"/>
      <c r="B185" s="10"/>
      <c r="C185" s="10"/>
      <c r="D185" s="10"/>
      <c r="E185" s="10"/>
      <c r="F185" s="11"/>
      <c r="G185" s="10"/>
      <c r="H185" s="10"/>
      <c r="I185" s="11"/>
      <c r="J185" s="10"/>
      <c r="K185" s="11"/>
    </row>
    <row r="186" spans="1:11">
      <c r="A186" s="10"/>
      <c r="B186" s="10"/>
      <c r="C186" s="10"/>
      <c r="D186" s="10"/>
      <c r="E186" s="10"/>
      <c r="F186" s="11"/>
      <c r="G186" s="10"/>
      <c r="H186" s="10"/>
      <c r="I186" s="11"/>
      <c r="J186" s="10"/>
      <c r="K186" s="11"/>
    </row>
    <row r="187" spans="1:11">
      <c r="A187" s="10"/>
      <c r="B187" s="10"/>
      <c r="C187" s="10"/>
      <c r="D187" s="10"/>
      <c r="E187" s="10"/>
      <c r="F187" s="11"/>
      <c r="G187" s="10"/>
      <c r="H187" s="10"/>
      <c r="I187" s="11"/>
      <c r="J187" s="10"/>
      <c r="K187" s="11"/>
    </row>
    <row r="188" spans="1:11">
      <c r="A188" s="10"/>
      <c r="B188" s="10"/>
      <c r="C188" s="10"/>
      <c r="D188" s="10"/>
      <c r="E188" s="10"/>
      <c r="F188" s="11"/>
      <c r="G188" s="10"/>
      <c r="H188" s="10"/>
      <c r="I188" s="11"/>
      <c r="J188" s="10"/>
      <c r="K188" s="11"/>
    </row>
    <row r="189" spans="1:11">
      <c r="A189" s="10"/>
      <c r="B189" s="10"/>
      <c r="C189" s="10"/>
      <c r="D189" s="10"/>
      <c r="E189" s="10"/>
      <c r="F189" s="11"/>
      <c r="G189" s="10"/>
      <c r="H189" s="10"/>
      <c r="I189" s="11"/>
      <c r="J189" s="10"/>
      <c r="K189" s="11"/>
    </row>
    <row r="190" spans="1:11">
      <c r="A190" s="10"/>
      <c r="B190" s="10"/>
      <c r="C190" s="10"/>
      <c r="D190" s="10"/>
      <c r="E190" s="10"/>
      <c r="F190" s="11"/>
      <c r="G190" s="10"/>
      <c r="H190" s="10"/>
      <c r="I190" s="11"/>
      <c r="J190" s="10"/>
      <c r="K190" s="11"/>
    </row>
    <row r="191" spans="1:11">
      <c r="A191" s="10"/>
      <c r="B191" s="10"/>
      <c r="C191" s="10"/>
      <c r="D191" s="10"/>
      <c r="E191" s="10"/>
      <c r="F191" s="11"/>
      <c r="G191" s="10"/>
      <c r="H191" s="10"/>
      <c r="I191" s="11"/>
      <c r="J191" s="10"/>
      <c r="K191" s="11"/>
    </row>
    <row r="192" spans="1:11">
      <c r="A192" s="10"/>
      <c r="B192" s="10"/>
      <c r="C192" s="10"/>
      <c r="D192" s="10"/>
      <c r="E192" s="10"/>
      <c r="F192" s="11"/>
      <c r="G192" s="10"/>
      <c r="H192" s="10"/>
      <c r="I192" s="11"/>
      <c r="J192" s="10"/>
      <c r="K192" s="11"/>
    </row>
    <row r="193" spans="1:11">
      <c r="A193" s="10"/>
      <c r="B193" s="10"/>
      <c r="C193" s="10"/>
      <c r="D193" s="10"/>
      <c r="E193" s="10"/>
      <c r="F193" s="11"/>
      <c r="G193" s="10"/>
      <c r="H193" s="10"/>
      <c r="I193" s="11"/>
      <c r="J193" s="10"/>
      <c r="K193" s="11"/>
    </row>
    <row r="194" spans="1:11">
      <c r="A194" s="10"/>
      <c r="B194" s="10"/>
      <c r="C194" s="10"/>
      <c r="D194" s="10"/>
      <c r="E194" s="10"/>
      <c r="F194" s="11"/>
      <c r="G194" s="10"/>
      <c r="H194" s="10"/>
      <c r="I194" s="11"/>
      <c r="J194" s="10"/>
      <c r="K194" s="11"/>
    </row>
    <row r="195" spans="1:11">
      <c r="A195" s="10"/>
      <c r="B195" s="10"/>
      <c r="C195" s="10"/>
      <c r="D195" s="10"/>
      <c r="E195" s="10"/>
      <c r="F195" s="11"/>
      <c r="G195" s="10"/>
      <c r="H195" s="10"/>
      <c r="I195" s="11"/>
      <c r="J195" s="10"/>
      <c r="K195" s="11"/>
    </row>
    <row r="196" spans="1:11">
      <c r="A196" s="10"/>
      <c r="B196" s="10"/>
      <c r="C196" s="10"/>
      <c r="D196" s="10"/>
      <c r="E196" s="10"/>
      <c r="F196" s="11"/>
      <c r="G196" s="10"/>
      <c r="H196" s="10"/>
      <c r="I196" s="11"/>
      <c r="J196" s="10"/>
      <c r="K196" s="11"/>
    </row>
    <row r="197" spans="1:11">
      <c r="A197" s="10"/>
      <c r="B197" s="10"/>
      <c r="C197" s="10"/>
      <c r="D197" s="10"/>
      <c r="E197" s="10"/>
      <c r="F197" s="11"/>
      <c r="G197" s="10"/>
      <c r="H197" s="10"/>
      <c r="I197" s="11"/>
      <c r="J197" s="10"/>
      <c r="K197" s="11"/>
    </row>
    <row r="198" spans="1:11">
      <c r="A198" s="10"/>
      <c r="B198" s="10"/>
      <c r="C198" s="10"/>
      <c r="D198" s="10"/>
      <c r="E198" s="10"/>
      <c r="F198" s="11"/>
      <c r="G198" s="10"/>
      <c r="H198" s="10"/>
      <c r="I198" s="11"/>
      <c r="J198" s="10"/>
      <c r="K198" s="11"/>
    </row>
    <row r="199" spans="1:11">
      <c r="A199" s="10"/>
      <c r="B199" s="10"/>
      <c r="C199" s="10"/>
      <c r="D199" s="10"/>
      <c r="E199" s="10"/>
      <c r="F199" s="11"/>
      <c r="G199" s="10"/>
      <c r="H199" s="10"/>
      <c r="I199" s="11"/>
      <c r="J199" s="10"/>
      <c r="K199" s="11"/>
    </row>
    <row r="200" spans="1:11">
      <c r="A200" s="10"/>
      <c r="B200" s="10"/>
      <c r="C200" s="10"/>
      <c r="D200" s="10"/>
      <c r="E200" s="10"/>
      <c r="F200" s="11"/>
      <c r="G200" s="10"/>
      <c r="H200" s="10"/>
      <c r="I200" s="11"/>
      <c r="J200" s="10"/>
      <c r="K200" s="11"/>
    </row>
    <row r="201" spans="1:11">
      <c r="A201" s="10"/>
      <c r="B201" s="10"/>
      <c r="C201" s="10"/>
      <c r="D201" s="10"/>
      <c r="E201" s="10"/>
      <c r="F201" s="11"/>
      <c r="G201" s="10"/>
      <c r="H201" s="10"/>
      <c r="I201" s="11"/>
      <c r="J201" s="10"/>
      <c r="K201" s="11"/>
    </row>
    <row r="202" spans="1:11">
      <c r="A202" s="10"/>
      <c r="B202" s="10"/>
      <c r="C202" s="10"/>
      <c r="D202" s="10"/>
      <c r="E202" s="10"/>
      <c r="F202" s="11"/>
      <c r="G202" s="10"/>
      <c r="H202" s="10"/>
      <c r="I202" s="11"/>
      <c r="J202" s="10"/>
      <c r="K202" s="11"/>
    </row>
    <row r="203" spans="1:11">
      <c r="A203" s="10"/>
      <c r="B203" s="10"/>
      <c r="C203" s="10"/>
      <c r="D203" s="10"/>
      <c r="E203" s="10"/>
      <c r="F203" s="11"/>
      <c r="G203" s="10"/>
      <c r="H203" s="10"/>
      <c r="I203" s="11"/>
      <c r="J203" s="10"/>
      <c r="K203" s="11"/>
    </row>
    <row r="204" spans="1:11">
      <c r="A204" s="10"/>
      <c r="B204" s="10"/>
      <c r="C204" s="10"/>
      <c r="D204" s="10"/>
      <c r="E204" s="10"/>
      <c r="F204" s="11"/>
      <c r="G204" s="10"/>
      <c r="H204" s="10"/>
      <c r="I204" s="11"/>
      <c r="J204" s="10"/>
      <c r="K204" s="11"/>
    </row>
    <row r="205" spans="1:11">
      <c r="A205" s="10"/>
      <c r="B205" s="10"/>
      <c r="C205" s="10"/>
      <c r="D205" s="10"/>
      <c r="E205" s="10"/>
      <c r="F205" s="11"/>
      <c r="G205" s="10"/>
      <c r="H205" s="10"/>
      <c r="I205" s="11"/>
      <c r="J205" s="10"/>
      <c r="K205" s="11"/>
    </row>
    <row r="206" spans="1:11">
      <c r="A206" s="10"/>
      <c r="B206" s="10"/>
      <c r="C206" s="10"/>
      <c r="D206" s="10"/>
      <c r="E206" s="10"/>
      <c r="F206" s="11"/>
      <c r="G206" s="10"/>
      <c r="H206" s="10"/>
      <c r="I206" s="11"/>
      <c r="J206" s="10"/>
      <c r="K206" s="11"/>
    </row>
    <row r="207" spans="1:11">
      <c r="A207" s="10"/>
      <c r="B207" s="10"/>
      <c r="C207" s="10"/>
      <c r="D207" s="10"/>
      <c r="E207" s="10"/>
      <c r="F207" s="11"/>
      <c r="G207" s="10"/>
      <c r="H207" s="10"/>
      <c r="I207" s="11"/>
      <c r="J207" s="10"/>
      <c r="K207" s="11"/>
    </row>
    <row r="208" spans="1:11">
      <c r="A208" s="10"/>
      <c r="B208" s="10"/>
      <c r="C208" s="10"/>
      <c r="D208" s="10"/>
      <c r="E208" s="10"/>
      <c r="F208" s="11"/>
      <c r="G208" s="10"/>
      <c r="H208" s="10"/>
      <c r="I208" s="11"/>
      <c r="J208" s="10"/>
      <c r="K208" s="11"/>
    </row>
    <row r="209" spans="1:11">
      <c r="A209" s="10"/>
      <c r="B209" s="10"/>
      <c r="C209" s="10"/>
      <c r="D209" s="10"/>
      <c r="E209" s="10"/>
      <c r="F209" s="11"/>
      <c r="G209" s="10"/>
      <c r="H209" s="10"/>
      <c r="I209" s="11"/>
      <c r="J209" s="10"/>
      <c r="K209" s="11"/>
    </row>
    <row r="210" spans="1:11">
      <c r="A210" s="10"/>
      <c r="B210" s="10"/>
      <c r="C210" s="10"/>
      <c r="D210" s="10"/>
      <c r="E210" s="10"/>
      <c r="F210" s="11"/>
      <c r="G210" s="10"/>
      <c r="H210" s="10"/>
      <c r="I210" s="11"/>
      <c r="J210" s="10"/>
      <c r="K210" s="11"/>
    </row>
    <row r="211" spans="1:11">
      <c r="A211" s="10"/>
      <c r="B211" s="10"/>
      <c r="C211" s="10"/>
      <c r="D211" s="10"/>
      <c r="E211" s="10"/>
      <c r="F211" s="11"/>
      <c r="G211" s="10"/>
      <c r="H211" s="10"/>
      <c r="I211" s="11"/>
      <c r="J211" s="10"/>
      <c r="K211" s="11"/>
    </row>
    <row r="212" spans="1:11">
      <c r="A212" s="10"/>
      <c r="B212" s="10"/>
      <c r="C212" s="10"/>
      <c r="D212" s="10"/>
      <c r="E212" s="10"/>
      <c r="F212" s="11"/>
      <c r="G212" s="10"/>
      <c r="H212" s="10"/>
      <c r="I212" s="11"/>
      <c r="J212" s="10"/>
      <c r="K212" s="11"/>
    </row>
    <row r="213" spans="1:11">
      <c r="A213" s="10"/>
      <c r="B213" s="10"/>
      <c r="C213" s="10"/>
      <c r="D213" s="10"/>
      <c r="E213" s="10"/>
      <c r="F213" s="11"/>
      <c r="G213" s="10"/>
      <c r="H213" s="10"/>
      <c r="I213" s="11"/>
      <c r="J213" s="10"/>
      <c r="K213" s="11"/>
    </row>
    <row r="214" spans="1:11">
      <c r="A214" s="10"/>
      <c r="B214" s="10"/>
      <c r="C214" s="10"/>
      <c r="D214" s="10"/>
      <c r="E214" s="10"/>
      <c r="F214" s="11"/>
      <c r="G214" s="10"/>
      <c r="H214" s="10"/>
      <c r="I214" s="11"/>
      <c r="J214" s="10"/>
      <c r="K214" s="11"/>
    </row>
    <row r="215" spans="1:11">
      <c r="A215" s="10"/>
      <c r="B215" s="10"/>
      <c r="C215" s="10"/>
      <c r="D215" s="10"/>
      <c r="E215" s="10"/>
      <c r="F215" s="11"/>
      <c r="G215" s="10"/>
      <c r="H215" s="10"/>
      <c r="I215" s="11"/>
      <c r="J215" s="10"/>
      <c r="K215" s="11"/>
    </row>
    <row r="216" spans="1:11">
      <c r="A216" s="10"/>
      <c r="B216" s="10"/>
      <c r="C216" s="10"/>
      <c r="D216" s="10"/>
      <c r="E216" s="10"/>
      <c r="F216" s="11"/>
      <c r="G216" s="10"/>
      <c r="H216" s="10"/>
      <c r="I216" s="11"/>
      <c r="J216" s="10"/>
      <c r="K216" s="11"/>
    </row>
    <row r="217" spans="1:11">
      <c r="A217" s="10"/>
      <c r="B217" s="10"/>
      <c r="C217" s="10"/>
      <c r="D217" s="10"/>
      <c r="E217" s="10"/>
      <c r="F217" s="11"/>
      <c r="G217" s="10"/>
      <c r="H217" s="10"/>
      <c r="I217" s="11"/>
      <c r="J217" s="10"/>
      <c r="K217" s="11"/>
    </row>
    <row r="218" spans="1:11">
      <c r="A218" s="10"/>
      <c r="B218" s="10"/>
      <c r="C218" s="10"/>
      <c r="D218" s="10"/>
      <c r="E218" s="10"/>
      <c r="F218" s="11"/>
      <c r="G218" s="10"/>
      <c r="H218" s="10"/>
      <c r="I218" s="11"/>
      <c r="J218" s="10"/>
      <c r="K218" s="11"/>
    </row>
    <row r="219" spans="1:11">
      <c r="A219" s="10"/>
      <c r="B219" s="10"/>
      <c r="C219" s="10"/>
      <c r="D219" s="10"/>
      <c r="E219" s="10"/>
      <c r="F219" s="11"/>
      <c r="G219" s="10"/>
      <c r="H219" s="10"/>
      <c r="I219" s="11"/>
      <c r="J219" s="10"/>
      <c r="K219" s="11"/>
    </row>
    <row r="220" spans="1:11">
      <c r="A220" s="10"/>
      <c r="B220" s="10"/>
      <c r="C220" s="10"/>
      <c r="D220" s="10"/>
      <c r="E220" s="10"/>
      <c r="F220" s="11"/>
      <c r="G220" s="10"/>
      <c r="H220" s="10"/>
      <c r="I220" s="11"/>
      <c r="J220" s="10"/>
      <c r="K220" s="11"/>
    </row>
    <row r="221" spans="1:11">
      <c r="A221" s="10"/>
      <c r="B221" s="10"/>
      <c r="C221" s="10"/>
      <c r="D221" s="10"/>
      <c r="E221" s="10"/>
      <c r="F221" s="11"/>
      <c r="G221" s="10"/>
      <c r="H221" s="10"/>
      <c r="I221" s="11"/>
      <c r="J221" s="10"/>
      <c r="K221" s="11"/>
    </row>
    <row r="222" spans="1:11">
      <c r="A222" s="10"/>
      <c r="B222" s="10"/>
      <c r="C222" s="10"/>
      <c r="D222" s="10"/>
      <c r="E222" s="10"/>
      <c r="F222" s="11"/>
      <c r="G222" s="10"/>
      <c r="H222" s="10"/>
      <c r="I222" s="11"/>
      <c r="J222" s="10"/>
      <c r="K222" s="11"/>
    </row>
    <row r="223" spans="1:11">
      <c r="A223" s="10"/>
      <c r="B223" s="10"/>
      <c r="C223" s="10"/>
      <c r="D223" s="10"/>
      <c r="E223" s="10"/>
      <c r="F223" s="11"/>
      <c r="G223" s="10"/>
      <c r="H223" s="10"/>
      <c r="I223" s="11"/>
      <c r="J223" s="10"/>
      <c r="K223" s="11"/>
    </row>
    <row r="224" spans="1:11">
      <c r="A224" s="10"/>
      <c r="B224" s="10"/>
      <c r="C224" s="10"/>
      <c r="D224" s="10"/>
      <c r="E224" s="10"/>
      <c r="F224" s="11"/>
      <c r="G224" s="10"/>
      <c r="H224" s="10"/>
      <c r="I224" s="11"/>
      <c r="J224" s="10"/>
      <c r="K224" s="11"/>
    </row>
    <row r="225" spans="1:11">
      <c r="A225" s="10"/>
      <c r="B225" s="10"/>
      <c r="C225" s="10"/>
      <c r="D225" s="10"/>
      <c r="E225" s="10"/>
      <c r="F225" s="11"/>
      <c r="G225" s="10"/>
      <c r="H225" s="10"/>
      <c r="I225" s="11"/>
      <c r="J225" s="10"/>
      <c r="K225" s="11"/>
    </row>
    <row r="226" spans="1:11">
      <c r="A226" s="10"/>
      <c r="B226" s="10"/>
      <c r="C226" s="10"/>
      <c r="D226" s="10"/>
      <c r="E226" s="10"/>
      <c r="F226" s="11"/>
      <c r="G226" s="10"/>
      <c r="H226" s="10"/>
      <c r="I226" s="11"/>
      <c r="J226" s="10"/>
      <c r="K226" s="11"/>
    </row>
    <row r="227" spans="1:11">
      <c r="A227" s="10"/>
      <c r="B227" s="10"/>
      <c r="C227" s="10"/>
      <c r="D227" s="10"/>
      <c r="E227" s="10"/>
      <c r="F227" s="11"/>
      <c r="G227" s="10"/>
      <c r="H227" s="10"/>
      <c r="I227" s="11"/>
      <c r="J227" s="10"/>
      <c r="K227" s="11"/>
    </row>
    <row r="228" spans="1:11">
      <c r="A228" s="10"/>
      <c r="B228" s="10"/>
      <c r="C228" s="10"/>
      <c r="D228" s="10"/>
      <c r="E228" s="10"/>
      <c r="F228" s="11"/>
      <c r="G228" s="10"/>
      <c r="H228" s="10"/>
      <c r="I228" s="11"/>
      <c r="J228" s="10"/>
      <c r="K228" s="11"/>
    </row>
    <row r="229" spans="1:11">
      <c r="A229" s="10"/>
      <c r="B229" s="10"/>
      <c r="C229" s="10"/>
      <c r="D229" s="10"/>
      <c r="E229" s="10"/>
      <c r="F229" s="11"/>
      <c r="G229" s="10"/>
      <c r="H229" s="10"/>
      <c r="I229" s="11"/>
      <c r="J229" s="10"/>
      <c r="K229" s="11"/>
    </row>
    <row r="230" spans="1:11">
      <c r="A230" s="10"/>
      <c r="B230" s="10"/>
      <c r="C230" s="10"/>
      <c r="D230" s="10"/>
      <c r="E230" s="10"/>
      <c r="F230" s="11"/>
      <c r="G230" s="10"/>
      <c r="H230" s="10"/>
      <c r="I230" s="11"/>
      <c r="J230" s="10"/>
      <c r="K230" s="11"/>
    </row>
    <row r="231" spans="1:11">
      <c r="A231" s="10"/>
      <c r="B231" s="10"/>
      <c r="C231" s="10"/>
      <c r="D231" s="10"/>
      <c r="E231" s="10"/>
      <c r="F231" s="11"/>
      <c r="G231" s="10"/>
      <c r="H231" s="10"/>
      <c r="I231" s="11"/>
      <c r="J231" s="10"/>
      <c r="K231" s="11"/>
    </row>
    <row r="232" spans="1:11">
      <c r="A232" s="10"/>
      <c r="B232" s="10"/>
      <c r="C232" s="10"/>
      <c r="D232" s="10"/>
      <c r="E232" s="10"/>
      <c r="F232" s="11"/>
      <c r="G232" s="10"/>
      <c r="H232" s="10"/>
      <c r="I232" s="11"/>
      <c r="J232" s="10"/>
      <c r="K232" s="11"/>
    </row>
    <row r="233" spans="1:11">
      <c r="A233" s="10"/>
      <c r="B233" s="10"/>
      <c r="C233" s="10"/>
      <c r="D233" s="10"/>
      <c r="E233" s="10"/>
      <c r="F233" s="11"/>
      <c r="G233" s="10"/>
      <c r="H233" s="10"/>
      <c r="I233" s="11"/>
      <c r="J233" s="10"/>
      <c r="K233" s="11"/>
    </row>
    <row r="234" spans="1:11">
      <c r="A234" s="10"/>
      <c r="B234" s="10"/>
      <c r="C234" s="10"/>
      <c r="D234" s="10"/>
      <c r="E234" s="10"/>
      <c r="F234" s="11"/>
      <c r="G234" s="10"/>
      <c r="H234" s="10"/>
      <c r="I234" s="11"/>
      <c r="J234" s="10"/>
      <c r="K234" s="11"/>
    </row>
    <row r="235" spans="1:11">
      <c r="A235" s="10"/>
      <c r="B235" s="10"/>
      <c r="C235" s="10"/>
      <c r="D235" s="10"/>
      <c r="E235" s="10"/>
      <c r="F235" s="11"/>
      <c r="G235" s="10"/>
      <c r="H235" s="10"/>
      <c r="I235" s="11"/>
      <c r="J235" s="10"/>
      <c r="K235" s="11"/>
    </row>
    <row r="236" spans="1:11">
      <c r="A236" s="10"/>
      <c r="B236" s="10"/>
      <c r="C236" s="10"/>
      <c r="D236" s="10"/>
      <c r="E236" s="10"/>
      <c r="F236" s="11"/>
      <c r="G236" s="10"/>
      <c r="H236" s="10"/>
      <c r="I236" s="11"/>
      <c r="J236" s="10"/>
      <c r="K236" s="11"/>
    </row>
    <row r="237" spans="1:11">
      <c r="A237" s="10"/>
      <c r="B237" s="10"/>
      <c r="C237" s="10"/>
      <c r="D237" s="10"/>
      <c r="E237" s="10"/>
      <c r="F237" s="11"/>
      <c r="G237" s="10"/>
      <c r="H237" s="10"/>
      <c r="I237" s="11"/>
      <c r="J237" s="10"/>
      <c r="K237" s="11"/>
    </row>
    <row r="238" spans="1:11">
      <c r="A238" s="10"/>
      <c r="B238" s="10"/>
      <c r="C238" s="10"/>
      <c r="D238" s="10"/>
      <c r="E238" s="10"/>
      <c r="F238" s="11"/>
      <c r="G238" s="10"/>
      <c r="H238" s="10"/>
      <c r="I238" s="11"/>
      <c r="J238" s="10"/>
      <c r="K238" s="11"/>
    </row>
    <row r="239" spans="1:11">
      <c r="A239" s="10"/>
      <c r="B239" s="10"/>
      <c r="C239" s="10"/>
      <c r="D239" s="10"/>
      <c r="E239" s="10"/>
      <c r="F239" s="11"/>
      <c r="G239" s="10"/>
      <c r="H239" s="10"/>
      <c r="I239" s="11"/>
      <c r="J239" s="10"/>
      <c r="K239" s="11"/>
    </row>
    <row r="240" spans="1:11">
      <c r="A240" s="10"/>
      <c r="B240" s="10"/>
      <c r="C240" s="10"/>
      <c r="D240" s="10"/>
      <c r="E240" s="10"/>
      <c r="F240" s="11"/>
      <c r="G240" s="10"/>
      <c r="H240" s="10"/>
      <c r="I240" s="11"/>
      <c r="J240" s="10"/>
      <c r="K240" s="11"/>
    </row>
    <row r="241" spans="1:11">
      <c r="A241" s="10"/>
      <c r="B241" s="10"/>
      <c r="C241" s="10"/>
      <c r="D241" s="10"/>
      <c r="E241" s="10"/>
      <c r="F241" s="11"/>
      <c r="G241" s="10"/>
      <c r="H241" s="10"/>
      <c r="I241" s="11"/>
      <c r="J241" s="10"/>
      <c r="K241" s="11"/>
    </row>
    <row r="242" spans="1:11">
      <c r="A242" s="10"/>
      <c r="B242" s="10"/>
      <c r="C242" s="10"/>
      <c r="D242" s="10"/>
      <c r="E242" s="10"/>
      <c r="F242" s="11"/>
      <c r="G242" s="10"/>
      <c r="H242" s="10"/>
      <c r="I242" s="11"/>
      <c r="J242" s="10"/>
      <c r="K242" s="11"/>
    </row>
    <row r="243" spans="1:11">
      <c r="A243" s="10"/>
      <c r="B243" s="10"/>
      <c r="C243" s="10"/>
      <c r="D243" s="10"/>
      <c r="E243" s="10"/>
      <c r="F243" s="11"/>
      <c r="G243" s="10"/>
      <c r="H243" s="10"/>
      <c r="I243" s="11"/>
      <c r="J243" s="10"/>
      <c r="K243" s="11"/>
    </row>
    <row r="244" spans="1:11">
      <c r="A244" s="10"/>
      <c r="B244" s="10"/>
      <c r="C244" s="10"/>
      <c r="D244" s="10"/>
      <c r="E244" s="10"/>
      <c r="F244" s="11"/>
      <c r="G244" s="10"/>
      <c r="H244" s="10"/>
      <c r="I244" s="11"/>
      <c r="J244" s="10"/>
      <c r="K244" s="11"/>
    </row>
    <row r="245" spans="1:11">
      <c r="A245" s="10"/>
      <c r="B245" s="10"/>
      <c r="C245" s="10"/>
      <c r="D245" s="10"/>
      <c r="E245" s="10"/>
      <c r="F245" s="11"/>
      <c r="G245" s="10"/>
      <c r="H245" s="10"/>
      <c r="I245" s="11"/>
      <c r="J245" s="10"/>
      <c r="K245" s="11"/>
    </row>
    <row r="246" spans="1:11">
      <c r="A246" s="10"/>
      <c r="B246" s="10"/>
      <c r="C246" s="10"/>
      <c r="D246" s="10"/>
      <c r="E246" s="10"/>
      <c r="F246" s="11"/>
      <c r="G246" s="10"/>
      <c r="H246" s="10"/>
      <c r="I246" s="11"/>
      <c r="J246" s="10"/>
      <c r="K246" s="11"/>
    </row>
    <row r="247" spans="1:11">
      <c r="A247" s="10"/>
      <c r="B247" s="10"/>
      <c r="C247" s="10"/>
      <c r="D247" s="10"/>
      <c r="E247" s="10"/>
      <c r="F247" s="11"/>
      <c r="G247" s="10"/>
      <c r="H247" s="10"/>
      <c r="I247" s="11"/>
      <c r="J247" s="10"/>
      <c r="K247" s="11"/>
    </row>
    <row r="248" spans="1:11">
      <c r="A248" s="10"/>
      <c r="B248" s="10"/>
      <c r="C248" s="10"/>
      <c r="D248" s="10"/>
      <c r="E248" s="10"/>
      <c r="F248" s="11"/>
      <c r="G248" s="10"/>
      <c r="H248" s="10"/>
      <c r="I248" s="11"/>
      <c r="J248" s="10"/>
      <c r="K248" s="11"/>
    </row>
    <row r="249" spans="1:11">
      <c r="A249" s="10"/>
      <c r="B249" s="10"/>
      <c r="C249" s="10"/>
      <c r="D249" s="10"/>
      <c r="E249" s="10"/>
      <c r="F249" s="11"/>
      <c r="G249" s="10"/>
      <c r="H249" s="10"/>
      <c r="I249" s="11"/>
      <c r="J249" s="10"/>
      <c r="K249" s="11"/>
    </row>
    <row r="250" spans="1:11">
      <c r="A250" s="10"/>
      <c r="B250" s="10"/>
      <c r="C250" s="10"/>
      <c r="D250" s="10"/>
      <c r="E250" s="10"/>
      <c r="F250" s="11"/>
      <c r="G250" s="10"/>
      <c r="H250" s="10"/>
      <c r="I250" s="11"/>
      <c r="J250" s="10"/>
      <c r="K250" s="11"/>
    </row>
  </sheetData>
  <mergeCells count="2">
    <mergeCell ref="A2:K2"/>
    <mergeCell ref="A1:K1"/>
  </mergeCells>
  <conditionalFormatting sqref="B4:B250">
    <cfRule type="expression" dxfId="4" priority="1">
      <formula>LEN($B4)=0</formula>
    </cfRule>
  </conditionalFormatting>
  <dataValidations count="5">
    <dataValidation type="list" allowBlank="1" sqref="B4:B250" xr:uid="{00000000-0002-0000-1100-000000000000}">
      <formula1>TechIDs</formula1>
    </dataValidation>
    <dataValidation type="list" allowBlank="1" sqref="D4:D250" xr:uid="{00000000-0002-0000-1100-000001000000}">
      <formula1>Geografie</formula1>
    </dataValidation>
    <dataValidation type="list" allowBlank="1" sqref="E4:E250" xr:uid="{00000000-0002-0000-1100-000002000000}">
      <formula1>TipiPolicy</formula1>
    </dataValidation>
    <dataValidation type="list" allowBlank="1" sqref="G4:G250" xr:uid="{00000000-0002-0000-1100-000003000000}">
      <formula1>StatiPolicy</formula1>
    </dataValidation>
    <dataValidation type="list" allowBlank="1" sqref="J4:J250" xr:uid="{00000000-0002-0000-1100-000004000000}">
      <formula1>SourceIDs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F766E"/>
  </sheetPr>
  <dimension ref="A1:K250"/>
  <sheetViews>
    <sheetView showGridLines="0" workbookViewId="0">
      <selection activeCell="J7" sqref="J7"/>
    </sheetView>
  </sheetViews>
  <sheetFormatPr defaultRowHeight="14.45"/>
  <cols>
    <col min="1" max="1" width="14" customWidth="1"/>
    <col min="2" max="2" width="10" customWidth="1"/>
    <col min="3" max="3" width="22" customWidth="1"/>
    <col min="4" max="4" width="16" customWidth="1"/>
    <col min="5" max="6" width="18" customWidth="1"/>
    <col min="7" max="7" width="34" customWidth="1"/>
    <col min="8" max="8" width="16" customWidth="1"/>
    <col min="9" max="9" width="28" customWidth="1"/>
    <col min="10" max="10" width="12" customWidth="1"/>
    <col min="11" max="11" width="24" customWidth="1"/>
  </cols>
  <sheetData>
    <row r="1" spans="1:11" ht="24" customHeight="1">
      <c r="A1" s="28" t="s">
        <v>3014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36" customHeight="1">
      <c r="A2" s="29" t="s">
        <v>3015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27.95" customHeight="1">
      <c r="A3" s="9" t="s">
        <v>203</v>
      </c>
      <c r="B3" s="9" t="s">
        <v>64</v>
      </c>
      <c r="C3" s="9" t="s">
        <v>23</v>
      </c>
      <c r="D3" s="9" t="s">
        <v>199</v>
      </c>
      <c r="E3" s="9" t="s">
        <v>3016</v>
      </c>
      <c r="F3" s="9" t="s">
        <v>3017</v>
      </c>
      <c r="G3" s="9" t="s">
        <v>2532</v>
      </c>
      <c r="H3" s="9" t="s">
        <v>3018</v>
      </c>
      <c r="I3" s="9" t="s">
        <v>3019</v>
      </c>
      <c r="J3" s="9" t="s">
        <v>1061</v>
      </c>
      <c r="K3" s="9" t="s">
        <v>1062</v>
      </c>
    </row>
    <row r="4" spans="1:11" ht="57.95" customHeight="1">
      <c r="A4" s="10" t="s">
        <v>3020</v>
      </c>
      <c r="B4" s="10" t="s">
        <v>117</v>
      </c>
      <c r="C4" s="10" t="s">
        <v>118</v>
      </c>
      <c r="D4" s="10"/>
      <c r="E4" s="10" t="s">
        <v>287</v>
      </c>
      <c r="F4" s="10" t="s">
        <v>3021</v>
      </c>
      <c r="G4" s="11" t="s">
        <v>3022</v>
      </c>
      <c r="H4" s="10" t="s">
        <v>110</v>
      </c>
      <c r="I4" s="11" t="s">
        <v>3023</v>
      </c>
      <c r="J4" s="10" t="s">
        <v>3024</v>
      </c>
      <c r="K4" s="11" t="s">
        <v>3025</v>
      </c>
    </row>
    <row r="5" spans="1:11" ht="57.95" customHeight="1">
      <c r="A5" s="10" t="s">
        <v>3026</v>
      </c>
      <c r="B5" s="10" t="s">
        <v>117</v>
      </c>
      <c r="C5" s="10" t="s">
        <v>118</v>
      </c>
      <c r="D5" s="10" t="s">
        <v>200</v>
      </c>
      <c r="E5" s="10" t="s">
        <v>324</v>
      </c>
      <c r="F5" s="10" t="s">
        <v>3027</v>
      </c>
      <c r="G5" s="11" t="s">
        <v>3028</v>
      </c>
      <c r="H5" s="10" t="s">
        <v>110</v>
      </c>
      <c r="I5" s="11" t="s">
        <v>3029</v>
      </c>
      <c r="J5" s="10" t="s">
        <v>3030</v>
      </c>
      <c r="K5" s="11" t="s">
        <v>3031</v>
      </c>
    </row>
    <row r="6" spans="1:11" ht="43.5" customHeight="1">
      <c r="A6" s="10" t="s">
        <v>3032</v>
      </c>
      <c r="B6" s="10" t="s">
        <v>117</v>
      </c>
      <c r="C6" s="10" t="s">
        <v>118</v>
      </c>
      <c r="D6" s="10" t="s">
        <v>1073</v>
      </c>
      <c r="E6" s="10" t="s">
        <v>308</v>
      </c>
      <c r="F6" s="10" t="s">
        <v>3033</v>
      </c>
      <c r="G6" s="11" t="s">
        <v>3034</v>
      </c>
      <c r="H6" s="10" t="s">
        <v>110</v>
      </c>
      <c r="I6" s="11" t="s">
        <v>3035</v>
      </c>
      <c r="J6" s="10" t="s">
        <v>3036</v>
      </c>
      <c r="K6" s="11" t="s">
        <v>3037</v>
      </c>
    </row>
    <row r="7" spans="1:11" ht="43.5" customHeight="1">
      <c r="A7" s="10" t="s">
        <v>3038</v>
      </c>
      <c r="B7" s="10" t="s">
        <v>117</v>
      </c>
      <c r="C7" s="10" t="s">
        <v>118</v>
      </c>
      <c r="D7" s="10" t="s">
        <v>200</v>
      </c>
      <c r="E7" s="10" t="s">
        <v>262</v>
      </c>
      <c r="F7" s="10" t="s">
        <v>3039</v>
      </c>
      <c r="G7" s="11" t="s">
        <v>3040</v>
      </c>
      <c r="H7" s="10" t="s">
        <v>3041</v>
      </c>
      <c r="I7" s="11" t="s">
        <v>3042</v>
      </c>
      <c r="J7" s="10" t="s">
        <v>3043</v>
      </c>
      <c r="K7" s="11" t="s">
        <v>3044</v>
      </c>
    </row>
    <row r="8" spans="1:11" ht="43.5" customHeight="1">
      <c r="A8" s="10" t="s">
        <v>3045</v>
      </c>
      <c r="B8" s="10" t="s">
        <v>117</v>
      </c>
      <c r="C8" s="10" t="s">
        <v>118</v>
      </c>
      <c r="D8" s="10" t="s">
        <v>1103</v>
      </c>
      <c r="E8" s="10" t="s">
        <v>239</v>
      </c>
      <c r="F8" s="10" t="s">
        <v>3046</v>
      </c>
      <c r="G8" s="11" t="s">
        <v>3047</v>
      </c>
      <c r="H8" s="10" t="s">
        <v>2228</v>
      </c>
      <c r="I8" s="11" t="s">
        <v>3048</v>
      </c>
      <c r="J8" s="10" t="s">
        <v>451</v>
      </c>
      <c r="K8" s="11" t="s">
        <v>3049</v>
      </c>
    </row>
    <row r="9" spans="1:11" ht="43.5" customHeight="1">
      <c r="A9" s="10" t="s">
        <v>3050</v>
      </c>
      <c r="B9" s="10" t="s">
        <v>117</v>
      </c>
      <c r="C9" s="10" t="s">
        <v>118</v>
      </c>
      <c r="D9" s="10" t="s">
        <v>1110</v>
      </c>
      <c r="E9" s="10" t="s">
        <v>335</v>
      </c>
      <c r="F9" s="10" t="s">
        <v>3051</v>
      </c>
      <c r="G9" s="11" t="s">
        <v>3052</v>
      </c>
      <c r="H9" s="10" t="s">
        <v>93</v>
      </c>
      <c r="I9" s="11" t="s">
        <v>3053</v>
      </c>
      <c r="J9" s="10" t="s">
        <v>1587</v>
      </c>
      <c r="K9" s="11" t="s">
        <v>3054</v>
      </c>
    </row>
    <row r="10" spans="1:11" ht="57.95" customHeight="1">
      <c r="A10" s="10" t="s">
        <v>3055</v>
      </c>
      <c r="B10" s="10" t="s">
        <v>131</v>
      </c>
      <c r="C10" s="10" t="s">
        <v>132</v>
      </c>
      <c r="D10" s="10"/>
      <c r="E10" s="10" t="s">
        <v>287</v>
      </c>
      <c r="F10" s="10" t="s">
        <v>3056</v>
      </c>
      <c r="G10" s="11" t="s">
        <v>3057</v>
      </c>
      <c r="H10" s="10" t="s">
        <v>110</v>
      </c>
      <c r="I10" s="11" t="s">
        <v>3058</v>
      </c>
      <c r="J10" s="10" t="s">
        <v>3059</v>
      </c>
      <c r="K10" s="11" t="s">
        <v>3060</v>
      </c>
    </row>
    <row r="11" spans="1:11" ht="57.95" customHeight="1">
      <c r="A11" s="10" t="s">
        <v>3061</v>
      </c>
      <c r="B11" s="10" t="s">
        <v>131</v>
      </c>
      <c r="C11" s="10" t="s">
        <v>132</v>
      </c>
      <c r="D11" s="10" t="s">
        <v>1180</v>
      </c>
      <c r="E11" s="10" t="s">
        <v>308</v>
      </c>
      <c r="F11" s="10" t="s">
        <v>3062</v>
      </c>
      <c r="G11" s="11" t="s">
        <v>3063</v>
      </c>
      <c r="H11" s="10" t="s">
        <v>110</v>
      </c>
      <c r="I11" s="11" t="s">
        <v>3064</v>
      </c>
      <c r="J11" s="10" t="s">
        <v>1615</v>
      </c>
      <c r="K11" s="11" t="s">
        <v>3037</v>
      </c>
    </row>
    <row r="12" spans="1:11" ht="43.5" customHeight="1">
      <c r="A12" s="10" t="s">
        <v>3065</v>
      </c>
      <c r="B12" s="10" t="s">
        <v>131</v>
      </c>
      <c r="C12" s="10" t="s">
        <v>132</v>
      </c>
      <c r="D12" s="10" t="s">
        <v>1144</v>
      </c>
      <c r="E12" s="10" t="s">
        <v>324</v>
      </c>
      <c r="F12" s="10" t="s">
        <v>3066</v>
      </c>
      <c r="G12" s="11" t="s">
        <v>3067</v>
      </c>
      <c r="H12" s="10" t="s">
        <v>110</v>
      </c>
      <c r="I12" s="11" t="s">
        <v>3068</v>
      </c>
      <c r="J12" s="10" t="s">
        <v>3069</v>
      </c>
      <c r="K12" s="11" t="s">
        <v>3070</v>
      </c>
    </row>
    <row r="13" spans="1:11" ht="43.5" customHeight="1">
      <c r="A13" s="10" t="s">
        <v>3071</v>
      </c>
      <c r="B13" s="10" t="s">
        <v>131</v>
      </c>
      <c r="C13" s="10" t="s">
        <v>132</v>
      </c>
      <c r="D13" s="10" t="s">
        <v>1168</v>
      </c>
      <c r="E13" s="10" t="s">
        <v>239</v>
      </c>
      <c r="F13" s="10" t="s">
        <v>3072</v>
      </c>
      <c r="G13" s="11" t="s">
        <v>3073</v>
      </c>
      <c r="H13" s="10" t="s">
        <v>3041</v>
      </c>
      <c r="I13" s="11" t="s">
        <v>3074</v>
      </c>
      <c r="J13" s="10" t="s">
        <v>3075</v>
      </c>
      <c r="K13" s="11" t="s">
        <v>3076</v>
      </c>
    </row>
    <row r="14" spans="1:11" ht="43.5" customHeight="1">
      <c r="A14" s="10" t="s">
        <v>3077</v>
      </c>
      <c r="B14" s="10" t="s">
        <v>131</v>
      </c>
      <c r="C14" s="10" t="s">
        <v>132</v>
      </c>
      <c r="D14" s="10"/>
      <c r="E14" s="10" t="s">
        <v>262</v>
      </c>
      <c r="F14" s="10" t="s">
        <v>3078</v>
      </c>
      <c r="G14" s="11" t="s">
        <v>3079</v>
      </c>
      <c r="H14" s="10" t="s">
        <v>2228</v>
      </c>
      <c r="I14" s="11" t="s">
        <v>3080</v>
      </c>
      <c r="J14" s="10" t="s">
        <v>3081</v>
      </c>
      <c r="K14" s="11" t="s">
        <v>3082</v>
      </c>
    </row>
    <row r="15" spans="1:11" ht="43.5" customHeight="1">
      <c r="A15" s="10" t="s">
        <v>3083</v>
      </c>
      <c r="B15" s="10" t="s">
        <v>131</v>
      </c>
      <c r="C15" s="10" t="s">
        <v>132</v>
      </c>
      <c r="D15" s="10" t="s">
        <v>1174</v>
      </c>
      <c r="E15" s="10" t="s">
        <v>239</v>
      </c>
      <c r="F15" s="10" t="s">
        <v>3084</v>
      </c>
      <c r="G15" s="11" t="s">
        <v>3085</v>
      </c>
      <c r="H15" s="10" t="s">
        <v>93</v>
      </c>
      <c r="I15" s="11" t="s">
        <v>3086</v>
      </c>
      <c r="J15" s="10" t="s">
        <v>560</v>
      </c>
      <c r="K15" s="11" t="s">
        <v>3087</v>
      </c>
    </row>
    <row r="16" spans="1:11" ht="57.95" customHeight="1">
      <c r="A16" s="10" t="s">
        <v>3088</v>
      </c>
      <c r="B16" s="10" t="s">
        <v>161</v>
      </c>
      <c r="C16" s="10" t="s">
        <v>162</v>
      </c>
      <c r="D16" s="10"/>
      <c r="E16" s="10" t="s">
        <v>262</v>
      </c>
      <c r="F16" s="10" t="s">
        <v>3089</v>
      </c>
      <c r="G16" s="11" t="s">
        <v>3090</v>
      </c>
      <c r="H16" s="10" t="s">
        <v>110</v>
      </c>
      <c r="I16" s="11" t="s">
        <v>3091</v>
      </c>
      <c r="J16" s="10" t="s">
        <v>3092</v>
      </c>
      <c r="K16" s="11" t="s">
        <v>3060</v>
      </c>
    </row>
    <row r="17" spans="1:11" ht="43.5" customHeight="1">
      <c r="A17" s="10" t="s">
        <v>3093</v>
      </c>
      <c r="B17" s="10" t="s">
        <v>161</v>
      </c>
      <c r="C17" s="10" t="s">
        <v>162</v>
      </c>
      <c r="D17" s="10" t="s">
        <v>1213</v>
      </c>
      <c r="E17" s="10" t="s">
        <v>308</v>
      </c>
      <c r="F17" s="10" t="s">
        <v>3094</v>
      </c>
      <c r="G17" s="11" t="s">
        <v>3095</v>
      </c>
      <c r="H17" s="10" t="s">
        <v>110</v>
      </c>
      <c r="I17" s="11" t="s">
        <v>3096</v>
      </c>
      <c r="J17" s="10" t="s">
        <v>3097</v>
      </c>
      <c r="K17" s="11" t="s">
        <v>3037</v>
      </c>
    </row>
    <row r="18" spans="1:11" ht="57.95" customHeight="1">
      <c r="A18" s="10" t="s">
        <v>3098</v>
      </c>
      <c r="B18" s="10" t="s">
        <v>161</v>
      </c>
      <c r="C18" s="10" t="s">
        <v>162</v>
      </c>
      <c r="D18" s="10"/>
      <c r="E18" s="10" t="s">
        <v>287</v>
      </c>
      <c r="F18" s="10" t="s">
        <v>3099</v>
      </c>
      <c r="G18" s="11" t="s">
        <v>3100</v>
      </c>
      <c r="H18" s="10" t="s">
        <v>110</v>
      </c>
      <c r="I18" s="11" t="s">
        <v>3101</v>
      </c>
      <c r="J18" s="10" t="s">
        <v>2853</v>
      </c>
      <c r="K18" s="11" t="s">
        <v>3102</v>
      </c>
    </row>
    <row r="19" spans="1:11" ht="43.5" customHeight="1">
      <c r="A19" s="10" t="s">
        <v>3103</v>
      </c>
      <c r="B19" s="10" t="s">
        <v>161</v>
      </c>
      <c r="C19" s="10" t="s">
        <v>162</v>
      </c>
      <c r="D19" s="10" t="s">
        <v>1132</v>
      </c>
      <c r="E19" s="10" t="s">
        <v>324</v>
      </c>
      <c r="F19" s="10" t="s">
        <v>3104</v>
      </c>
      <c r="G19" s="11" t="s">
        <v>3105</v>
      </c>
      <c r="H19" s="10" t="s">
        <v>2228</v>
      </c>
      <c r="I19" s="11" t="s">
        <v>3106</v>
      </c>
      <c r="J19" s="10" t="s">
        <v>2424</v>
      </c>
      <c r="K19" s="11" t="s">
        <v>3070</v>
      </c>
    </row>
    <row r="20" spans="1:11" ht="57.95" customHeight="1">
      <c r="A20" s="10" t="s">
        <v>3107</v>
      </c>
      <c r="B20" s="10" t="s">
        <v>161</v>
      </c>
      <c r="C20" s="10" t="s">
        <v>162</v>
      </c>
      <c r="D20" s="10"/>
      <c r="E20" s="10" t="s">
        <v>3108</v>
      </c>
      <c r="F20" s="10" t="s">
        <v>3109</v>
      </c>
      <c r="G20" s="11" t="s">
        <v>3110</v>
      </c>
      <c r="H20" s="10" t="s">
        <v>3041</v>
      </c>
      <c r="I20" s="11" t="s">
        <v>3111</v>
      </c>
      <c r="J20" s="10" t="s">
        <v>3112</v>
      </c>
      <c r="K20" s="11" t="s">
        <v>3113</v>
      </c>
    </row>
    <row r="21" spans="1:11" ht="43.5" customHeight="1">
      <c r="A21" s="10" t="s">
        <v>3114</v>
      </c>
      <c r="B21" s="10" t="s">
        <v>161</v>
      </c>
      <c r="C21" s="10" t="s">
        <v>162</v>
      </c>
      <c r="D21" s="10" t="s">
        <v>1137</v>
      </c>
      <c r="E21" s="10" t="s">
        <v>239</v>
      </c>
      <c r="F21" s="10" t="s">
        <v>3115</v>
      </c>
      <c r="G21" s="11" t="s">
        <v>3116</v>
      </c>
      <c r="H21" s="10" t="s">
        <v>93</v>
      </c>
      <c r="I21" s="11" t="s">
        <v>3117</v>
      </c>
      <c r="J21" s="10" t="s">
        <v>666</v>
      </c>
      <c r="K21" s="11" t="s">
        <v>3049</v>
      </c>
    </row>
    <row r="22" spans="1:11" ht="43.5" customHeight="1">
      <c r="A22" s="10" t="s">
        <v>3118</v>
      </c>
      <c r="B22" s="10" t="s">
        <v>90</v>
      </c>
      <c r="C22" s="10" t="s">
        <v>91</v>
      </c>
      <c r="D22" s="10"/>
      <c r="E22" s="10" t="s">
        <v>287</v>
      </c>
      <c r="F22" s="10" t="s">
        <v>3119</v>
      </c>
      <c r="G22" s="11" t="s">
        <v>3120</v>
      </c>
      <c r="H22" s="10" t="s">
        <v>110</v>
      </c>
      <c r="I22" s="11" t="s">
        <v>3121</v>
      </c>
      <c r="J22" s="10" t="s">
        <v>835</v>
      </c>
      <c r="K22" s="11"/>
    </row>
    <row r="23" spans="1:11" ht="29.1" customHeight="1">
      <c r="A23" s="10" t="s">
        <v>3122</v>
      </c>
      <c r="B23" s="10" t="s">
        <v>90</v>
      </c>
      <c r="C23" s="10" t="s">
        <v>91</v>
      </c>
      <c r="D23" s="10"/>
      <c r="E23" s="10" t="s">
        <v>262</v>
      </c>
      <c r="F23" s="10" t="s">
        <v>3123</v>
      </c>
      <c r="G23" s="11" t="s">
        <v>3124</v>
      </c>
      <c r="H23" s="10" t="s">
        <v>110</v>
      </c>
      <c r="I23" s="11" t="s">
        <v>3125</v>
      </c>
      <c r="J23" s="10" t="s">
        <v>100</v>
      </c>
      <c r="K23" s="11"/>
    </row>
    <row r="24" spans="1:11" ht="43.5" customHeight="1">
      <c r="A24" s="10" t="s">
        <v>3126</v>
      </c>
      <c r="B24" s="10" t="s">
        <v>90</v>
      </c>
      <c r="C24" s="10" t="s">
        <v>91</v>
      </c>
      <c r="D24" s="10"/>
      <c r="E24" s="10" t="s">
        <v>308</v>
      </c>
      <c r="F24" s="10" t="s">
        <v>3127</v>
      </c>
      <c r="G24" s="11" t="s">
        <v>3128</v>
      </c>
      <c r="H24" s="10" t="s">
        <v>93</v>
      </c>
      <c r="I24" s="11" t="s">
        <v>3129</v>
      </c>
      <c r="J24" s="10" t="s">
        <v>769</v>
      </c>
      <c r="K24" s="11"/>
    </row>
    <row r="25" spans="1:11" ht="29.1" customHeight="1">
      <c r="A25" s="10" t="s">
        <v>3130</v>
      </c>
      <c r="B25" s="10" t="s">
        <v>90</v>
      </c>
      <c r="C25" s="10" t="s">
        <v>91</v>
      </c>
      <c r="D25" s="10"/>
      <c r="E25" s="10" t="s">
        <v>239</v>
      </c>
      <c r="F25" s="10" t="s">
        <v>3131</v>
      </c>
      <c r="G25" s="11" t="s">
        <v>3132</v>
      </c>
      <c r="H25" s="10" t="s">
        <v>110</v>
      </c>
      <c r="I25" s="11" t="s">
        <v>3133</v>
      </c>
      <c r="J25" s="10" t="s">
        <v>1000</v>
      </c>
      <c r="K25" s="11"/>
    </row>
    <row r="26" spans="1:11" ht="29.1" customHeight="1">
      <c r="A26" s="10" t="s">
        <v>3134</v>
      </c>
      <c r="B26" s="10" t="s">
        <v>90</v>
      </c>
      <c r="C26" s="10" t="s">
        <v>91</v>
      </c>
      <c r="D26" s="10"/>
      <c r="E26" s="10" t="s">
        <v>335</v>
      </c>
      <c r="F26" s="10" t="s">
        <v>3135</v>
      </c>
      <c r="G26" s="11" t="s">
        <v>3136</v>
      </c>
      <c r="H26" s="10" t="s">
        <v>110</v>
      </c>
      <c r="I26" s="11" t="s">
        <v>3137</v>
      </c>
      <c r="J26" s="10" t="s">
        <v>100</v>
      </c>
      <c r="K26" s="11"/>
    </row>
    <row r="27" spans="1:11" ht="29.1" customHeight="1">
      <c r="A27" s="10" t="s">
        <v>3138</v>
      </c>
      <c r="B27" s="10" t="s">
        <v>90</v>
      </c>
      <c r="C27" s="10" t="s">
        <v>91</v>
      </c>
      <c r="D27" s="10"/>
      <c r="E27" s="10" t="s">
        <v>3108</v>
      </c>
      <c r="F27" s="10" t="s">
        <v>3139</v>
      </c>
      <c r="G27" s="11" t="s">
        <v>3140</v>
      </c>
      <c r="H27" s="10" t="s">
        <v>93</v>
      </c>
      <c r="I27" s="11" t="s">
        <v>3141</v>
      </c>
      <c r="J27" s="10" t="s">
        <v>1005</v>
      </c>
      <c r="K27" s="11"/>
    </row>
    <row r="28" spans="1:11" ht="29.1" customHeight="1">
      <c r="A28" s="10" t="s">
        <v>3142</v>
      </c>
      <c r="B28" s="10" t="s">
        <v>102</v>
      </c>
      <c r="C28" s="10" t="s">
        <v>103</v>
      </c>
      <c r="D28" s="10"/>
      <c r="E28" s="10" t="s">
        <v>287</v>
      </c>
      <c r="F28" s="10" t="s">
        <v>3143</v>
      </c>
      <c r="G28" s="11" t="s">
        <v>3144</v>
      </c>
      <c r="H28" s="10" t="s">
        <v>110</v>
      </c>
      <c r="I28" s="11" t="s">
        <v>3145</v>
      </c>
      <c r="J28" s="10" t="s">
        <v>805</v>
      </c>
      <c r="K28" s="11"/>
    </row>
    <row r="29" spans="1:11" ht="29.1" customHeight="1">
      <c r="A29" s="10" t="s">
        <v>3146</v>
      </c>
      <c r="B29" s="10" t="s">
        <v>102</v>
      </c>
      <c r="C29" s="10" t="s">
        <v>103</v>
      </c>
      <c r="D29" s="10"/>
      <c r="E29" s="10" t="s">
        <v>262</v>
      </c>
      <c r="F29" s="10" t="s">
        <v>3147</v>
      </c>
      <c r="G29" s="11" t="s">
        <v>3148</v>
      </c>
      <c r="H29" s="10" t="s">
        <v>110</v>
      </c>
      <c r="I29" s="11" t="s">
        <v>3149</v>
      </c>
      <c r="J29" s="10" t="s">
        <v>830</v>
      </c>
      <c r="K29" s="11"/>
    </row>
    <row r="30" spans="1:11" ht="29.1" customHeight="1">
      <c r="A30" s="10" t="s">
        <v>3150</v>
      </c>
      <c r="B30" s="10" t="s">
        <v>102</v>
      </c>
      <c r="C30" s="10" t="s">
        <v>103</v>
      </c>
      <c r="D30" s="10"/>
      <c r="E30" s="10" t="s">
        <v>308</v>
      </c>
      <c r="F30" s="10" t="s">
        <v>3151</v>
      </c>
      <c r="G30" s="11" t="s">
        <v>3152</v>
      </c>
      <c r="H30" s="10" t="s">
        <v>93</v>
      </c>
      <c r="I30" s="11" t="s">
        <v>3153</v>
      </c>
      <c r="J30" s="10" t="s">
        <v>107</v>
      </c>
      <c r="K30" s="11"/>
    </row>
    <row r="31" spans="1:11" ht="29.1" customHeight="1">
      <c r="A31" s="10" t="s">
        <v>3154</v>
      </c>
      <c r="B31" s="10" t="s">
        <v>102</v>
      </c>
      <c r="C31" s="10" t="s">
        <v>103</v>
      </c>
      <c r="D31" s="10"/>
      <c r="E31" s="10" t="s">
        <v>3155</v>
      </c>
      <c r="F31" s="10" t="s">
        <v>3156</v>
      </c>
      <c r="G31" s="11" t="s">
        <v>3157</v>
      </c>
      <c r="H31" s="10" t="s">
        <v>110</v>
      </c>
      <c r="I31" s="11" t="s">
        <v>3158</v>
      </c>
      <c r="J31" s="10" t="s">
        <v>988</v>
      </c>
      <c r="K31" s="11"/>
    </row>
    <row r="32" spans="1:11" ht="43.5" customHeight="1">
      <c r="A32" s="10" t="s">
        <v>3159</v>
      </c>
      <c r="B32" s="10" t="s">
        <v>102</v>
      </c>
      <c r="C32" s="10" t="s">
        <v>103</v>
      </c>
      <c r="D32" s="10"/>
      <c r="E32" s="10" t="s">
        <v>239</v>
      </c>
      <c r="F32" s="10" t="s">
        <v>3160</v>
      </c>
      <c r="G32" s="11" t="s">
        <v>3161</v>
      </c>
      <c r="H32" s="10" t="s">
        <v>93</v>
      </c>
      <c r="I32" s="11" t="s">
        <v>3162</v>
      </c>
      <c r="J32" s="10" t="s">
        <v>982</v>
      </c>
      <c r="K32" s="11"/>
    </row>
    <row r="33" spans="1:11" ht="29.1" customHeight="1">
      <c r="A33" s="10" t="s">
        <v>3163</v>
      </c>
      <c r="B33" s="10" t="s">
        <v>102</v>
      </c>
      <c r="C33" s="10" t="s">
        <v>103</v>
      </c>
      <c r="D33" s="10"/>
      <c r="E33" s="10" t="s">
        <v>3108</v>
      </c>
      <c r="F33" s="10" t="s">
        <v>3164</v>
      </c>
      <c r="G33" s="11" t="s">
        <v>3165</v>
      </c>
      <c r="H33" s="10" t="s">
        <v>93</v>
      </c>
      <c r="I33" s="11" t="s">
        <v>3166</v>
      </c>
      <c r="J33" s="10" t="s">
        <v>982</v>
      </c>
      <c r="K33" s="11"/>
    </row>
    <row r="34" spans="1:11" ht="29.1" customHeight="1">
      <c r="A34" s="10" t="s">
        <v>3167</v>
      </c>
      <c r="B34" s="10" t="s">
        <v>108</v>
      </c>
      <c r="C34" s="10" t="s">
        <v>109</v>
      </c>
      <c r="D34" s="10"/>
      <c r="E34" s="10" t="s">
        <v>287</v>
      </c>
      <c r="F34" s="10" t="s">
        <v>3168</v>
      </c>
      <c r="G34" s="11" t="s">
        <v>3169</v>
      </c>
      <c r="H34" s="10" t="s">
        <v>110</v>
      </c>
      <c r="I34" s="11" t="s">
        <v>3170</v>
      </c>
      <c r="J34" s="10" t="s">
        <v>782</v>
      </c>
      <c r="K34" s="11"/>
    </row>
    <row r="35" spans="1:11" ht="29.1" customHeight="1">
      <c r="A35" s="10" t="s">
        <v>3171</v>
      </c>
      <c r="B35" s="10" t="s">
        <v>108</v>
      </c>
      <c r="C35" s="10" t="s">
        <v>109</v>
      </c>
      <c r="D35" s="10"/>
      <c r="E35" s="10" t="s">
        <v>262</v>
      </c>
      <c r="F35" s="10" t="s">
        <v>3172</v>
      </c>
      <c r="G35" s="11" t="s">
        <v>3173</v>
      </c>
      <c r="H35" s="10" t="s">
        <v>110</v>
      </c>
      <c r="I35" s="11" t="s">
        <v>3174</v>
      </c>
      <c r="J35" s="10" t="s">
        <v>825</v>
      </c>
      <c r="K35" s="11"/>
    </row>
    <row r="36" spans="1:11" ht="29.1" customHeight="1">
      <c r="A36" s="10" t="s">
        <v>3175</v>
      </c>
      <c r="B36" s="10" t="s">
        <v>108</v>
      </c>
      <c r="C36" s="10" t="s">
        <v>109</v>
      </c>
      <c r="D36" s="10"/>
      <c r="E36" s="10" t="s">
        <v>308</v>
      </c>
      <c r="F36" s="10" t="s">
        <v>3176</v>
      </c>
      <c r="G36" s="11" t="s">
        <v>3177</v>
      </c>
      <c r="H36" s="10" t="s">
        <v>110</v>
      </c>
      <c r="I36" s="11" t="s">
        <v>3178</v>
      </c>
      <c r="J36" s="10" t="s">
        <v>959</v>
      </c>
      <c r="K36" s="11"/>
    </row>
    <row r="37" spans="1:11" ht="43.5" customHeight="1">
      <c r="A37" s="10" t="s">
        <v>3179</v>
      </c>
      <c r="B37" s="10" t="s">
        <v>108</v>
      </c>
      <c r="C37" s="10" t="s">
        <v>109</v>
      </c>
      <c r="D37" s="10"/>
      <c r="E37" s="10" t="s">
        <v>3155</v>
      </c>
      <c r="F37" s="10" t="s">
        <v>3180</v>
      </c>
      <c r="G37" s="11" t="s">
        <v>3181</v>
      </c>
      <c r="H37" s="10" t="s">
        <v>110</v>
      </c>
      <c r="I37" s="11" t="s">
        <v>3182</v>
      </c>
      <c r="J37" s="10" t="s">
        <v>825</v>
      </c>
      <c r="K37" s="11"/>
    </row>
    <row r="38" spans="1:11" ht="29.1" customHeight="1">
      <c r="A38" s="10" t="s">
        <v>3183</v>
      </c>
      <c r="B38" s="10" t="s">
        <v>108</v>
      </c>
      <c r="C38" s="10" t="s">
        <v>109</v>
      </c>
      <c r="D38" s="10"/>
      <c r="E38" s="10" t="s">
        <v>239</v>
      </c>
      <c r="F38" s="10" t="s">
        <v>3184</v>
      </c>
      <c r="G38" s="11" t="s">
        <v>3185</v>
      </c>
      <c r="H38" s="10" t="s">
        <v>93</v>
      </c>
      <c r="I38" s="11" t="s">
        <v>3186</v>
      </c>
      <c r="J38" s="10" t="s">
        <v>965</v>
      </c>
      <c r="K38" s="11"/>
    </row>
    <row r="39" spans="1:11" ht="43.5" customHeight="1">
      <c r="A39" s="10" t="s">
        <v>3187</v>
      </c>
      <c r="B39" s="10" t="s">
        <v>108</v>
      </c>
      <c r="C39" s="10" t="s">
        <v>109</v>
      </c>
      <c r="D39" s="10"/>
      <c r="E39" s="10" t="s">
        <v>3108</v>
      </c>
      <c r="F39" s="10" t="s">
        <v>3188</v>
      </c>
      <c r="G39" s="11" t="s">
        <v>3189</v>
      </c>
      <c r="H39" s="10" t="s">
        <v>110</v>
      </c>
      <c r="I39" s="11" t="s">
        <v>3190</v>
      </c>
      <c r="J39" s="10" t="s">
        <v>116</v>
      </c>
      <c r="K39" s="11"/>
    </row>
    <row r="40" spans="1:11" ht="43.5" customHeight="1">
      <c r="A40" s="10" t="s">
        <v>3191</v>
      </c>
      <c r="B40" s="10" t="s">
        <v>124</v>
      </c>
      <c r="C40" s="10" t="s">
        <v>125</v>
      </c>
      <c r="D40" s="10"/>
      <c r="E40" s="10" t="s">
        <v>262</v>
      </c>
      <c r="F40" s="10" t="s">
        <v>3192</v>
      </c>
      <c r="G40" s="11" t="s">
        <v>3193</v>
      </c>
      <c r="H40" s="10" t="s">
        <v>110</v>
      </c>
      <c r="I40" s="11" t="s">
        <v>3194</v>
      </c>
      <c r="J40" s="10" t="s">
        <v>130</v>
      </c>
      <c r="K40" s="11"/>
    </row>
    <row r="41" spans="1:11" ht="29.1" customHeight="1">
      <c r="A41" s="10" t="s">
        <v>3195</v>
      </c>
      <c r="B41" s="10" t="s">
        <v>124</v>
      </c>
      <c r="C41" s="10" t="s">
        <v>125</v>
      </c>
      <c r="D41" s="10"/>
      <c r="E41" s="10" t="s">
        <v>1676</v>
      </c>
      <c r="F41" s="10" t="s">
        <v>3196</v>
      </c>
      <c r="G41" s="11" t="s">
        <v>3197</v>
      </c>
      <c r="H41" s="10" t="s">
        <v>110</v>
      </c>
      <c r="I41" s="11" t="s">
        <v>3198</v>
      </c>
      <c r="J41" s="10" t="s">
        <v>704</v>
      </c>
      <c r="K41" s="11"/>
    </row>
    <row r="42" spans="1:11" ht="29.1" customHeight="1">
      <c r="A42" s="10" t="s">
        <v>3199</v>
      </c>
      <c r="B42" s="10" t="s">
        <v>124</v>
      </c>
      <c r="C42" s="10" t="s">
        <v>125</v>
      </c>
      <c r="D42" s="10"/>
      <c r="E42" s="10" t="s">
        <v>308</v>
      </c>
      <c r="F42" s="10" t="s">
        <v>3200</v>
      </c>
      <c r="G42" s="11" t="s">
        <v>3201</v>
      </c>
      <c r="H42" s="10" t="s">
        <v>93</v>
      </c>
      <c r="I42" s="11" t="s">
        <v>3202</v>
      </c>
      <c r="J42" s="10" t="s">
        <v>130</v>
      </c>
      <c r="K42" s="11"/>
    </row>
    <row r="43" spans="1:11" ht="29.1" customHeight="1">
      <c r="A43" s="10" t="s">
        <v>3203</v>
      </c>
      <c r="B43" s="10" t="s">
        <v>124</v>
      </c>
      <c r="C43" s="10" t="s">
        <v>125</v>
      </c>
      <c r="D43" s="10"/>
      <c r="E43" s="10" t="s">
        <v>239</v>
      </c>
      <c r="F43" s="10" t="s">
        <v>3204</v>
      </c>
      <c r="G43" s="11" t="s">
        <v>3205</v>
      </c>
      <c r="H43" s="10" t="s">
        <v>93</v>
      </c>
      <c r="I43" s="11" t="s">
        <v>3206</v>
      </c>
      <c r="J43" s="10" t="s">
        <v>713</v>
      </c>
      <c r="K43" s="11"/>
    </row>
    <row r="44" spans="1:11" ht="43.5" customHeight="1">
      <c r="A44" s="10" t="s">
        <v>3207</v>
      </c>
      <c r="B44" s="10" t="s">
        <v>124</v>
      </c>
      <c r="C44" s="10" t="s">
        <v>125</v>
      </c>
      <c r="D44" s="10"/>
      <c r="E44" s="10" t="s">
        <v>287</v>
      </c>
      <c r="F44" s="10" t="s">
        <v>3208</v>
      </c>
      <c r="G44" s="11" t="s">
        <v>3209</v>
      </c>
      <c r="H44" s="10" t="s">
        <v>93</v>
      </c>
      <c r="I44" s="11" t="s">
        <v>3210</v>
      </c>
      <c r="J44" s="10" t="s">
        <v>729</v>
      </c>
      <c r="K44" s="11"/>
    </row>
    <row r="45" spans="1:11" ht="29.1" customHeight="1">
      <c r="A45" s="10" t="s">
        <v>3211</v>
      </c>
      <c r="B45" s="10" t="s">
        <v>124</v>
      </c>
      <c r="C45" s="10" t="s">
        <v>125</v>
      </c>
      <c r="D45" s="10"/>
      <c r="E45" s="10" t="s">
        <v>3108</v>
      </c>
      <c r="F45" s="10" t="s">
        <v>3212</v>
      </c>
      <c r="G45" s="11" t="s">
        <v>3213</v>
      </c>
      <c r="H45" s="10" t="s">
        <v>110</v>
      </c>
      <c r="I45" s="11" t="s">
        <v>3214</v>
      </c>
      <c r="J45" s="10" t="s">
        <v>704</v>
      </c>
      <c r="K45" s="11"/>
    </row>
    <row r="46" spans="1:11" ht="43.5" customHeight="1">
      <c r="A46" s="10" t="s">
        <v>3215</v>
      </c>
      <c r="B46" s="10" t="s">
        <v>136</v>
      </c>
      <c r="C46" s="10" t="s">
        <v>137</v>
      </c>
      <c r="D46" s="10"/>
      <c r="E46" s="10" t="s">
        <v>287</v>
      </c>
      <c r="F46" s="10" t="s">
        <v>3216</v>
      </c>
      <c r="G46" s="11" t="s">
        <v>3217</v>
      </c>
      <c r="H46" s="10" t="s">
        <v>110</v>
      </c>
      <c r="I46" s="11" t="s">
        <v>3218</v>
      </c>
      <c r="J46" s="10" t="s">
        <v>142</v>
      </c>
      <c r="K46" s="11"/>
    </row>
    <row r="47" spans="1:11" ht="43.5" customHeight="1">
      <c r="A47" s="10" t="s">
        <v>3219</v>
      </c>
      <c r="B47" s="10" t="s">
        <v>136</v>
      </c>
      <c r="C47" s="10" t="s">
        <v>137</v>
      </c>
      <c r="D47" s="10"/>
      <c r="E47" s="10" t="s">
        <v>3155</v>
      </c>
      <c r="F47" s="10" t="s">
        <v>3220</v>
      </c>
      <c r="G47" s="11" t="s">
        <v>3221</v>
      </c>
      <c r="H47" s="10" t="s">
        <v>110</v>
      </c>
      <c r="I47" s="11" t="s">
        <v>3222</v>
      </c>
      <c r="J47" s="10" t="s">
        <v>142</v>
      </c>
      <c r="K47" s="11"/>
    </row>
    <row r="48" spans="1:11" ht="29.1" customHeight="1">
      <c r="A48" s="10" t="s">
        <v>3223</v>
      </c>
      <c r="B48" s="10" t="s">
        <v>136</v>
      </c>
      <c r="C48" s="10" t="s">
        <v>137</v>
      </c>
      <c r="D48" s="10"/>
      <c r="E48" s="10" t="s">
        <v>262</v>
      </c>
      <c r="F48" s="10" t="s">
        <v>3224</v>
      </c>
      <c r="G48" s="11" t="s">
        <v>3225</v>
      </c>
      <c r="H48" s="10" t="s">
        <v>93</v>
      </c>
      <c r="I48" s="11" t="s">
        <v>3226</v>
      </c>
      <c r="J48" s="10" t="s">
        <v>738</v>
      </c>
      <c r="K48" s="11"/>
    </row>
    <row r="49" spans="1:11" ht="29.1" customHeight="1">
      <c r="A49" s="10" t="s">
        <v>3227</v>
      </c>
      <c r="B49" s="10" t="s">
        <v>136</v>
      </c>
      <c r="C49" s="10" t="s">
        <v>137</v>
      </c>
      <c r="D49" s="10"/>
      <c r="E49" s="10" t="s">
        <v>3228</v>
      </c>
      <c r="F49" s="10" t="s">
        <v>3229</v>
      </c>
      <c r="G49" s="11" t="s">
        <v>3230</v>
      </c>
      <c r="H49" s="10" t="s">
        <v>110</v>
      </c>
      <c r="I49" s="11" t="s">
        <v>3231</v>
      </c>
      <c r="J49" s="10" t="s">
        <v>142</v>
      </c>
      <c r="K49" s="11"/>
    </row>
    <row r="50" spans="1:11" ht="29.1" customHeight="1">
      <c r="A50" s="10" t="s">
        <v>3232</v>
      </c>
      <c r="B50" s="10" t="s">
        <v>136</v>
      </c>
      <c r="C50" s="10" t="s">
        <v>137</v>
      </c>
      <c r="D50" s="10"/>
      <c r="E50" s="10" t="s">
        <v>239</v>
      </c>
      <c r="F50" s="10" t="s">
        <v>3233</v>
      </c>
      <c r="G50" s="11" t="s">
        <v>3234</v>
      </c>
      <c r="H50" s="10" t="s">
        <v>93</v>
      </c>
      <c r="I50" s="11" t="s">
        <v>3235</v>
      </c>
      <c r="J50" s="10" t="s">
        <v>738</v>
      </c>
      <c r="K50" s="11"/>
    </row>
    <row r="51" spans="1:11" ht="43.5" customHeight="1">
      <c r="A51" s="10" t="s">
        <v>3236</v>
      </c>
      <c r="B51" s="10" t="s">
        <v>136</v>
      </c>
      <c r="C51" s="10" t="s">
        <v>137</v>
      </c>
      <c r="D51" s="10"/>
      <c r="E51" s="10" t="s">
        <v>3108</v>
      </c>
      <c r="F51" s="10" t="s">
        <v>1334</v>
      </c>
      <c r="G51" s="11" t="s">
        <v>3237</v>
      </c>
      <c r="H51" s="10" t="s">
        <v>110</v>
      </c>
      <c r="I51" s="11" t="s">
        <v>3238</v>
      </c>
      <c r="J51" s="10" t="s">
        <v>913</v>
      </c>
      <c r="K51" s="11"/>
    </row>
    <row r="52" spans="1:11" ht="29.1" customHeight="1">
      <c r="A52" s="10" t="s">
        <v>3239</v>
      </c>
      <c r="B52" s="10" t="s">
        <v>143</v>
      </c>
      <c r="C52" s="10" t="s">
        <v>144</v>
      </c>
      <c r="D52" s="10"/>
      <c r="E52" s="10" t="s">
        <v>324</v>
      </c>
      <c r="F52" s="10" t="s">
        <v>3240</v>
      </c>
      <c r="G52" s="11" t="s">
        <v>3241</v>
      </c>
      <c r="H52" s="10" t="s">
        <v>110</v>
      </c>
      <c r="I52" s="11" t="s">
        <v>3242</v>
      </c>
      <c r="J52" s="10" t="s">
        <v>149</v>
      </c>
      <c r="K52" s="11"/>
    </row>
    <row r="53" spans="1:11" ht="29.1" customHeight="1">
      <c r="A53" s="10" t="s">
        <v>3243</v>
      </c>
      <c r="B53" s="10" t="s">
        <v>143</v>
      </c>
      <c r="C53" s="10" t="s">
        <v>144</v>
      </c>
      <c r="D53" s="10"/>
      <c r="E53" s="10" t="s">
        <v>3155</v>
      </c>
      <c r="F53" s="10" t="s">
        <v>3244</v>
      </c>
      <c r="G53" s="11" t="s">
        <v>3245</v>
      </c>
      <c r="H53" s="10" t="s">
        <v>110</v>
      </c>
      <c r="I53" s="11" t="s">
        <v>3246</v>
      </c>
      <c r="J53" s="10" t="s">
        <v>796</v>
      </c>
      <c r="K53" s="11"/>
    </row>
    <row r="54" spans="1:11" ht="29.1" customHeight="1">
      <c r="A54" s="10" t="s">
        <v>3247</v>
      </c>
      <c r="B54" s="10" t="s">
        <v>143</v>
      </c>
      <c r="C54" s="10" t="s">
        <v>144</v>
      </c>
      <c r="D54" s="10"/>
      <c r="E54" s="10" t="s">
        <v>262</v>
      </c>
      <c r="F54" s="10" t="s">
        <v>3248</v>
      </c>
      <c r="G54" s="11" t="s">
        <v>3249</v>
      </c>
      <c r="H54" s="10" t="s">
        <v>93</v>
      </c>
      <c r="I54" s="11" t="s">
        <v>3250</v>
      </c>
      <c r="J54" s="10" t="s">
        <v>149</v>
      </c>
      <c r="K54" s="11"/>
    </row>
    <row r="55" spans="1:11" ht="29.1" customHeight="1">
      <c r="A55" s="10" t="s">
        <v>3251</v>
      </c>
      <c r="B55" s="10" t="s">
        <v>143</v>
      </c>
      <c r="C55" s="10" t="s">
        <v>144</v>
      </c>
      <c r="D55" s="10"/>
      <c r="E55" s="10" t="s">
        <v>239</v>
      </c>
      <c r="F55" s="10" t="s">
        <v>3252</v>
      </c>
      <c r="G55" s="11" t="s">
        <v>3253</v>
      </c>
      <c r="H55" s="10" t="s">
        <v>93</v>
      </c>
      <c r="I55" s="11" t="s">
        <v>3254</v>
      </c>
      <c r="J55" s="10" t="s">
        <v>800</v>
      </c>
      <c r="K55" s="11"/>
    </row>
    <row r="56" spans="1:11" ht="29.1" customHeight="1">
      <c r="A56" s="10" t="s">
        <v>3255</v>
      </c>
      <c r="B56" s="10" t="s">
        <v>143</v>
      </c>
      <c r="C56" s="10" t="s">
        <v>144</v>
      </c>
      <c r="D56" s="10"/>
      <c r="E56" s="10" t="s">
        <v>287</v>
      </c>
      <c r="F56" s="10" t="s">
        <v>3256</v>
      </c>
      <c r="G56" s="11" t="s">
        <v>3257</v>
      </c>
      <c r="H56" s="10" t="s">
        <v>93</v>
      </c>
      <c r="I56" s="11" t="s">
        <v>3258</v>
      </c>
      <c r="J56" s="10" t="s">
        <v>805</v>
      </c>
      <c r="K56" s="11"/>
    </row>
    <row r="57" spans="1:11" ht="43.5" customHeight="1">
      <c r="A57" s="10" t="s">
        <v>3259</v>
      </c>
      <c r="B57" s="10" t="s">
        <v>143</v>
      </c>
      <c r="C57" s="10" t="s">
        <v>144</v>
      </c>
      <c r="D57" s="10"/>
      <c r="E57" s="10" t="s">
        <v>3108</v>
      </c>
      <c r="F57" s="10" t="s">
        <v>3260</v>
      </c>
      <c r="G57" s="11" t="s">
        <v>3261</v>
      </c>
      <c r="H57" s="10" t="s">
        <v>110</v>
      </c>
      <c r="I57" s="11" t="s">
        <v>3262</v>
      </c>
      <c r="J57" s="10" t="s">
        <v>867</v>
      </c>
      <c r="K57" s="11"/>
    </row>
    <row r="58" spans="1:11" ht="29.1" customHeight="1">
      <c r="A58" s="10" t="s">
        <v>3263</v>
      </c>
      <c r="B58" s="10" t="s">
        <v>150</v>
      </c>
      <c r="C58" s="10" t="s">
        <v>151</v>
      </c>
      <c r="D58" s="10"/>
      <c r="E58" s="10" t="s">
        <v>3264</v>
      </c>
      <c r="F58" s="10" t="s">
        <v>3265</v>
      </c>
      <c r="G58" s="11" t="s">
        <v>3266</v>
      </c>
      <c r="H58" s="10" t="s">
        <v>110</v>
      </c>
      <c r="I58" s="11" t="s">
        <v>3267</v>
      </c>
      <c r="J58" s="10" t="s">
        <v>154</v>
      </c>
      <c r="K58" s="11"/>
    </row>
    <row r="59" spans="1:11" ht="43.5" customHeight="1">
      <c r="A59" s="10" t="s">
        <v>3268</v>
      </c>
      <c r="B59" s="10" t="s">
        <v>150</v>
      </c>
      <c r="C59" s="10" t="s">
        <v>151</v>
      </c>
      <c r="D59" s="10"/>
      <c r="E59" s="10" t="s">
        <v>262</v>
      </c>
      <c r="F59" s="10" t="s">
        <v>3269</v>
      </c>
      <c r="G59" s="11" t="s">
        <v>3270</v>
      </c>
      <c r="H59" s="10" t="s">
        <v>110</v>
      </c>
      <c r="I59" s="11" t="s">
        <v>3271</v>
      </c>
      <c r="J59" s="10" t="s">
        <v>791</v>
      </c>
      <c r="K59" s="11"/>
    </row>
    <row r="60" spans="1:11" ht="43.5" customHeight="1">
      <c r="A60" s="10" t="s">
        <v>3272</v>
      </c>
      <c r="B60" s="10" t="s">
        <v>150</v>
      </c>
      <c r="C60" s="10" t="s">
        <v>151</v>
      </c>
      <c r="D60" s="10"/>
      <c r="E60" s="10" t="s">
        <v>287</v>
      </c>
      <c r="F60" s="10" t="s">
        <v>3273</v>
      </c>
      <c r="G60" s="11" t="s">
        <v>3274</v>
      </c>
      <c r="H60" s="10" t="s">
        <v>93</v>
      </c>
      <c r="I60" s="11" t="s">
        <v>3275</v>
      </c>
      <c r="J60" s="10" t="s">
        <v>154</v>
      </c>
      <c r="K60" s="11"/>
    </row>
    <row r="61" spans="1:11" ht="29.1" customHeight="1">
      <c r="A61" s="10" t="s">
        <v>3276</v>
      </c>
      <c r="B61" s="10" t="s">
        <v>150</v>
      </c>
      <c r="C61" s="10" t="s">
        <v>151</v>
      </c>
      <c r="D61" s="10"/>
      <c r="E61" s="10" t="s">
        <v>3155</v>
      </c>
      <c r="F61" s="10" t="s">
        <v>3277</v>
      </c>
      <c r="G61" s="11" t="s">
        <v>3278</v>
      </c>
      <c r="H61" s="10" t="s">
        <v>93</v>
      </c>
      <c r="I61" s="11" t="s">
        <v>3279</v>
      </c>
      <c r="J61" s="10" t="s">
        <v>154</v>
      </c>
      <c r="K61" s="11"/>
    </row>
    <row r="62" spans="1:11" ht="29.1" customHeight="1">
      <c r="A62" s="10" t="s">
        <v>3280</v>
      </c>
      <c r="B62" s="10" t="s">
        <v>150</v>
      </c>
      <c r="C62" s="10" t="s">
        <v>151</v>
      </c>
      <c r="D62" s="10"/>
      <c r="E62" s="10" t="s">
        <v>239</v>
      </c>
      <c r="F62" s="10" t="s">
        <v>3281</v>
      </c>
      <c r="G62" s="11" t="s">
        <v>3282</v>
      </c>
      <c r="H62" s="10" t="s">
        <v>93</v>
      </c>
      <c r="I62" s="11" t="s">
        <v>3283</v>
      </c>
      <c r="J62" s="10" t="s">
        <v>896</v>
      </c>
      <c r="K62" s="11"/>
    </row>
    <row r="63" spans="1:11" ht="29.1" customHeight="1">
      <c r="A63" s="10" t="s">
        <v>3284</v>
      </c>
      <c r="B63" s="10" t="s">
        <v>150</v>
      </c>
      <c r="C63" s="10" t="s">
        <v>151</v>
      </c>
      <c r="D63" s="10"/>
      <c r="E63" s="10" t="s">
        <v>3108</v>
      </c>
      <c r="F63" s="10" t="s">
        <v>3285</v>
      </c>
      <c r="G63" s="11" t="s">
        <v>3286</v>
      </c>
      <c r="H63" s="10" t="s">
        <v>110</v>
      </c>
      <c r="I63" s="11" t="s">
        <v>3287</v>
      </c>
      <c r="J63" s="10" t="s">
        <v>154</v>
      </c>
      <c r="K63" s="11"/>
    </row>
    <row r="64" spans="1:11" ht="43.5" customHeight="1">
      <c r="A64" s="10" t="s">
        <v>3288</v>
      </c>
      <c r="B64" s="10" t="s">
        <v>155</v>
      </c>
      <c r="C64" s="10" t="s">
        <v>156</v>
      </c>
      <c r="D64" s="10"/>
      <c r="E64" s="10" t="s">
        <v>262</v>
      </c>
      <c r="F64" s="10" t="s">
        <v>3289</v>
      </c>
      <c r="G64" s="11" t="s">
        <v>3290</v>
      </c>
      <c r="H64" s="10" t="s">
        <v>110</v>
      </c>
      <c r="I64" s="11" t="s">
        <v>3291</v>
      </c>
      <c r="J64" s="10" t="s">
        <v>747</v>
      </c>
      <c r="K64" s="11"/>
    </row>
    <row r="65" spans="1:11" ht="29.1" customHeight="1">
      <c r="A65" s="10" t="s">
        <v>3292</v>
      </c>
      <c r="B65" s="10" t="s">
        <v>155</v>
      </c>
      <c r="C65" s="10" t="s">
        <v>156</v>
      </c>
      <c r="D65" s="10"/>
      <c r="E65" s="10" t="s">
        <v>287</v>
      </c>
      <c r="F65" s="10" t="s">
        <v>3293</v>
      </c>
      <c r="G65" s="11" t="s">
        <v>3294</v>
      </c>
      <c r="H65" s="10" t="s">
        <v>110</v>
      </c>
      <c r="I65" s="11" t="s">
        <v>3295</v>
      </c>
      <c r="J65" s="10" t="s">
        <v>759</v>
      </c>
      <c r="K65" s="11"/>
    </row>
    <row r="66" spans="1:11" ht="43.5" customHeight="1">
      <c r="A66" s="10" t="s">
        <v>3296</v>
      </c>
      <c r="B66" s="10" t="s">
        <v>155</v>
      </c>
      <c r="C66" s="10" t="s">
        <v>156</v>
      </c>
      <c r="D66" s="10"/>
      <c r="E66" s="10" t="s">
        <v>335</v>
      </c>
      <c r="F66" s="10" t="s">
        <v>3297</v>
      </c>
      <c r="G66" s="11" t="s">
        <v>3298</v>
      </c>
      <c r="H66" s="10" t="s">
        <v>110</v>
      </c>
      <c r="I66" s="11" t="s">
        <v>3299</v>
      </c>
      <c r="J66" s="10" t="s">
        <v>759</v>
      </c>
      <c r="K66" s="11"/>
    </row>
    <row r="67" spans="1:11" ht="29.1" customHeight="1">
      <c r="A67" s="10" t="s">
        <v>3300</v>
      </c>
      <c r="B67" s="10" t="s">
        <v>155</v>
      </c>
      <c r="C67" s="10" t="s">
        <v>156</v>
      </c>
      <c r="D67" s="10"/>
      <c r="E67" s="10" t="s">
        <v>324</v>
      </c>
      <c r="F67" s="10" t="s">
        <v>3301</v>
      </c>
      <c r="G67" s="11" t="s">
        <v>3302</v>
      </c>
      <c r="H67" s="10" t="s">
        <v>93</v>
      </c>
      <c r="I67" s="11" t="s">
        <v>3303</v>
      </c>
      <c r="J67" s="10" t="s">
        <v>813</v>
      </c>
      <c r="K67" s="11"/>
    </row>
    <row r="68" spans="1:11" ht="29.1" customHeight="1">
      <c r="A68" s="10" t="s">
        <v>3304</v>
      </c>
      <c r="B68" s="10" t="s">
        <v>155</v>
      </c>
      <c r="C68" s="10" t="s">
        <v>156</v>
      </c>
      <c r="D68" s="10"/>
      <c r="E68" s="10" t="s">
        <v>239</v>
      </c>
      <c r="F68" s="10" t="s">
        <v>3305</v>
      </c>
      <c r="G68" s="11" t="s">
        <v>3306</v>
      </c>
      <c r="H68" s="10" t="s">
        <v>93</v>
      </c>
      <c r="I68" s="11" t="s">
        <v>3307</v>
      </c>
      <c r="J68" s="10" t="s">
        <v>819</v>
      </c>
      <c r="K68" s="11"/>
    </row>
    <row r="69" spans="1:11" ht="43.5" customHeight="1">
      <c r="A69" s="10" t="s">
        <v>3308</v>
      </c>
      <c r="B69" s="10" t="s">
        <v>155</v>
      </c>
      <c r="C69" s="10" t="s">
        <v>156</v>
      </c>
      <c r="D69" s="10"/>
      <c r="E69" s="10" t="s">
        <v>3108</v>
      </c>
      <c r="F69" s="10" t="s">
        <v>3309</v>
      </c>
      <c r="G69" s="11" t="s">
        <v>3310</v>
      </c>
      <c r="H69" s="10" t="s">
        <v>110</v>
      </c>
      <c r="I69" s="11" t="s">
        <v>3311</v>
      </c>
      <c r="J69" s="10" t="s">
        <v>160</v>
      </c>
      <c r="K69" s="11"/>
    </row>
    <row r="70" spans="1:11">
      <c r="A70" s="10"/>
      <c r="B70" s="10"/>
      <c r="C70" s="10"/>
      <c r="D70" s="10"/>
      <c r="E70" s="10"/>
      <c r="F70" s="10"/>
      <c r="G70" s="11"/>
      <c r="H70" s="10"/>
      <c r="I70" s="11"/>
      <c r="J70" s="10"/>
      <c r="K70" s="11"/>
    </row>
    <row r="71" spans="1:11">
      <c r="A71" s="10"/>
      <c r="B71" s="10"/>
      <c r="C71" s="10"/>
      <c r="D71" s="10"/>
      <c r="E71" s="10"/>
      <c r="F71" s="10"/>
      <c r="G71" s="11"/>
      <c r="H71" s="10"/>
      <c r="I71" s="11"/>
      <c r="J71" s="10"/>
      <c r="K71" s="11"/>
    </row>
    <row r="72" spans="1:11">
      <c r="A72" s="10"/>
      <c r="B72" s="10"/>
      <c r="C72" s="10"/>
      <c r="D72" s="10"/>
      <c r="E72" s="10"/>
      <c r="F72" s="10"/>
      <c r="G72" s="11"/>
      <c r="H72" s="10"/>
      <c r="I72" s="11"/>
      <c r="J72" s="10"/>
      <c r="K72" s="11"/>
    </row>
    <row r="73" spans="1:11">
      <c r="A73" s="10"/>
      <c r="B73" s="10"/>
      <c r="C73" s="10"/>
      <c r="D73" s="10"/>
      <c r="E73" s="10"/>
      <c r="F73" s="10"/>
      <c r="G73" s="11"/>
      <c r="H73" s="10"/>
      <c r="I73" s="11"/>
      <c r="J73" s="10"/>
      <c r="K73" s="11"/>
    </row>
    <row r="74" spans="1:11">
      <c r="A74" s="10"/>
      <c r="B74" s="10"/>
      <c r="C74" s="10"/>
      <c r="D74" s="10"/>
      <c r="E74" s="10"/>
      <c r="F74" s="10"/>
      <c r="G74" s="11"/>
      <c r="H74" s="10"/>
      <c r="I74" s="11"/>
      <c r="J74" s="10"/>
      <c r="K74" s="11"/>
    </row>
    <row r="75" spans="1:11">
      <c r="A75" s="10"/>
      <c r="B75" s="10"/>
      <c r="C75" s="10"/>
      <c r="D75" s="10"/>
      <c r="E75" s="10"/>
      <c r="F75" s="10"/>
      <c r="G75" s="11"/>
      <c r="H75" s="10"/>
      <c r="I75" s="11"/>
      <c r="J75" s="10"/>
      <c r="K75" s="11"/>
    </row>
    <row r="76" spans="1:11">
      <c r="A76" s="10"/>
      <c r="B76" s="10"/>
      <c r="C76" s="10"/>
      <c r="D76" s="10"/>
      <c r="E76" s="10"/>
      <c r="F76" s="10"/>
      <c r="G76" s="11"/>
      <c r="H76" s="10"/>
      <c r="I76" s="11"/>
      <c r="J76" s="10"/>
      <c r="K76" s="11"/>
    </row>
    <row r="77" spans="1:11">
      <c r="A77" s="10"/>
      <c r="B77" s="10"/>
      <c r="C77" s="10"/>
      <c r="D77" s="10"/>
      <c r="E77" s="10"/>
      <c r="F77" s="10"/>
      <c r="G77" s="11"/>
      <c r="H77" s="10"/>
      <c r="I77" s="11"/>
      <c r="J77" s="10"/>
      <c r="K77" s="11"/>
    </row>
    <row r="78" spans="1:11">
      <c r="A78" s="10"/>
      <c r="B78" s="10"/>
      <c r="C78" s="10"/>
      <c r="D78" s="10"/>
      <c r="E78" s="10"/>
      <c r="F78" s="10"/>
      <c r="G78" s="11"/>
      <c r="H78" s="10"/>
      <c r="I78" s="11"/>
      <c r="J78" s="10"/>
      <c r="K78" s="11"/>
    </row>
    <row r="79" spans="1:11">
      <c r="A79" s="10"/>
      <c r="B79" s="10"/>
      <c r="C79" s="10"/>
      <c r="D79" s="10"/>
      <c r="E79" s="10"/>
      <c r="F79" s="10"/>
      <c r="G79" s="11"/>
      <c r="H79" s="10"/>
      <c r="I79" s="11"/>
      <c r="J79" s="10"/>
      <c r="K79" s="11"/>
    </row>
    <row r="80" spans="1:11">
      <c r="A80" s="10"/>
      <c r="B80" s="10"/>
      <c r="C80" s="10"/>
      <c r="D80" s="10"/>
      <c r="E80" s="10"/>
      <c r="F80" s="10"/>
      <c r="G80" s="11"/>
      <c r="H80" s="10"/>
      <c r="I80" s="11"/>
      <c r="J80" s="10"/>
      <c r="K80" s="11"/>
    </row>
    <row r="81" spans="1:11">
      <c r="A81" s="10"/>
      <c r="B81" s="10"/>
      <c r="C81" s="10"/>
      <c r="D81" s="10"/>
      <c r="E81" s="10"/>
      <c r="F81" s="10"/>
      <c r="G81" s="11"/>
      <c r="H81" s="10"/>
      <c r="I81" s="11"/>
      <c r="J81" s="10"/>
      <c r="K81" s="11"/>
    </row>
    <row r="82" spans="1:11">
      <c r="A82" s="10"/>
      <c r="B82" s="10"/>
      <c r="C82" s="10"/>
      <c r="D82" s="10"/>
      <c r="E82" s="10"/>
      <c r="F82" s="10"/>
      <c r="G82" s="11"/>
      <c r="H82" s="10"/>
      <c r="I82" s="11"/>
      <c r="J82" s="10"/>
      <c r="K82" s="11"/>
    </row>
    <row r="83" spans="1:11">
      <c r="A83" s="10"/>
      <c r="B83" s="10"/>
      <c r="C83" s="10"/>
      <c r="D83" s="10"/>
      <c r="E83" s="10"/>
      <c r="F83" s="10"/>
      <c r="G83" s="11"/>
      <c r="H83" s="10"/>
      <c r="I83" s="11"/>
      <c r="J83" s="10"/>
      <c r="K83" s="11"/>
    </row>
    <row r="84" spans="1:11">
      <c r="A84" s="10"/>
      <c r="B84" s="10"/>
      <c r="C84" s="10"/>
      <c r="D84" s="10"/>
      <c r="E84" s="10"/>
      <c r="F84" s="10"/>
      <c r="G84" s="11"/>
      <c r="H84" s="10"/>
      <c r="I84" s="11"/>
      <c r="J84" s="10"/>
      <c r="K84" s="11"/>
    </row>
    <row r="85" spans="1:11">
      <c r="A85" s="10"/>
      <c r="B85" s="10"/>
      <c r="C85" s="10"/>
      <c r="D85" s="10"/>
      <c r="E85" s="10"/>
      <c r="F85" s="10"/>
      <c r="G85" s="11"/>
      <c r="H85" s="10"/>
      <c r="I85" s="11"/>
      <c r="J85" s="10"/>
      <c r="K85" s="11"/>
    </row>
    <row r="86" spans="1:11">
      <c r="A86" s="10"/>
      <c r="B86" s="10"/>
      <c r="C86" s="10"/>
      <c r="D86" s="10"/>
      <c r="E86" s="10"/>
      <c r="F86" s="10"/>
      <c r="G86" s="11"/>
      <c r="H86" s="10"/>
      <c r="I86" s="11"/>
      <c r="J86" s="10"/>
      <c r="K86" s="11"/>
    </row>
    <row r="87" spans="1:11">
      <c r="A87" s="10"/>
      <c r="B87" s="10"/>
      <c r="C87" s="10"/>
      <c r="D87" s="10"/>
      <c r="E87" s="10"/>
      <c r="F87" s="10"/>
      <c r="G87" s="11"/>
      <c r="H87" s="10"/>
      <c r="I87" s="11"/>
      <c r="J87" s="10"/>
      <c r="K87" s="11"/>
    </row>
    <row r="88" spans="1:11">
      <c r="A88" s="10"/>
      <c r="B88" s="10"/>
      <c r="C88" s="10"/>
      <c r="D88" s="10"/>
      <c r="E88" s="10"/>
      <c r="F88" s="10"/>
      <c r="G88" s="11"/>
      <c r="H88" s="10"/>
      <c r="I88" s="11"/>
      <c r="J88" s="10"/>
      <c r="K88" s="11"/>
    </row>
    <row r="89" spans="1:11">
      <c r="A89" s="10"/>
      <c r="B89" s="10"/>
      <c r="C89" s="10"/>
      <c r="D89" s="10"/>
      <c r="E89" s="10"/>
      <c r="F89" s="10"/>
      <c r="G89" s="11"/>
      <c r="H89" s="10"/>
      <c r="I89" s="11"/>
      <c r="J89" s="10"/>
      <c r="K89" s="11"/>
    </row>
    <row r="90" spans="1:11">
      <c r="A90" s="10"/>
      <c r="B90" s="10"/>
      <c r="C90" s="10"/>
      <c r="D90" s="10"/>
      <c r="E90" s="10"/>
      <c r="F90" s="10"/>
      <c r="G90" s="11"/>
      <c r="H90" s="10"/>
      <c r="I90" s="11"/>
      <c r="J90" s="10"/>
      <c r="K90" s="11"/>
    </row>
    <row r="91" spans="1:11">
      <c r="A91" s="10"/>
      <c r="B91" s="10"/>
      <c r="C91" s="10"/>
      <c r="D91" s="10"/>
      <c r="E91" s="10"/>
      <c r="F91" s="10"/>
      <c r="G91" s="11"/>
      <c r="H91" s="10"/>
      <c r="I91" s="11"/>
      <c r="J91" s="10"/>
      <c r="K91" s="11"/>
    </row>
    <row r="92" spans="1:11">
      <c r="A92" s="10"/>
      <c r="B92" s="10"/>
      <c r="C92" s="10"/>
      <c r="D92" s="10"/>
      <c r="E92" s="10"/>
      <c r="F92" s="10"/>
      <c r="G92" s="11"/>
      <c r="H92" s="10"/>
      <c r="I92" s="11"/>
      <c r="J92" s="10"/>
      <c r="K92" s="11"/>
    </row>
    <row r="93" spans="1:11">
      <c r="A93" s="10"/>
      <c r="B93" s="10"/>
      <c r="C93" s="10"/>
      <c r="D93" s="10"/>
      <c r="E93" s="10"/>
      <c r="F93" s="10"/>
      <c r="G93" s="11"/>
      <c r="H93" s="10"/>
      <c r="I93" s="11"/>
      <c r="J93" s="10"/>
      <c r="K93" s="11"/>
    </row>
    <row r="94" spans="1:11">
      <c r="A94" s="10"/>
      <c r="B94" s="10"/>
      <c r="C94" s="10"/>
      <c r="D94" s="10"/>
      <c r="E94" s="10"/>
      <c r="F94" s="10"/>
      <c r="G94" s="11"/>
      <c r="H94" s="10"/>
      <c r="I94" s="11"/>
      <c r="J94" s="10"/>
      <c r="K94" s="11"/>
    </row>
    <row r="95" spans="1:11">
      <c r="A95" s="10"/>
      <c r="B95" s="10"/>
      <c r="C95" s="10"/>
      <c r="D95" s="10"/>
      <c r="E95" s="10"/>
      <c r="F95" s="10"/>
      <c r="G95" s="11"/>
      <c r="H95" s="10"/>
      <c r="I95" s="11"/>
      <c r="J95" s="10"/>
      <c r="K95" s="11"/>
    </row>
    <row r="96" spans="1:11">
      <c r="A96" s="10"/>
      <c r="B96" s="10"/>
      <c r="C96" s="10"/>
      <c r="D96" s="10"/>
      <c r="E96" s="10"/>
      <c r="F96" s="10"/>
      <c r="G96" s="11"/>
      <c r="H96" s="10"/>
      <c r="I96" s="11"/>
      <c r="J96" s="10"/>
      <c r="K96" s="11"/>
    </row>
    <row r="97" spans="1:11">
      <c r="A97" s="10"/>
      <c r="B97" s="10"/>
      <c r="C97" s="10"/>
      <c r="D97" s="10"/>
      <c r="E97" s="10"/>
      <c r="F97" s="10"/>
      <c r="G97" s="11"/>
      <c r="H97" s="10"/>
      <c r="I97" s="11"/>
      <c r="J97" s="10"/>
      <c r="K97" s="11"/>
    </row>
    <row r="98" spans="1:11">
      <c r="A98" s="10"/>
      <c r="B98" s="10"/>
      <c r="C98" s="10"/>
      <c r="D98" s="10"/>
      <c r="E98" s="10"/>
      <c r="F98" s="10"/>
      <c r="G98" s="11"/>
      <c r="H98" s="10"/>
      <c r="I98" s="11"/>
      <c r="J98" s="10"/>
      <c r="K98" s="11"/>
    </row>
    <row r="99" spans="1:11">
      <c r="A99" s="10"/>
      <c r="B99" s="10"/>
      <c r="C99" s="10"/>
      <c r="D99" s="10"/>
      <c r="E99" s="10"/>
      <c r="F99" s="10"/>
      <c r="G99" s="11"/>
      <c r="H99" s="10"/>
      <c r="I99" s="11"/>
      <c r="J99" s="10"/>
      <c r="K99" s="11"/>
    </row>
    <row r="100" spans="1:11">
      <c r="A100" s="10"/>
      <c r="B100" s="10"/>
      <c r="C100" s="10"/>
      <c r="D100" s="10"/>
      <c r="E100" s="10"/>
      <c r="F100" s="10"/>
      <c r="G100" s="11"/>
      <c r="H100" s="10"/>
      <c r="I100" s="11"/>
      <c r="J100" s="10"/>
      <c r="K100" s="11"/>
    </row>
    <row r="101" spans="1:11">
      <c r="A101" s="10"/>
      <c r="B101" s="10"/>
      <c r="C101" s="10"/>
      <c r="D101" s="10"/>
      <c r="E101" s="10"/>
      <c r="F101" s="10"/>
      <c r="G101" s="11"/>
      <c r="H101" s="10"/>
      <c r="I101" s="11"/>
      <c r="J101" s="10"/>
      <c r="K101" s="11"/>
    </row>
    <row r="102" spans="1:11">
      <c r="A102" s="10"/>
      <c r="B102" s="10"/>
      <c r="C102" s="10"/>
      <c r="D102" s="10"/>
      <c r="E102" s="10"/>
      <c r="F102" s="10"/>
      <c r="G102" s="11"/>
      <c r="H102" s="10"/>
      <c r="I102" s="11"/>
      <c r="J102" s="10"/>
      <c r="K102" s="11"/>
    </row>
    <row r="103" spans="1:11">
      <c r="A103" s="10"/>
      <c r="B103" s="10"/>
      <c r="C103" s="10"/>
      <c r="D103" s="10"/>
      <c r="E103" s="10"/>
      <c r="F103" s="10"/>
      <c r="G103" s="11"/>
      <c r="H103" s="10"/>
      <c r="I103" s="11"/>
      <c r="J103" s="10"/>
      <c r="K103" s="11"/>
    </row>
    <row r="104" spans="1:11">
      <c r="A104" s="10"/>
      <c r="B104" s="10"/>
      <c r="C104" s="10"/>
      <c r="D104" s="10"/>
      <c r="E104" s="10"/>
      <c r="F104" s="10"/>
      <c r="G104" s="11"/>
      <c r="H104" s="10"/>
      <c r="I104" s="11"/>
      <c r="J104" s="10"/>
      <c r="K104" s="11"/>
    </row>
    <row r="105" spans="1:11">
      <c r="A105" s="10"/>
      <c r="B105" s="10"/>
      <c r="C105" s="10"/>
      <c r="D105" s="10"/>
      <c r="E105" s="10"/>
      <c r="F105" s="10"/>
      <c r="G105" s="11"/>
      <c r="H105" s="10"/>
      <c r="I105" s="11"/>
      <c r="J105" s="10"/>
      <c r="K105" s="11"/>
    </row>
    <row r="106" spans="1:11">
      <c r="A106" s="10"/>
      <c r="B106" s="10"/>
      <c r="C106" s="10"/>
      <c r="D106" s="10"/>
      <c r="E106" s="10"/>
      <c r="F106" s="10"/>
      <c r="G106" s="11"/>
      <c r="H106" s="10"/>
      <c r="I106" s="11"/>
      <c r="J106" s="10"/>
      <c r="K106" s="11"/>
    </row>
    <row r="107" spans="1:11">
      <c r="A107" s="10"/>
      <c r="B107" s="10"/>
      <c r="C107" s="10"/>
      <c r="D107" s="10"/>
      <c r="E107" s="10"/>
      <c r="F107" s="10"/>
      <c r="G107" s="11"/>
      <c r="H107" s="10"/>
      <c r="I107" s="11"/>
      <c r="J107" s="10"/>
      <c r="K107" s="11"/>
    </row>
    <row r="108" spans="1:11">
      <c r="A108" s="10"/>
      <c r="B108" s="10"/>
      <c r="C108" s="10"/>
      <c r="D108" s="10"/>
      <c r="E108" s="10"/>
      <c r="F108" s="10"/>
      <c r="G108" s="11"/>
      <c r="H108" s="10"/>
      <c r="I108" s="11"/>
      <c r="J108" s="10"/>
      <c r="K108" s="11"/>
    </row>
    <row r="109" spans="1:11">
      <c r="A109" s="10"/>
      <c r="B109" s="10"/>
      <c r="C109" s="10"/>
      <c r="D109" s="10"/>
      <c r="E109" s="10"/>
      <c r="F109" s="10"/>
      <c r="G109" s="11"/>
      <c r="H109" s="10"/>
      <c r="I109" s="11"/>
      <c r="J109" s="10"/>
      <c r="K109" s="11"/>
    </row>
    <row r="110" spans="1:11">
      <c r="A110" s="10"/>
      <c r="B110" s="10"/>
      <c r="C110" s="10"/>
      <c r="D110" s="10"/>
      <c r="E110" s="10"/>
      <c r="F110" s="10"/>
      <c r="G110" s="11"/>
      <c r="H110" s="10"/>
      <c r="I110" s="11"/>
      <c r="J110" s="10"/>
      <c r="K110" s="11"/>
    </row>
    <row r="111" spans="1:11">
      <c r="A111" s="10"/>
      <c r="B111" s="10"/>
      <c r="C111" s="10"/>
      <c r="D111" s="10"/>
      <c r="E111" s="10"/>
      <c r="F111" s="10"/>
      <c r="G111" s="11"/>
      <c r="H111" s="10"/>
      <c r="I111" s="11"/>
      <c r="J111" s="10"/>
      <c r="K111" s="11"/>
    </row>
    <row r="112" spans="1:11">
      <c r="A112" s="10"/>
      <c r="B112" s="10"/>
      <c r="C112" s="10"/>
      <c r="D112" s="10"/>
      <c r="E112" s="10"/>
      <c r="F112" s="10"/>
      <c r="G112" s="11"/>
      <c r="H112" s="10"/>
      <c r="I112" s="11"/>
      <c r="J112" s="10"/>
      <c r="K112" s="11"/>
    </row>
    <row r="113" spans="1:11">
      <c r="A113" s="10"/>
      <c r="B113" s="10"/>
      <c r="C113" s="10"/>
      <c r="D113" s="10"/>
      <c r="E113" s="10"/>
      <c r="F113" s="10"/>
      <c r="G113" s="11"/>
      <c r="H113" s="10"/>
      <c r="I113" s="11"/>
      <c r="J113" s="10"/>
      <c r="K113" s="11"/>
    </row>
    <row r="114" spans="1:11">
      <c r="A114" s="10"/>
      <c r="B114" s="10"/>
      <c r="C114" s="10"/>
      <c r="D114" s="10"/>
      <c r="E114" s="10"/>
      <c r="F114" s="10"/>
      <c r="G114" s="11"/>
      <c r="H114" s="10"/>
      <c r="I114" s="11"/>
      <c r="J114" s="10"/>
      <c r="K114" s="11"/>
    </row>
    <row r="115" spans="1:11">
      <c r="A115" s="10"/>
      <c r="B115" s="10"/>
      <c r="C115" s="10"/>
      <c r="D115" s="10"/>
      <c r="E115" s="10"/>
      <c r="F115" s="10"/>
      <c r="G115" s="11"/>
      <c r="H115" s="10"/>
      <c r="I115" s="11"/>
      <c r="J115" s="10"/>
      <c r="K115" s="11"/>
    </row>
    <row r="116" spans="1:11">
      <c r="A116" s="10"/>
      <c r="B116" s="10"/>
      <c r="C116" s="10"/>
      <c r="D116" s="10"/>
      <c r="E116" s="10"/>
      <c r="F116" s="10"/>
      <c r="G116" s="11"/>
      <c r="H116" s="10"/>
      <c r="I116" s="11"/>
      <c r="J116" s="10"/>
      <c r="K116" s="11"/>
    </row>
    <row r="117" spans="1:11">
      <c r="A117" s="10"/>
      <c r="B117" s="10"/>
      <c r="C117" s="10"/>
      <c r="D117" s="10"/>
      <c r="E117" s="10"/>
      <c r="F117" s="10"/>
      <c r="G117" s="11"/>
      <c r="H117" s="10"/>
      <c r="I117" s="11"/>
      <c r="J117" s="10"/>
      <c r="K117" s="11"/>
    </row>
    <row r="118" spans="1:11">
      <c r="A118" s="10"/>
      <c r="B118" s="10"/>
      <c r="C118" s="10"/>
      <c r="D118" s="10"/>
      <c r="E118" s="10"/>
      <c r="F118" s="10"/>
      <c r="G118" s="11"/>
      <c r="H118" s="10"/>
      <c r="I118" s="11"/>
      <c r="J118" s="10"/>
      <c r="K118" s="11"/>
    </row>
    <row r="119" spans="1:11">
      <c r="A119" s="10"/>
      <c r="B119" s="10"/>
      <c r="C119" s="10"/>
      <c r="D119" s="10"/>
      <c r="E119" s="10"/>
      <c r="F119" s="10"/>
      <c r="G119" s="11"/>
      <c r="H119" s="10"/>
      <c r="I119" s="11"/>
      <c r="J119" s="10"/>
      <c r="K119" s="11"/>
    </row>
    <row r="120" spans="1:11">
      <c r="A120" s="10"/>
      <c r="B120" s="10"/>
      <c r="C120" s="10"/>
      <c r="D120" s="10"/>
      <c r="E120" s="10"/>
      <c r="F120" s="10"/>
      <c r="G120" s="11"/>
      <c r="H120" s="10"/>
      <c r="I120" s="11"/>
      <c r="J120" s="10"/>
      <c r="K120" s="11"/>
    </row>
    <row r="121" spans="1:11">
      <c r="A121" s="10"/>
      <c r="B121" s="10"/>
      <c r="C121" s="10"/>
      <c r="D121" s="10"/>
      <c r="E121" s="10"/>
      <c r="F121" s="10"/>
      <c r="G121" s="11"/>
      <c r="H121" s="10"/>
      <c r="I121" s="11"/>
      <c r="J121" s="10"/>
      <c r="K121" s="11"/>
    </row>
    <row r="122" spans="1:11">
      <c r="A122" s="10"/>
      <c r="B122" s="10"/>
      <c r="C122" s="10"/>
      <c r="D122" s="10"/>
      <c r="E122" s="10"/>
      <c r="F122" s="10"/>
      <c r="G122" s="11"/>
      <c r="H122" s="10"/>
      <c r="I122" s="11"/>
      <c r="J122" s="10"/>
      <c r="K122" s="11"/>
    </row>
    <row r="123" spans="1:11">
      <c r="A123" s="10"/>
      <c r="B123" s="10"/>
      <c r="C123" s="10"/>
      <c r="D123" s="10"/>
      <c r="E123" s="10"/>
      <c r="F123" s="10"/>
      <c r="G123" s="11"/>
      <c r="H123" s="10"/>
      <c r="I123" s="11"/>
      <c r="J123" s="10"/>
      <c r="K123" s="11"/>
    </row>
    <row r="124" spans="1:11">
      <c r="A124" s="10"/>
      <c r="B124" s="10"/>
      <c r="C124" s="10"/>
      <c r="D124" s="10"/>
      <c r="E124" s="10"/>
      <c r="F124" s="10"/>
      <c r="G124" s="11"/>
      <c r="H124" s="10"/>
      <c r="I124" s="11"/>
      <c r="J124" s="10"/>
      <c r="K124" s="11"/>
    </row>
    <row r="125" spans="1:11">
      <c r="A125" s="10"/>
      <c r="B125" s="10"/>
      <c r="C125" s="10"/>
      <c r="D125" s="10"/>
      <c r="E125" s="10"/>
      <c r="F125" s="10"/>
      <c r="G125" s="11"/>
      <c r="H125" s="10"/>
      <c r="I125" s="11"/>
      <c r="J125" s="10"/>
      <c r="K125" s="11"/>
    </row>
    <row r="126" spans="1:11">
      <c r="A126" s="10"/>
      <c r="B126" s="10"/>
      <c r="C126" s="10"/>
      <c r="D126" s="10"/>
      <c r="E126" s="10"/>
      <c r="F126" s="10"/>
      <c r="G126" s="11"/>
      <c r="H126" s="10"/>
      <c r="I126" s="11"/>
      <c r="J126" s="10"/>
      <c r="K126" s="11"/>
    </row>
    <row r="127" spans="1:11">
      <c r="A127" s="10"/>
      <c r="B127" s="10"/>
      <c r="C127" s="10"/>
      <c r="D127" s="10"/>
      <c r="E127" s="10"/>
      <c r="F127" s="10"/>
      <c r="G127" s="11"/>
      <c r="H127" s="10"/>
      <c r="I127" s="11"/>
      <c r="J127" s="10"/>
      <c r="K127" s="11"/>
    </row>
    <row r="128" spans="1:11">
      <c r="A128" s="10"/>
      <c r="B128" s="10"/>
      <c r="C128" s="10"/>
      <c r="D128" s="10"/>
      <c r="E128" s="10"/>
      <c r="F128" s="10"/>
      <c r="G128" s="11"/>
      <c r="H128" s="10"/>
      <c r="I128" s="11"/>
      <c r="J128" s="10"/>
      <c r="K128" s="11"/>
    </row>
    <row r="129" spans="1:11">
      <c r="A129" s="10"/>
      <c r="B129" s="10"/>
      <c r="C129" s="10"/>
      <c r="D129" s="10"/>
      <c r="E129" s="10"/>
      <c r="F129" s="10"/>
      <c r="G129" s="11"/>
      <c r="H129" s="10"/>
      <c r="I129" s="11"/>
      <c r="J129" s="10"/>
      <c r="K129" s="11"/>
    </row>
    <row r="130" spans="1:11">
      <c r="A130" s="10"/>
      <c r="B130" s="10"/>
      <c r="C130" s="10"/>
      <c r="D130" s="10"/>
      <c r="E130" s="10"/>
      <c r="F130" s="10"/>
      <c r="G130" s="11"/>
      <c r="H130" s="10"/>
      <c r="I130" s="11"/>
      <c r="J130" s="10"/>
      <c r="K130" s="11"/>
    </row>
    <row r="131" spans="1:11">
      <c r="A131" s="10"/>
      <c r="B131" s="10"/>
      <c r="C131" s="10"/>
      <c r="D131" s="10"/>
      <c r="E131" s="10"/>
      <c r="F131" s="10"/>
      <c r="G131" s="11"/>
      <c r="H131" s="10"/>
      <c r="I131" s="11"/>
      <c r="J131" s="10"/>
      <c r="K131" s="11"/>
    </row>
    <row r="132" spans="1:11">
      <c r="A132" s="10"/>
      <c r="B132" s="10"/>
      <c r="C132" s="10"/>
      <c r="D132" s="10"/>
      <c r="E132" s="10"/>
      <c r="F132" s="10"/>
      <c r="G132" s="11"/>
      <c r="H132" s="10"/>
      <c r="I132" s="11"/>
      <c r="J132" s="10"/>
      <c r="K132" s="11"/>
    </row>
    <row r="133" spans="1:11">
      <c r="A133" s="10"/>
      <c r="B133" s="10"/>
      <c r="C133" s="10"/>
      <c r="D133" s="10"/>
      <c r="E133" s="10"/>
      <c r="F133" s="10"/>
      <c r="G133" s="11"/>
      <c r="H133" s="10"/>
      <c r="I133" s="11"/>
      <c r="J133" s="10"/>
      <c r="K133" s="11"/>
    </row>
    <row r="134" spans="1:11">
      <c r="A134" s="10"/>
      <c r="B134" s="10"/>
      <c r="C134" s="10"/>
      <c r="D134" s="10"/>
      <c r="E134" s="10"/>
      <c r="F134" s="10"/>
      <c r="G134" s="11"/>
      <c r="H134" s="10"/>
      <c r="I134" s="11"/>
      <c r="J134" s="10"/>
      <c r="K134" s="11"/>
    </row>
    <row r="135" spans="1:11">
      <c r="A135" s="10"/>
      <c r="B135" s="10"/>
      <c r="C135" s="10"/>
      <c r="D135" s="10"/>
      <c r="E135" s="10"/>
      <c r="F135" s="10"/>
      <c r="G135" s="11"/>
      <c r="H135" s="10"/>
      <c r="I135" s="11"/>
      <c r="J135" s="10"/>
      <c r="K135" s="11"/>
    </row>
    <row r="136" spans="1:11">
      <c r="A136" s="10"/>
      <c r="B136" s="10"/>
      <c r="C136" s="10"/>
      <c r="D136" s="10"/>
      <c r="E136" s="10"/>
      <c r="F136" s="10"/>
      <c r="G136" s="11"/>
      <c r="H136" s="10"/>
      <c r="I136" s="11"/>
      <c r="J136" s="10"/>
      <c r="K136" s="11"/>
    </row>
    <row r="137" spans="1:11">
      <c r="A137" s="10"/>
      <c r="B137" s="10"/>
      <c r="C137" s="10"/>
      <c r="D137" s="10"/>
      <c r="E137" s="10"/>
      <c r="F137" s="10"/>
      <c r="G137" s="11"/>
      <c r="H137" s="10"/>
      <c r="I137" s="11"/>
      <c r="J137" s="10"/>
      <c r="K137" s="11"/>
    </row>
    <row r="138" spans="1:11">
      <c r="A138" s="10"/>
      <c r="B138" s="10"/>
      <c r="C138" s="10"/>
      <c r="D138" s="10"/>
      <c r="E138" s="10"/>
      <c r="F138" s="10"/>
      <c r="G138" s="11"/>
      <c r="H138" s="10"/>
      <c r="I138" s="11"/>
      <c r="J138" s="10"/>
      <c r="K138" s="11"/>
    </row>
    <row r="139" spans="1:11">
      <c r="A139" s="10"/>
      <c r="B139" s="10"/>
      <c r="C139" s="10"/>
      <c r="D139" s="10"/>
      <c r="E139" s="10"/>
      <c r="F139" s="10"/>
      <c r="G139" s="11"/>
      <c r="H139" s="10"/>
      <c r="I139" s="11"/>
      <c r="J139" s="10"/>
      <c r="K139" s="11"/>
    </row>
    <row r="140" spans="1:11">
      <c r="A140" s="10"/>
      <c r="B140" s="10"/>
      <c r="C140" s="10"/>
      <c r="D140" s="10"/>
      <c r="E140" s="10"/>
      <c r="F140" s="10"/>
      <c r="G140" s="11"/>
      <c r="H140" s="10"/>
      <c r="I140" s="11"/>
      <c r="J140" s="10"/>
      <c r="K140" s="11"/>
    </row>
    <row r="141" spans="1:11">
      <c r="A141" s="10"/>
      <c r="B141" s="10"/>
      <c r="C141" s="10"/>
      <c r="D141" s="10"/>
      <c r="E141" s="10"/>
      <c r="F141" s="10"/>
      <c r="G141" s="11"/>
      <c r="H141" s="10"/>
      <c r="I141" s="11"/>
      <c r="J141" s="10"/>
      <c r="K141" s="11"/>
    </row>
    <row r="142" spans="1:11">
      <c r="A142" s="10"/>
      <c r="B142" s="10"/>
      <c r="C142" s="10"/>
      <c r="D142" s="10"/>
      <c r="E142" s="10"/>
      <c r="F142" s="10"/>
      <c r="G142" s="11"/>
      <c r="H142" s="10"/>
      <c r="I142" s="11"/>
      <c r="J142" s="10"/>
      <c r="K142" s="11"/>
    </row>
    <row r="143" spans="1:11">
      <c r="A143" s="10"/>
      <c r="B143" s="10"/>
      <c r="C143" s="10"/>
      <c r="D143" s="10"/>
      <c r="E143" s="10"/>
      <c r="F143" s="10"/>
      <c r="G143" s="11"/>
      <c r="H143" s="10"/>
      <c r="I143" s="11"/>
      <c r="J143" s="10"/>
      <c r="K143" s="11"/>
    </row>
    <row r="144" spans="1:11">
      <c r="A144" s="10"/>
      <c r="B144" s="10"/>
      <c r="C144" s="10"/>
      <c r="D144" s="10"/>
      <c r="E144" s="10"/>
      <c r="F144" s="10"/>
      <c r="G144" s="11"/>
      <c r="H144" s="10"/>
      <c r="I144" s="11"/>
      <c r="J144" s="10"/>
      <c r="K144" s="11"/>
    </row>
    <row r="145" spans="1:11">
      <c r="A145" s="10"/>
      <c r="B145" s="10"/>
      <c r="C145" s="10"/>
      <c r="D145" s="10"/>
      <c r="E145" s="10"/>
      <c r="F145" s="10"/>
      <c r="G145" s="11"/>
      <c r="H145" s="10"/>
      <c r="I145" s="11"/>
      <c r="J145" s="10"/>
      <c r="K145" s="11"/>
    </row>
    <row r="146" spans="1:11">
      <c r="A146" s="10"/>
      <c r="B146" s="10"/>
      <c r="C146" s="10"/>
      <c r="D146" s="10"/>
      <c r="E146" s="10"/>
      <c r="F146" s="10"/>
      <c r="G146" s="11"/>
      <c r="H146" s="10"/>
      <c r="I146" s="11"/>
      <c r="J146" s="10"/>
      <c r="K146" s="11"/>
    </row>
    <row r="147" spans="1:11">
      <c r="A147" s="10"/>
      <c r="B147" s="10"/>
      <c r="C147" s="10"/>
      <c r="D147" s="10"/>
      <c r="E147" s="10"/>
      <c r="F147" s="10"/>
      <c r="G147" s="11"/>
      <c r="H147" s="10"/>
      <c r="I147" s="11"/>
      <c r="J147" s="10"/>
      <c r="K147" s="11"/>
    </row>
    <row r="148" spans="1:11">
      <c r="A148" s="10"/>
      <c r="B148" s="10"/>
      <c r="C148" s="10"/>
      <c r="D148" s="10"/>
      <c r="E148" s="10"/>
      <c r="F148" s="10"/>
      <c r="G148" s="11"/>
      <c r="H148" s="10"/>
      <c r="I148" s="11"/>
      <c r="J148" s="10"/>
      <c r="K148" s="11"/>
    </row>
    <row r="149" spans="1:11">
      <c r="A149" s="10"/>
      <c r="B149" s="10"/>
      <c r="C149" s="10"/>
      <c r="D149" s="10"/>
      <c r="E149" s="10"/>
      <c r="F149" s="10"/>
      <c r="G149" s="11"/>
      <c r="H149" s="10"/>
      <c r="I149" s="11"/>
      <c r="J149" s="10"/>
      <c r="K149" s="11"/>
    </row>
    <row r="150" spans="1:11">
      <c r="A150" s="10"/>
      <c r="B150" s="10"/>
      <c r="C150" s="10"/>
      <c r="D150" s="10"/>
      <c r="E150" s="10"/>
      <c r="F150" s="10"/>
      <c r="G150" s="11"/>
      <c r="H150" s="10"/>
      <c r="I150" s="11"/>
      <c r="J150" s="10"/>
      <c r="K150" s="11"/>
    </row>
    <row r="151" spans="1:11">
      <c r="A151" s="10"/>
      <c r="B151" s="10"/>
      <c r="C151" s="10"/>
      <c r="D151" s="10"/>
      <c r="E151" s="10"/>
      <c r="F151" s="10"/>
      <c r="G151" s="11"/>
      <c r="H151" s="10"/>
      <c r="I151" s="11"/>
      <c r="J151" s="10"/>
      <c r="K151" s="11"/>
    </row>
    <row r="152" spans="1:11">
      <c r="A152" s="10"/>
      <c r="B152" s="10"/>
      <c r="C152" s="10"/>
      <c r="D152" s="10"/>
      <c r="E152" s="10"/>
      <c r="F152" s="10"/>
      <c r="G152" s="11"/>
      <c r="H152" s="10"/>
      <c r="I152" s="11"/>
      <c r="J152" s="10"/>
      <c r="K152" s="11"/>
    </row>
    <row r="153" spans="1:11">
      <c r="A153" s="10"/>
      <c r="B153" s="10"/>
      <c r="C153" s="10"/>
      <c r="D153" s="10"/>
      <c r="E153" s="10"/>
      <c r="F153" s="10"/>
      <c r="G153" s="11"/>
      <c r="H153" s="10"/>
      <c r="I153" s="11"/>
      <c r="J153" s="10"/>
      <c r="K153" s="11"/>
    </row>
    <row r="154" spans="1:11">
      <c r="A154" s="10"/>
      <c r="B154" s="10"/>
      <c r="C154" s="10"/>
      <c r="D154" s="10"/>
      <c r="E154" s="10"/>
      <c r="F154" s="10"/>
      <c r="G154" s="11"/>
      <c r="H154" s="10"/>
      <c r="I154" s="11"/>
      <c r="J154" s="10"/>
      <c r="K154" s="11"/>
    </row>
    <row r="155" spans="1:11">
      <c r="A155" s="10"/>
      <c r="B155" s="10"/>
      <c r="C155" s="10"/>
      <c r="D155" s="10"/>
      <c r="E155" s="10"/>
      <c r="F155" s="10"/>
      <c r="G155" s="11"/>
      <c r="H155" s="10"/>
      <c r="I155" s="11"/>
      <c r="J155" s="10"/>
      <c r="K155" s="11"/>
    </row>
    <row r="156" spans="1:11">
      <c r="A156" s="10"/>
      <c r="B156" s="10"/>
      <c r="C156" s="10"/>
      <c r="D156" s="10"/>
      <c r="E156" s="10"/>
      <c r="F156" s="10"/>
      <c r="G156" s="11"/>
      <c r="H156" s="10"/>
      <c r="I156" s="11"/>
      <c r="J156" s="10"/>
      <c r="K156" s="11"/>
    </row>
    <row r="157" spans="1:11">
      <c r="A157" s="10"/>
      <c r="B157" s="10"/>
      <c r="C157" s="10"/>
      <c r="D157" s="10"/>
      <c r="E157" s="10"/>
      <c r="F157" s="10"/>
      <c r="G157" s="11"/>
      <c r="H157" s="10"/>
      <c r="I157" s="11"/>
      <c r="J157" s="10"/>
      <c r="K157" s="11"/>
    </row>
    <row r="158" spans="1:11">
      <c r="A158" s="10"/>
      <c r="B158" s="10"/>
      <c r="C158" s="10"/>
      <c r="D158" s="10"/>
      <c r="E158" s="10"/>
      <c r="F158" s="10"/>
      <c r="G158" s="11"/>
      <c r="H158" s="10"/>
      <c r="I158" s="11"/>
      <c r="J158" s="10"/>
      <c r="K158" s="11"/>
    </row>
    <row r="159" spans="1:11">
      <c r="A159" s="10"/>
      <c r="B159" s="10"/>
      <c r="C159" s="10"/>
      <c r="D159" s="10"/>
      <c r="E159" s="10"/>
      <c r="F159" s="10"/>
      <c r="G159" s="11"/>
      <c r="H159" s="10"/>
      <c r="I159" s="11"/>
      <c r="J159" s="10"/>
      <c r="K159" s="11"/>
    </row>
    <row r="160" spans="1:11">
      <c r="A160" s="10"/>
      <c r="B160" s="10"/>
      <c r="C160" s="10"/>
      <c r="D160" s="10"/>
      <c r="E160" s="10"/>
      <c r="F160" s="10"/>
      <c r="G160" s="11"/>
      <c r="H160" s="10"/>
      <c r="I160" s="11"/>
      <c r="J160" s="10"/>
      <c r="K160" s="11"/>
    </row>
    <row r="161" spans="1:11">
      <c r="A161" s="10"/>
      <c r="B161" s="10"/>
      <c r="C161" s="10"/>
      <c r="D161" s="10"/>
      <c r="E161" s="10"/>
      <c r="F161" s="10"/>
      <c r="G161" s="11"/>
      <c r="H161" s="10"/>
      <c r="I161" s="11"/>
      <c r="J161" s="10"/>
      <c r="K161" s="11"/>
    </row>
    <row r="162" spans="1:11">
      <c r="A162" s="10"/>
      <c r="B162" s="10"/>
      <c r="C162" s="10"/>
      <c r="D162" s="10"/>
      <c r="E162" s="10"/>
      <c r="F162" s="10"/>
      <c r="G162" s="11"/>
      <c r="H162" s="10"/>
      <c r="I162" s="11"/>
      <c r="J162" s="10"/>
      <c r="K162" s="11"/>
    </row>
    <row r="163" spans="1:11">
      <c r="A163" s="10"/>
      <c r="B163" s="10"/>
      <c r="C163" s="10"/>
      <c r="D163" s="10"/>
      <c r="E163" s="10"/>
      <c r="F163" s="10"/>
      <c r="G163" s="11"/>
      <c r="H163" s="10"/>
      <c r="I163" s="11"/>
      <c r="J163" s="10"/>
      <c r="K163" s="11"/>
    </row>
    <row r="164" spans="1:11">
      <c r="A164" s="10"/>
      <c r="B164" s="10"/>
      <c r="C164" s="10"/>
      <c r="D164" s="10"/>
      <c r="E164" s="10"/>
      <c r="F164" s="10"/>
      <c r="G164" s="11"/>
      <c r="H164" s="10"/>
      <c r="I164" s="11"/>
      <c r="J164" s="10"/>
      <c r="K164" s="11"/>
    </row>
    <row r="165" spans="1:11">
      <c r="A165" s="10"/>
      <c r="B165" s="10"/>
      <c r="C165" s="10"/>
      <c r="D165" s="10"/>
      <c r="E165" s="10"/>
      <c r="F165" s="10"/>
      <c r="G165" s="11"/>
      <c r="H165" s="10"/>
      <c r="I165" s="11"/>
      <c r="J165" s="10"/>
      <c r="K165" s="11"/>
    </row>
    <row r="166" spans="1:11">
      <c r="A166" s="10"/>
      <c r="B166" s="10"/>
      <c r="C166" s="10"/>
      <c r="D166" s="10"/>
      <c r="E166" s="10"/>
      <c r="F166" s="10"/>
      <c r="G166" s="11"/>
      <c r="H166" s="10"/>
      <c r="I166" s="11"/>
      <c r="J166" s="10"/>
      <c r="K166" s="11"/>
    </row>
    <row r="167" spans="1:11">
      <c r="A167" s="10"/>
      <c r="B167" s="10"/>
      <c r="C167" s="10"/>
      <c r="D167" s="10"/>
      <c r="E167" s="10"/>
      <c r="F167" s="10"/>
      <c r="G167" s="11"/>
      <c r="H167" s="10"/>
      <c r="I167" s="11"/>
      <c r="J167" s="10"/>
      <c r="K167" s="11"/>
    </row>
    <row r="168" spans="1:11">
      <c r="A168" s="10"/>
      <c r="B168" s="10"/>
      <c r="C168" s="10"/>
      <c r="D168" s="10"/>
      <c r="E168" s="10"/>
      <c r="F168" s="10"/>
      <c r="G168" s="11"/>
      <c r="H168" s="10"/>
      <c r="I168" s="11"/>
      <c r="J168" s="10"/>
      <c r="K168" s="11"/>
    </row>
    <row r="169" spans="1:11">
      <c r="A169" s="10"/>
      <c r="B169" s="10"/>
      <c r="C169" s="10"/>
      <c r="D169" s="10"/>
      <c r="E169" s="10"/>
      <c r="F169" s="10"/>
      <c r="G169" s="11"/>
      <c r="H169" s="10"/>
      <c r="I169" s="11"/>
      <c r="J169" s="10"/>
      <c r="K169" s="11"/>
    </row>
    <row r="170" spans="1:11">
      <c r="A170" s="10"/>
      <c r="B170" s="10"/>
      <c r="C170" s="10"/>
      <c r="D170" s="10"/>
      <c r="E170" s="10"/>
      <c r="F170" s="10"/>
      <c r="G170" s="11"/>
      <c r="H170" s="10"/>
      <c r="I170" s="11"/>
      <c r="J170" s="10"/>
      <c r="K170" s="11"/>
    </row>
    <row r="171" spans="1:11">
      <c r="A171" s="10"/>
      <c r="B171" s="10"/>
      <c r="C171" s="10"/>
      <c r="D171" s="10"/>
      <c r="E171" s="10"/>
      <c r="F171" s="10"/>
      <c r="G171" s="11"/>
      <c r="H171" s="10"/>
      <c r="I171" s="11"/>
      <c r="J171" s="10"/>
      <c r="K171" s="11"/>
    </row>
    <row r="172" spans="1:11">
      <c r="A172" s="10"/>
      <c r="B172" s="10"/>
      <c r="C172" s="10"/>
      <c r="D172" s="10"/>
      <c r="E172" s="10"/>
      <c r="F172" s="10"/>
      <c r="G172" s="11"/>
      <c r="H172" s="10"/>
      <c r="I172" s="11"/>
      <c r="J172" s="10"/>
      <c r="K172" s="11"/>
    </row>
    <row r="173" spans="1:11">
      <c r="A173" s="10"/>
      <c r="B173" s="10"/>
      <c r="C173" s="10"/>
      <c r="D173" s="10"/>
      <c r="E173" s="10"/>
      <c r="F173" s="10"/>
      <c r="G173" s="11"/>
      <c r="H173" s="10"/>
      <c r="I173" s="11"/>
      <c r="J173" s="10"/>
      <c r="K173" s="11"/>
    </row>
    <row r="174" spans="1:11">
      <c r="A174" s="10"/>
      <c r="B174" s="10"/>
      <c r="C174" s="10"/>
      <c r="D174" s="10"/>
      <c r="E174" s="10"/>
      <c r="F174" s="10"/>
      <c r="G174" s="11"/>
      <c r="H174" s="10"/>
      <c r="I174" s="11"/>
      <c r="J174" s="10"/>
      <c r="K174" s="11"/>
    </row>
    <row r="175" spans="1:11">
      <c r="A175" s="10"/>
      <c r="B175" s="10"/>
      <c r="C175" s="10"/>
      <c r="D175" s="10"/>
      <c r="E175" s="10"/>
      <c r="F175" s="10"/>
      <c r="G175" s="11"/>
      <c r="H175" s="10"/>
      <c r="I175" s="11"/>
      <c r="J175" s="10"/>
      <c r="K175" s="11"/>
    </row>
    <row r="176" spans="1:11">
      <c r="A176" s="10"/>
      <c r="B176" s="10"/>
      <c r="C176" s="10"/>
      <c r="D176" s="10"/>
      <c r="E176" s="10"/>
      <c r="F176" s="10"/>
      <c r="G176" s="11"/>
      <c r="H176" s="10"/>
      <c r="I176" s="11"/>
      <c r="J176" s="10"/>
      <c r="K176" s="11"/>
    </row>
    <row r="177" spans="1:11">
      <c r="A177" s="10"/>
      <c r="B177" s="10"/>
      <c r="C177" s="10"/>
      <c r="D177" s="10"/>
      <c r="E177" s="10"/>
      <c r="F177" s="10"/>
      <c r="G177" s="11"/>
      <c r="H177" s="10"/>
      <c r="I177" s="11"/>
      <c r="J177" s="10"/>
      <c r="K177" s="11"/>
    </row>
    <row r="178" spans="1:11">
      <c r="A178" s="10"/>
      <c r="B178" s="10"/>
      <c r="C178" s="10"/>
      <c r="D178" s="10"/>
      <c r="E178" s="10"/>
      <c r="F178" s="10"/>
      <c r="G178" s="11"/>
      <c r="H178" s="10"/>
      <c r="I178" s="11"/>
      <c r="J178" s="10"/>
      <c r="K178" s="11"/>
    </row>
    <row r="179" spans="1:11">
      <c r="A179" s="10"/>
      <c r="B179" s="10"/>
      <c r="C179" s="10"/>
      <c r="D179" s="10"/>
      <c r="E179" s="10"/>
      <c r="F179" s="10"/>
      <c r="G179" s="11"/>
      <c r="H179" s="10"/>
      <c r="I179" s="11"/>
      <c r="J179" s="10"/>
      <c r="K179" s="11"/>
    </row>
    <row r="180" spans="1:11">
      <c r="A180" s="10"/>
      <c r="B180" s="10"/>
      <c r="C180" s="10"/>
      <c r="D180" s="10"/>
      <c r="E180" s="10"/>
      <c r="F180" s="10"/>
      <c r="G180" s="11"/>
      <c r="H180" s="10"/>
      <c r="I180" s="11"/>
      <c r="J180" s="10"/>
      <c r="K180" s="11"/>
    </row>
    <row r="181" spans="1:11">
      <c r="A181" s="10"/>
      <c r="B181" s="10"/>
      <c r="C181" s="10"/>
      <c r="D181" s="10"/>
      <c r="E181" s="10"/>
      <c r="F181" s="10"/>
      <c r="G181" s="11"/>
      <c r="H181" s="10"/>
      <c r="I181" s="11"/>
      <c r="J181" s="10"/>
      <c r="K181" s="11"/>
    </row>
    <row r="182" spans="1:11">
      <c r="A182" s="10"/>
      <c r="B182" s="10"/>
      <c r="C182" s="10"/>
      <c r="D182" s="10"/>
      <c r="E182" s="10"/>
      <c r="F182" s="10"/>
      <c r="G182" s="11"/>
      <c r="H182" s="10"/>
      <c r="I182" s="11"/>
      <c r="J182" s="10"/>
      <c r="K182" s="11"/>
    </row>
    <row r="183" spans="1:11">
      <c r="A183" s="10"/>
      <c r="B183" s="10"/>
      <c r="C183" s="10"/>
      <c r="D183" s="10"/>
      <c r="E183" s="10"/>
      <c r="F183" s="10"/>
      <c r="G183" s="11"/>
      <c r="H183" s="10"/>
      <c r="I183" s="11"/>
      <c r="J183" s="10"/>
      <c r="K183" s="11"/>
    </row>
    <row r="184" spans="1:11">
      <c r="A184" s="10"/>
      <c r="B184" s="10"/>
      <c r="C184" s="10"/>
      <c r="D184" s="10"/>
      <c r="E184" s="10"/>
      <c r="F184" s="10"/>
      <c r="G184" s="11"/>
      <c r="H184" s="10"/>
      <c r="I184" s="11"/>
      <c r="J184" s="10"/>
      <c r="K184" s="11"/>
    </row>
    <row r="185" spans="1:11">
      <c r="A185" s="10"/>
      <c r="B185" s="10"/>
      <c r="C185" s="10"/>
      <c r="D185" s="10"/>
      <c r="E185" s="10"/>
      <c r="F185" s="10"/>
      <c r="G185" s="11"/>
      <c r="H185" s="10"/>
      <c r="I185" s="11"/>
      <c r="J185" s="10"/>
      <c r="K185" s="11"/>
    </row>
    <row r="186" spans="1:11">
      <c r="A186" s="10"/>
      <c r="B186" s="10"/>
      <c r="C186" s="10"/>
      <c r="D186" s="10"/>
      <c r="E186" s="10"/>
      <c r="F186" s="10"/>
      <c r="G186" s="11"/>
      <c r="H186" s="10"/>
      <c r="I186" s="11"/>
      <c r="J186" s="10"/>
      <c r="K186" s="11"/>
    </row>
    <row r="187" spans="1:11">
      <c r="A187" s="10"/>
      <c r="B187" s="10"/>
      <c r="C187" s="10"/>
      <c r="D187" s="10"/>
      <c r="E187" s="10"/>
      <c r="F187" s="10"/>
      <c r="G187" s="11"/>
      <c r="H187" s="10"/>
      <c r="I187" s="11"/>
      <c r="J187" s="10"/>
      <c r="K187" s="11"/>
    </row>
    <row r="188" spans="1:11">
      <c r="A188" s="10"/>
      <c r="B188" s="10"/>
      <c r="C188" s="10"/>
      <c r="D188" s="10"/>
      <c r="E188" s="10"/>
      <c r="F188" s="10"/>
      <c r="G188" s="11"/>
      <c r="H188" s="10"/>
      <c r="I188" s="11"/>
      <c r="J188" s="10"/>
      <c r="K188" s="11"/>
    </row>
    <row r="189" spans="1:11">
      <c r="A189" s="10"/>
      <c r="B189" s="10"/>
      <c r="C189" s="10"/>
      <c r="D189" s="10"/>
      <c r="E189" s="10"/>
      <c r="F189" s="10"/>
      <c r="G189" s="11"/>
      <c r="H189" s="10"/>
      <c r="I189" s="11"/>
      <c r="J189" s="10"/>
      <c r="K189" s="11"/>
    </row>
    <row r="190" spans="1:11">
      <c r="A190" s="10"/>
      <c r="B190" s="10"/>
      <c r="C190" s="10"/>
      <c r="D190" s="10"/>
      <c r="E190" s="10"/>
      <c r="F190" s="10"/>
      <c r="G190" s="11"/>
      <c r="H190" s="10"/>
      <c r="I190" s="11"/>
      <c r="J190" s="10"/>
      <c r="K190" s="11"/>
    </row>
    <row r="191" spans="1:11">
      <c r="A191" s="10"/>
      <c r="B191" s="10"/>
      <c r="C191" s="10"/>
      <c r="D191" s="10"/>
      <c r="E191" s="10"/>
      <c r="F191" s="10"/>
      <c r="G191" s="11"/>
      <c r="H191" s="10"/>
      <c r="I191" s="11"/>
      <c r="J191" s="10"/>
      <c r="K191" s="11"/>
    </row>
    <row r="192" spans="1:11">
      <c r="A192" s="10"/>
      <c r="B192" s="10"/>
      <c r="C192" s="10"/>
      <c r="D192" s="10"/>
      <c r="E192" s="10"/>
      <c r="F192" s="10"/>
      <c r="G192" s="11"/>
      <c r="H192" s="10"/>
      <c r="I192" s="11"/>
      <c r="J192" s="10"/>
      <c r="K192" s="11"/>
    </row>
    <row r="193" spans="1:11">
      <c r="A193" s="10"/>
      <c r="B193" s="10"/>
      <c r="C193" s="10"/>
      <c r="D193" s="10"/>
      <c r="E193" s="10"/>
      <c r="F193" s="10"/>
      <c r="G193" s="11"/>
      <c r="H193" s="10"/>
      <c r="I193" s="11"/>
      <c r="J193" s="10"/>
      <c r="K193" s="11"/>
    </row>
    <row r="194" spans="1:11">
      <c r="A194" s="10"/>
      <c r="B194" s="10"/>
      <c r="C194" s="10"/>
      <c r="D194" s="10"/>
      <c r="E194" s="10"/>
      <c r="F194" s="10"/>
      <c r="G194" s="11"/>
      <c r="H194" s="10"/>
      <c r="I194" s="11"/>
      <c r="J194" s="10"/>
      <c r="K194" s="11"/>
    </row>
    <row r="195" spans="1:11">
      <c r="A195" s="10"/>
      <c r="B195" s="10"/>
      <c r="C195" s="10"/>
      <c r="D195" s="10"/>
      <c r="E195" s="10"/>
      <c r="F195" s="10"/>
      <c r="G195" s="11"/>
      <c r="H195" s="10"/>
      <c r="I195" s="11"/>
      <c r="J195" s="10"/>
      <c r="K195" s="11"/>
    </row>
    <row r="196" spans="1:11">
      <c r="A196" s="10"/>
      <c r="B196" s="10"/>
      <c r="C196" s="10"/>
      <c r="D196" s="10"/>
      <c r="E196" s="10"/>
      <c r="F196" s="10"/>
      <c r="G196" s="11"/>
      <c r="H196" s="10"/>
      <c r="I196" s="11"/>
      <c r="J196" s="10"/>
      <c r="K196" s="11"/>
    </row>
    <row r="197" spans="1:11">
      <c r="A197" s="10"/>
      <c r="B197" s="10"/>
      <c r="C197" s="10"/>
      <c r="D197" s="10"/>
      <c r="E197" s="10"/>
      <c r="F197" s="10"/>
      <c r="G197" s="11"/>
      <c r="H197" s="10"/>
      <c r="I197" s="11"/>
      <c r="J197" s="10"/>
      <c r="K197" s="11"/>
    </row>
    <row r="198" spans="1:11">
      <c r="A198" s="10"/>
      <c r="B198" s="10"/>
      <c r="C198" s="10"/>
      <c r="D198" s="10"/>
      <c r="E198" s="10"/>
      <c r="F198" s="10"/>
      <c r="G198" s="11"/>
      <c r="H198" s="10"/>
      <c r="I198" s="11"/>
      <c r="J198" s="10"/>
      <c r="K198" s="11"/>
    </row>
    <row r="199" spans="1:11">
      <c r="A199" s="10"/>
      <c r="B199" s="10"/>
      <c r="C199" s="10"/>
      <c r="D199" s="10"/>
      <c r="E199" s="10"/>
      <c r="F199" s="10"/>
      <c r="G199" s="11"/>
      <c r="H199" s="10"/>
      <c r="I199" s="11"/>
      <c r="J199" s="10"/>
      <c r="K199" s="11"/>
    </row>
    <row r="200" spans="1:11">
      <c r="A200" s="10"/>
      <c r="B200" s="10"/>
      <c r="C200" s="10"/>
      <c r="D200" s="10"/>
      <c r="E200" s="10"/>
      <c r="F200" s="10"/>
      <c r="G200" s="11"/>
      <c r="H200" s="10"/>
      <c r="I200" s="11"/>
      <c r="J200" s="10"/>
      <c r="K200" s="11"/>
    </row>
    <row r="201" spans="1:11">
      <c r="A201" s="10"/>
      <c r="B201" s="10"/>
      <c r="C201" s="10"/>
      <c r="D201" s="10"/>
      <c r="E201" s="10"/>
      <c r="F201" s="10"/>
      <c r="G201" s="11"/>
      <c r="H201" s="10"/>
      <c r="I201" s="11"/>
      <c r="J201" s="10"/>
      <c r="K201" s="11"/>
    </row>
    <row r="202" spans="1:11">
      <c r="A202" s="10"/>
      <c r="B202" s="10"/>
      <c r="C202" s="10"/>
      <c r="D202" s="10"/>
      <c r="E202" s="10"/>
      <c r="F202" s="10"/>
      <c r="G202" s="11"/>
      <c r="H202" s="10"/>
      <c r="I202" s="11"/>
      <c r="J202" s="10"/>
      <c r="K202" s="11"/>
    </row>
    <row r="203" spans="1:11">
      <c r="A203" s="10"/>
      <c r="B203" s="10"/>
      <c r="C203" s="10"/>
      <c r="D203" s="10"/>
      <c r="E203" s="10"/>
      <c r="F203" s="10"/>
      <c r="G203" s="11"/>
      <c r="H203" s="10"/>
      <c r="I203" s="11"/>
      <c r="J203" s="10"/>
      <c r="K203" s="11"/>
    </row>
    <row r="204" spans="1:11">
      <c r="A204" s="10"/>
      <c r="B204" s="10"/>
      <c r="C204" s="10"/>
      <c r="D204" s="10"/>
      <c r="E204" s="10"/>
      <c r="F204" s="10"/>
      <c r="G204" s="11"/>
      <c r="H204" s="10"/>
      <c r="I204" s="11"/>
      <c r="J204" s="10"/>
      <c r="K204" s="11"/>
    </row>
    <row r="205" spans="1:11">
      <c r="A205" s="10"/>
      <c r="B205" s="10"/>
      <c r="C205" s="10"/>
      <c r="D205" s="10"/>
      <c r="E205" s="10"/>
      <c r="F205" s="10"/>
      <c r="G205" s="11"/>
      <c r="H205" s="10"/>
      <c r="I205" s="11"/>
      <c r="J205" s="10"/>
      <c r="K205" s="11"/>
    </row>
    <row r="206" spans="1:11">
      <c r="A206" s="10"/>
      <c r="B206" s="10"/>
      <c r="C206" s="10"/>
      <c r="D206" s="10"/>
      <c r="E206" s="10"/>
      <c r="F206" s="10"/>
      <c r="G206" s="11"/>
      <c r="H206" s="10"/>
      <c r="I206" s="11"/>
      <c r="J206" s="10"/>
      <c r="K206" s="11"/>
    </row>
    <row r="207" spans="1:11">
      <c r="A207" s="10"/>
      <c r="B207" s="10"/>
      <c r="C207" s="10"/>
      <c r="D207" s="10"/>
      <c r="E207" s="10"/>
      <c r="F207" s="10"/>
      <c r="G207" s="11"/>
      <c r="H207" s="10"/>
      <c r="I207" s="11"/>
      <c r="J207" s="10"/>
      <c r="K207" s="11"/>
    </row>
    <row r="208" spans="1:11">
      <c r="A208" s="10"/>
      <c r="B208" s="10"/>
      <c r="C208" s="10"/>
      <c r="D208" s="10"/>
      <c r="E208" s="10"/>
      <c r="F208" s="10"/>
      <c r="G208" s="11"/>
      <c r="H208" s="10"/>
      <c r="I208" s="11"/>
      <c r="J208" s="10"/>
      <c r="K208" s="11"/>
    </row>
    <row r="209" spans="1:11">
      <c r="A209" s="10"/>
      <c r="B209" s="10"/>
      <c r="C209" s="10"/>
      <c r="D209" s="10"/>
      <c r="E209" s="10"/>
      <c r="F209" s="10"/>
      <c r="G209" s="11"/>
      <c r="H209" s="10"/>
      <c r="I209" s="11"/>
      <c r="J209" s="10"/>
      <c r="K209" s="11"/>
    </row>
    <row r="210" spans="1:11">
      <c r="A210" s="10"/>
      <c r="B210" s="10"/>
      <c r="C210" s="10"/>
      <c r="D210" s="10"/>
      <c r="E210" s="10"/>
      <c r="F210" s="10"/>
      <c r="G210" s="11"/>
      <c r="H210" s="10"/>
      <c r="I210" s="11"/>
      <c r="J210" s="10"/>
      <c r="K210" s="11"/>
    </row>
    <row r="211" spans="1:11">
      <c r="A211" s="10"/>
      <c r="B211" s="10"/>
      <c r="C211" s="10"/>
      <c r="D211" s="10"/>
      <c r="E211" s="10"/>
      <c r="F211" s="10"/>
      <c r="G211" s="11"/>
      <c r="H211" s="10"/>
      <c r="I211" s="11"/>
      <c r="J211" s="10"/>
      <c r="K211" s="11"/>
    </row>
    <row r="212" spans="1:11">
      <c r="A212" s="10"/>
      <c r="B212" s="10"/>
      <c r="C212" s="10"/>
      <c r="D212" s="10"/>
      <c r="E212" s="10"/>
      <c r="F212" s="10"/>
      <c r="G212" s="11"/>
      <c r="H212" s="10"/>
      <c r="I212" s="11"/>
      <c r="J212" s="10"/>
      <c r="K212" s="11"/>
    </row>
    <row r="213" spans="1:11">
      <c r="A213" s="10"/>
      <c r="B213" s="10"/>
      <c r="C213" s="10"/>
      <c r="D213" s="10"/>
      <c r="E213" s="10"/>
      <c r="F213" s="10"/>
      <c r="G213" s="11"/>
      <c r="H213" s="10"/>
      <c r="I213" s="11"/>
      <c r="J213" s="10"/>
      <c r="K213" s="11"/>
    </row>
    <row r="214" spans="1:11">
      <c r="A214" s="10"/>
      <c r="B214" s="10"/>
      <c r="C214" s="10"/>
      <c r="D214" s="10"/>
      <c r="E214" s="10"/>
      <c r="F214" s="10"/>
      <c r="G214" s="11"/>
      <c r="H214" s="10"/>
      <c r="I214" s="11"/>
      <c r="J214" s="10"/>
      <c r="K214" s="11"/>
    </row>
    <row r="215" spans="1:11">
      <c r="A215" s="10"/>
      <c r="B215" s="10"/>
      <c r="C215" s="10"/>
      <c r="D215" s="10"/>
      <c r="E215" s="10"/>
      <c r="F215" s="10"/>
      <c r="G215" s="11"/>
      <c r="H215" s="10"/>
      <c r="I215" s="11"/>
      <c r="J215" s="10"/>
      <c r="K215" s="11"/>
    </row>
    <row r="216" spans="1:11">
      <c r="A216" s="10"/>
      <c r="B216" s="10"/>
      <c r="C216" s="10"/>
      <c r="D216" s="10"/>
      <c r="E216" s="10"/>
      <c r="F216" s="10"/>
      <c r="G216" s="11"/>
      <c r="H216" s="10"/>
      <c r="I216" s="11"/>
      <c r="J216" s="10"/>
      <c r="K216" s="11"/>
    </row>
    <row r="217" spans="1:11">
      <c r="A217" s="10"/>
      <c r="B217" s="10"/>
      <c r="C217" s="10"/>
      <c r="D217" s="10"/>
      <c r="E217" s="10"/>
      <c r="F217" s="10"/>
      <c r="G217" s="11"/>
      <c r="H217" s="10"/>
      <c r="I217" s="11"/>
      <c r="J217" s="10"/>
      <c r="K217" s="11"/>
    </row>
    <row r="218" spans="1:11">
      <c r="A218" s="10"/>
      <c r="B218" s="10"/>
      <c r="C218" s="10"/>
      <c r="D218" s="10"/>
      <c r="E218" s="10"/>
      <c r="F218" s="10"/>
      <c r="G218" s="11"/>
      <c r="H218" s="10"/>
      <c r="I218" s="11"/>
      <c r="J218" s="10"/>
      <c r="K218" s="11"/>
    </row>
    <row r="219" spans="1:11">
      <c r="A219" s="10"/>
      <c r="B219" s="10"/>
      <c r="C219" s="10"/>
      <c r="D219" s="10"/>
      <c r="E219" s="10"/>
      <c r="F219" s="10"/>
      <c r="G219" s="11"/>
      <c r="H219" s="10"/>
      <c r="I219" s="11"/>
      <c r="J219" s="10"/>
      <c r="K219" s="11"/>
    </row>
    <row r="220" spans="1:11">
      <c r="A220" s="10"/>
      <c r="B220" s="10"/>
      <c r="C220" s="10"/>
      <c r="D220" s="10"/>
      <c r="E220" s="10"/>
      <c r="F220" s="10"/>
      <c r="G220" s="11"/>
      <c r="H220" s="10"/>
      <c r="I220" s="11"/>
      <c r="J220" s="10"/>
      <c r="K220" s="11"/>
    </row>
    <row r="221" spans="1:11">
      <c r="A221" s="10"/>
      <c r="B221" s="10"/>
      <c r="C221" s="10"/>
      <c r="D221" s="10"/>
      <c r="E221" s="10"/>
      <c r="F221" s="10"/>
      <c r="G221" s="11"/>
      <c r="H221" s="10"/>
      <c r="I221" s="11"/>
      <c r="J221" s="10"/>
      <c r="K221" s="11"/>
    </row>
    <row r="222" spans="1:11">
      <c r="A222" s="10"/>
      <c r="B222" s="10"/>
      <c r="C222" s="10"/>
      <c r="D222" s="10"/>
      <c r="E222" s="10"/>
      <c r="F222" s="10"/>
      <c r="G222" s="11"/>
      <c r="H222" s="10"/>
      <c r="I222" s="11"/>
      <c r="J222" s="10"/>
      <c r="K222" s="11"/>
    </row>
    <row r="223" spans="1:11">
      <c r="A223" s="10"/>
      <c r="B223" s="10"/>
      <c r="C223" s="10"/>
      <c r="D223" s="10"/>
      <c r="E223" s="10"/>
      <c r="F223" s="10"/>
      <c r="G223" s="11"/>
      <c r="H223" s="10"/>
      <c r="I223" s="11"/>
      <c r="J223" s="10"/>
      <c r="K223" s="11"/>
    </row>
    <row r="224" spans="1:11">
      <c r="A224" s="10"/>
      <c r="B224" s="10"/>
      <c r="C224" s="10"/>
      <c r="D224" s="10"/>
      <c r="E224" s="10"/>
      <c r="F224" s="10"/>
      <c r="G224" s="11"/>
      <c r="H224" s="10"/>
      <c r="I224" s="11"/>
      <c r="J224" s="10"/>
      <c r="K224" s="11"/>
    </row>
    <row r="225" spans="1:11">
      <c r="A225" s="10"/>
      <c r="B225" s="10"/>
      <c r="C225" s="10"/>
      <c r="D225" s="10"/>
      <c r="E225" s="10"/>
      <c r="F225" s="10"/>
      <c r="G225" s="11"/>
      <c r="H225" s="10"/>
      <c r="I225" s="11"/>
      <c r="J225" s="10"/>
      <c r="K225" s="11"/>
    </row>
    <row r="226" spans="1:11">
      <c r="A226" s="10"/>
      <c r="B226" s="10"/>
      <c r="C226" s="10"/>
      <c r="D226" s="10"/>
      <c r="E226" s="10"/>
      <c r="F226" s="10"/>
      <c r="G226" s="11"/>
      <c r="H226" s="10"/>
      <c r="I226" s="11"/>
      <c r="J226" s="10"/>
      <c r="K226" s="11"/>
    </row>
    <row r="227" spans="1:11">
      <c r="A227" s="10"/>
      <c r="B227" s="10"/>
      <c r="C227" s="10"/>
      <c r="D227" s="10"/>
      <c r="E227" s="10"/>
      <c r="F227" s="10"/>
      <c r="G227" s="11"/>
      <c r="H227" s="10"/>
      <c r="I227" s="11"/>
      <c r="J227" s="10"/>
      <c r="K227" s="11"/>
    </row>
    <row r="228" spans="1:11">
      <c r="A228" s="10"/>
      <c r="B228" s="10"/>
      <c r="C228" s="10"/>
      <c r="D228" s="10"/>
      <c r="E228" s="10"/>
      <c r="F228" s="10"/>
      <c r="G228" s="11"/>
      <c r="H228" s="10"/>
      <c r="I228" s="11"/>
      <c r="J228" s="10"/>
      <c r="K228" s="11"/>
    </row>
    <row r="229" spans="1:11">
      <c r="A229" s="10"/>
      <c r="B229" s="10"/>
      <c r="C229" s="10"/>
      <c r="D229" s="10"/>
      <c r="E229" s="10"/>
      <c r="F229" s="10"/>
      <c r="G229" s="11"/>
      <c r="H229" s="10"/>
      <c r="I229" s="11"/>
      <c r="J229" s="10"/>
      <c r="K229" s="11"/>
    </row>
    <row r="230" spans="1:11">
      <c r="A230" s="10"/>
      <c r="B230" s="10"/>
      <c r="C230" s="10"/>
      <c r="D230" s="10"/>
      <c r="E230" s="10"/>
      <c r="F230" s="10"/>
      <c r="G230" s="11"/>
      <c r="H230" s="10"/>
      <c r="I230" s="11"/>
      <c r="J230" s="10"/>
      <c r="K230" s="11"/>
    </row>
    <row r="231" spans="1:11">
      <c r="A231" s="10"/>
      <c r="B231" s="10"/>
      <c r="C231" s="10"/>
      <c r="D231" s="10"/>
      <c r="E231" s="10"/>
      <c r="F231" s="10"/>
      <c r="G231" s="11"/>
      <c r="H231" s="10"/>
      <c r="I231" s="11"/>
      <c r="J231" s="10"/>
      <c r="K231" s="11"/>
    </row>
    <row r="232" spans="1:11">
      <c r="A232" s="10"/>
      <c r="B232" s="10"/>
      <c r="C232" s="10"/>
      <c r="D232" s="10"/>
      <c r="E232" s="10"/>
      <c r="F232" s="10"/>
      <c r="G232" s="11"/>
      <c r="H232" s="10"/>
      <c r="I232" s="11"/>
      <c r="J232" s="10"/>
      <c r="K232" s="11"/>
    </row>
    <row r="233" spans="1:11">
      <c r="A233" s="10"/>
      <c r="B233" s="10"/>
      <c r="C233" s="10"/>
      <c r="D233" s="10"/>
      <c r="E233" s="10"/>
      <c r="F233" s="10"/>
      <c r="G233" s="11"/>
      <c r="H233" s="10"/>
      <c r="I233" s="11"/>
      <c r="J233" s="10"/>
      <c r="K233" s="11"/>
    </row>
    <row r="234" spans="1:11">
      <c r="A234" s="10"/>
      <c r="B234" s="10"/>
      <c r="C234" s="10"/>
      <c r="D234" s="10"/>
      <c r="E234" s="10"/>
      <c r="F234" s="10"/>
      <c r="G234" s="11"/>
      <c r="H234" s="10"/>
      <c r="I234" s="11"/>
      <c r="J234" s="10"/>
      <c r="K234" s="11"/>
    </row>
    <row r="235" spans="1:11">
      <c r="A235" s="10"/>
      <c r="B235" s="10"/>
      <c r="C235" s="10"/>
      <c r="D235" s="10"/>
      <c r="E235" s="10"/>
      <c r="F235" s="10"/>
      <c r="G235" s="11"/>
      <c r="H235" s="10"/>
      <c r="I235" s="11"/>
      <c r="J235" s="10"/>
      <c r="K235" s="11"/>
    </row>
    <row r="236" spans="1:11">
      <c r="A236" s="10"/>
      <c r="B236" s="10"/>
      <c r="C236" s="10"/>
      <c r="D236" s="10"/>
      <c r="E236" s="10"/>
      <c r="F236" s="10"/>
      <c r="G236" s="11"/>
      <c r="H236" s="10"/>
      <c r="I236" s="11"/>
      <c r="J236" s="10"/>
      <c r="K236" s="11"/>
    </row>
    <row r="237" spans="1:11">
      <c r="A237" s="10"/>
      <c r="B237" s="10"/>
      <c r="C237" s="10"/>
      <c r="D237" s="10"/>
      <c r="E237" s="10"/>
      <c r="F237" s="10"/>
      <c r="G237" s="11"/>
      <c r="H237" s="10"/>
      <c r="I237" s="11"/>
      <c r="J237" s="10"/>
      <c r="K237" s="11"/>
    </row>
    <row r="238" spans="1:11">
      <c r="A238" s="10"/>
      <c r="B238" s="10"/>
      <c r="C238" s="10"/>
      <c r="D238" s="10"/>
      <c r="E238" s="10"/>
      <c r="F238" s="10"/>
      <c r="G238" s="11"/>
      <c r="H238" s="10"/>
      <c r="I238" s="11"/>
      <c r="J238" s="10"/>
      <c r="K238" s="11"/>
    </row>
    <row r="239" spans="1:11">
      <c r="A239" s="10"/>
      <c r="B239" s="10"/>
      <c r="C239" s="10"/>
      <c r="D239" s="10"/>
      <c r="E239" s="10"/>
      <c r="F239" s="10"/>
      <c r="G239" s="11"/>
      <c r="H239" s="10"/>
      <c r="I239" s="11"/>
      <c r="J239" s="10"/>
      <c r="K239" s="11"/>
    </row>
    <row r="240" spans="1:11">
      <c r="A240" s="10"/>
      <c r="B240" s="10"/>
      <c r="C240" s="10"/>
      <c r="D240" s="10"/>
      <c r="E240" s="10"/>
      <c r="F240" s="10"/>
      <c r="G240" s="11"/>
      <c r="H240" s="10"/>
      <c r="I240" s="11"/>
      <c r="J240" s="10"/>
      <c r="K240" s="11"/>
    </row>
    <row r="241" spans="1:11">
      <c r="A241" s="10"/>
      <c r="B241" s="10"/>
      <c r="C241" s="10"/>
      <c r="D241" s="10"/>
      <c r="E241" s="10"/>
      <c r="F241" s="10"/>
      <c r="G241" s="11"/>
      <c r="H241" s="10"/>
      <c r="I241" s="11"/>
      <c r="J241" s="10"/>
      <c r="K241" s="11"/>
    </row>
    <row r="242" spans="1:11">
      <c r="A242" s="10"/>
      <c r="B242" s="10"/>
      <c r="C242" s="10"/>
      <c r="D242" s="10"/>
      <c r="E242" s="10"/>
      <c r="F242" s="10"/>
      <c r="G242" s="11"/>
      <c r="H242" s="10"/>
      <c r="I242" s="11"/>
      <c r="J242" s="10"/>
      <c r="K242" s="11"/>
    </row>
    <row r="243" spans="1:11">
      <c r="A243" s="10"/>
      <c r="B243" s="10"/>
      <c r="C243" s="10"/>
      <c r="D243" s="10"/>
      <c r="E243" s="10"/>
      <c r="F243" s="10"/>
      <c r="G243" s="11"/>
      <c r="H243" s="10"/>
      <c r="I243" s="11"/>
      <c r="J243" s="10"/>
      <c r="K243" s="11"/>
    </row>
    <row r="244" spans="1:11">
      <c r="A244" s="10"/>
      <c r="B244" s="10"/>
      <c r="C244" s="10"/>
      <c r="D244" s="10"/>
      <c r="E244" s="10"/>
      <c r="F244" s="10"/>
      <c r="G244" s="11"/>
      <c r="H244" s="10"/>
      <c r="I244" s="11"/>
      <c r="J244" s="10"/>
      <c r="K244" s="11"/>
    </row>
    <row r="245" spans="1:11">
      <c r="A245" s="10"/>
      <c r="B245" s="10"/>
      <c r="C245" s="10"/>
      <c r="D245" s="10"/>
      <c r="E245" s="10"/>
      <c r="F245" s="10"/>
      <c r="G245" s="11"/>
      <c r="H245" s="10"/>
      <c r="I245" s="11"/>
      <c r="J245" s="10"/>
      <c r="K245" s="11"/>
    </row>
    <row r="246" spans="1:11">
      <c r="A246" s="10"/>
      <c r="B246" s="10"/>
      <c r="C246" s="10"/>
      <c r="D246" s="10"/>
      <c r="E246" s="10"/>
      <c r="F246" s="10"/>
      <c r="G246" s="11"/>
      <c r="H246" s="10"/>
      <c r="I246" s="11"/>
      <c r="J246" s="10"/>
      <c r="K246" s="11"/>
    </row>
    <row r="247" spans="1:11">
      <c r="A247" s="10"/>
      <c r="B247" s="10"/>
      <c r="C247" s="10"/>
      <c r="D247" s="10"/>
      <c r="E247" s="10"/>
      <c r="F247" s="10"/>
      <c r="G247" s="11"/>
      <c r="H247" s="10"/>
      <c r="I247" s="11"/>
      <c r="J247" s="10"/>
      <c r="K247" s="11"/>
    </row>
    <row r="248" spans="1:11">
      <c r="A248" s="10"/>
      <c r="B248" s="10"/>
      <c r="C248" s="10"/>
      <c r="D248" s="10"/>
      <c r="E248" s="10"/>
      <c r="F248" s="10"/>
      <c r="G248" s="11"/>
      <c r="H248" s="10"/>
      <c r="I248" s="11"/>
      <c r="J248" s="10"/>
      <c r="K248" s="11"/>
    </row>
    <row r="249" spans="1:11">
      <c r="A249" s="10"/>
      <c r="B249" s="10"/>
      <c r="C249" s="10"/>
      <c r="D249" s="10"/>
      <c r="E249" s="10"/>
      <c r="F249" s="10"/>
      <c r="G249" s="11"/>
      <c r="H249" s="10"/>
      <c r="I249" s="11"/>
      <c r="J249" s="10"/>
      <c r="K249" s="11"/>
    </row>
    <row r="250" spans="1:11">
      <c r="A250" s="10"/>
      <c r="B250" s="10"/>
      <c r="C250" s="10"/>
      <c r="D250" s="10"/>
      <c r="E250" s="10"/>
      <c r="F250" s="10"/>
      <c r="G250" s="11"/>
      <c r="H250" s="10"/>
      <c r="I250" s="11"/>
      <c r="J250" s="10"/>
      <c r="K250" s="11"/>
    </row>
  </sheetData>
  <mergeCells count="2">
    <mergeCell ref="A2:K2"/>
    <mergeCell ref="A1:K1"/>
  </mergeCells>
  <conditionalFormatting sqref="B4:B250">
    <cfRule type="expression" dxfId="3" priority="1">
      <formula>LEN($B4)=0</formula>
    </cfRule>
  </conditionalFormatting>
  <dataValidations count="5">
    <dataValidation type="list" allowBlank="1" sqref="B4:B250" xr:uid="{00000000-0002-0000-1200-000000000000}">
      <formula1>TechIDs</formula1>
    </dataValidation>
    <dataValidation type="list" allowBlank="1" sqref="E4:E250" xr:uid="{00000000-0002-0000-1200-000001000000}">
      <formula1>CategorieBarriere</formula1>
    </dataValidation>
    <dataValidation type="list" allowBlank="1" sqref="F4:F250" xr:uid="{00000000-0002-0000-1200-000002000000}">
      <formula1>BarrieraOOpportunita</formula1>
    </dataValidation>
    <dataValidation type="list" allowBlank="1" sqref="H4:H250" xr:uid="{00000000-0002-0000-1200-000003000000}">
      <formula1>IntensitaImpatto</formula1>
    </dataValidation>
    <dataValidation type="list" allowBlank="1" sqref="J4:J250" xr:uid="{00000000-0002-0000-1200-000004000000}">
      <formula1>SourceIDs</formula1>
    </dataValidation>
  </dataValidation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F766E"/>
  </sheetPr>
  <dimension ref="A1:L250"/>
  <sheetViews>
    <sheetView showGridLines="0" workbookViewId="0"/>
  </sheetViews>
  <sheetFormatPr defaultRowHeight="14.45"/>
  <cols>
    <col min="1" max="1" width="14" customWidth="1"/>
    <col min="2" max="2" width="10" customWidth="1"/>
    <col min="3" max="3" width="22" customWidth="1"/>
    <col min="4" max="4" width="16" customWidth="1"/>
    <col min="5" max="5" width="24" customWidth="1"/>
    <col min="6" max="6" width="18" customWidth="1"/>
    <col min="7" max="7" width="14" customWidth="1"/>
    <col min="8" max="8" width="24" customWidth="1"/>
    <col min="9" max="9" width="20" customWidth="1"/>
    <col min="10" max="10" width="28" customWidth="1"/>
    <col min="11" max="11" width="12" customWidth="1"/>
    <col min="12" max="12" width="24" customWidth="1"/>
  </cols>
  <sheetData>
    <row r="1" spans="1:12" ht="24" customHeight="1">
      <c r="A1" s="28" t="s">
        <v>3312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36" customHeight="1">
      <c r="A2" s="29" t="s">
        <v>3313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27.95" customHeight="1">
      <c r="A3" s="9" t="s">
        <v>203</v>
      </c>
      <c r="B3" s="9" t="s">
        <v>64</v>
      </c>
      <c r="C3" s="9" t="s">
        <v>23</v>
      </c>
      <c r="D3" s="9" t="s">
        <v>199</v>
      </c>
      <c r="E3" s="9" t="s">
        <v>3314</v>
      </c>
      <c r="F3" s="9" t="s">
        <v>3315</v>
      </c>
      <c r="G3" s="9" t="s">
        <v>3316</v>
      </c>
      <c r="H3" s="9" t="s">
        <v>3317</v>
      </c>
      <c r="I3" s="9" t="s">
        <v>3318</v>
      </c>
      <c r="J3" s="9" t="s">
        <v>3319</v>
      </c>
      <c r="K3" s="9" t="s">
        <v>1061</v>
      </c>
      <c r="L3" s="9" t="s">
        <v>1062</v>
      </c>
    </row>
    <row r="4" spans="1:12" ht="43.5" customHeight="1">
      <c r="A4" s="10" t="s">
        <v>3320</v>
      </c>
      <c r="B4" s="10" t="s">
        <v>117</v>
      </c>
      <c r="C4" s="10" t="s">
        <v>118</v>
      </c>
      <c r="D4" s="10" t="s">
        <v>200</v>
      </c>
      <c r="E4" s="10" t="s">
        <v>527</v>
      </c>
      <c r="F4" s="10" t="s">
        <v>240</v>
      </c>
      <c r="G4" s="10" t="s">
        <v>311</v>
      </c>
      <c r="H4" s="11" t="s">
        <v>3321</v>
      </c>
      <c r="I4" s="11" t="s">
        <v>110</v>
      </c>
      <c r="J4" s="10" t="s">
        <v>528</v>
      </c>
      <c r="K4" s="10" t="s">
        <v>524</v>
      </c>
      <c r="L4" s="11" t="s">
        <v>3322</v>
      </c>
    </row>
    <row r="5" spans="1:12" ht="29.1" customHeight="1">
      <c r="A5" s="10" t="s">
        <v>3323</v>
      </c>
      <c r="B5" s="10" t="s">
        <v>117</v>
      </c>
      <c r="C5" s="10" t="s">
        <v>118</v>
      </c>
      <c r="D5" s="10" t="s">
        <v>200</v>
      </c>
      <c r="E5" s="10" t="s">
        <v>538</v>
      </c>
      <c r="F5" s="10" t="s">
        <v>240</v>
      </c>
      <c r="G5" s="10" t="s">
        <v>311</v>
      </c>
      <c r="H5" s="11" t="s">
        <v>3324</v>
      </c>
      <c r="I5" s="11" t="s">
        <v>110</v>
      </c>
      <c r="J5" s="10" t="s">
        <v>539</v>
      </c>
      <c r="K5" s="10" t="s">
        <v>536</v>
      </c>
      <c r="L5" s="11" t="s">
        <v>3325</v>
      </c>
    </row>
    <row r="6" spans="1:12" ht="29.1" customHeight="1">
      <c r="A6" s="10" t="s">
        <v>3326</v>
      </c>
      <c r="B6" s="10" t="s">
        <v>117</v>
      </c>
      <c r="C6" s="10" t="s">
        <v>118</v>
      </c>
      <c r="D6" s="10" t="s">
        <v>1067</v>
      </c>
      <c r="E6" s="10" t="s">
        <v>514</v>
      </c>
      <c r="F6" s="10" t="s">
        <v>263</v>
      </c>
      <c r="G6" s="10" t="s">
        <v>311</v>
      </c>
      <c r="H6" s="11" t="s">
        <v>3327</v>
      </c>
      <c r="I6" s="11" t="s">
        <v>110</v>
      </c>
      <c r="J6" s="10" t="s">
        <v>3328</v>
      </c>
      <c r="K6" s="10" t="s">
        <v>511</v>
      </c>
      <c r="L6" s="11" t="s">
        <v>3329</v>
      </c>
    </row>
    <row r="7" spans="1:12" ht="29.1" customHeight="1">
      <c r="A7" s="10" t="s">
        <v>3330</v>
      </c>
      <c r="B7" s="10" t="s">
        <v>117</v>
      </c>
      <c r="C7" s="10" t="s">
        <v>118</v>
      </c>
      <c r="D7" s="10" t="s">
        <v>1067</v>
      </c>
      <c r="E7" s="10" t="s">
        <v>533</v>
      </c>
      <c r="F7" s="10" t="s">
        <v>263</v>
      </c>
      <c r="G7" s="10" t="s">
        <v>2556</v>
      </c>
      <c r="H7" s="11" t="s">
        <v>3331</v>
      </c>
      <c r="I7" s="11" t="s">
        <v>110</v>
      </c>
      <c r="J7" s="10" t="s">
        <v>534</v>
      </c>
      <c r="K7" s="10" t="s">
        <v>531</v>
      </c>
      <c r="L7" s="11" t="s">
        <v>3332</v>
      </c>
    </row>
    <row r="8" spans="1:12" ht="43.5" customHeight="1">
      <c r="A8" s="10" t="s">
        <v>3333</v>
      </c>
      <c r="B8" s="10" t="s">
        <v>117</v>
      </c>
      <c r="C8" s="10" t="s">
        <v>118</v>
      </c>
      <c r="D8" s="10" t="s">
        <v>1110</v>
      </c>
      <c r="E8" s="10" t="s">
        <v>447</v>
      </c>
      <c r="F8" s="10" t="s">
        <v>325</v>
      </c>
      <c r="G8" s="10" t="s">
        <v>2556</v>
      </c>
      <c r="H8" s="11" t="s">
        <v>3334</v>
      </c>
      <c r="I8" s="11" t="s">
        <v>110</v>
      </c>
      <c r="J8" s="10" t="s">
        <v>3335</v>
      </c>
      <c r="K8" s="10" t="s">
        <v>505</v>
      </c>
      <c r="L8" s="11" t="s">
        <v>3336</v>
      </c>
    </row>
    <row r="9" spans="1:12" ht="43.5" customHeight="1">
      <c r="A9" s="10" t="s">
        <v>3337</v>
      </c>
      <c r="B9" s="10" t="s">
        <v>117</v>
      </c>
      <c r="C9" s="10" t="s">
        <v>118</v>
      </c>
      <c r="D9" s="10"/>
      <c r="E9" s="10" t="s">
        <v>422</v>
      </c>
      <c r="F9" s="10" t="s">
        <v>325</v>
      </c>
      <c r="G9" s="10" t="s">
        <v>290</v>
      </c>
      <c r="H9" s="11" t="s">
        <v>3338</v>
      </c>
      <c r="I9" s="11" t="s">
        <v>110</v>
      </c>
      <c r="J9" s="10" t="s">
        <v>3339</v>
      </c>
      <c r="K9" s="10" t="s">
        <v>429</v>
      </c>
      <c r="L9" s="11" t="s">
        <v>3340</v>
      </c>
    </row>
    <row r="10" spans="1:12" ht="72.599999999999994" customHeight="1">
      <c r="A10" s="10" t="s">
        <v>3341</v>
      </c>
      <c r="B10" s="10" t="s">
        <v>117</v>
      </c>
      <c r="C10" s="10" t="s">
        <v>118</v>
      </c>
      <c r="D10" s="10"/>
      <c r="E10" s="10" t="s">
        <v>472</v>
      </c>
      <c r="F10" s="10" t="s">
        <v>347</v>
      </c>
      <c r="G10" s="10" t="s">
        <v>242</v>
      </c>
      <c r="H10" s="11" t="s">
        <v>3342</v>
      </c>
      <c r="I10" s="11" t="s">
        <v>110</v>
      </c>
      <c r="J10" s="10" t="s">
        <v>3343</v>
      </c>
      <c r="K10" s="10" t="s">
        <v>469</v>
      </c>
      <c r="L10" s="11" t="s">
        <v>3344</v>
      </c>
    </row>
    <row r="11" spans="1:12" ht="43.5" customHeight="1">
      <c r="A11" s="10" t="s">
        <v>3345</v>
      </c>
      <c r="B11" s="10" t="s">
        <v>131</v>
      </c>
      <c r="C11" s="10" t="s">
        <v>132</v>
      </c>
      <c r="D11" s="10" t="s">
        <v>1144</v>
      </c>
      <c r="E11" s="10" t="s">
        <v>626</v>
      </c>
      <c r="F11" s="10" t="s">
        <v>263</v>
      </c>
      <c r="G11" s="10" t="s">
        <v>2698</v>
      </c>
      <c r="H11" s="11" t="s">
        <v>3346</v>
      </c>
      <c r="I11" s="11" t="s">
        <v>110</v>
      </c>
      <c r="J11" s="10" t="s">
        <v>3347</v>
      </c>
      <c r="K11" s="10" t="s">
        <v>623</v>
      </c>
      <c r="L11" s="11" t="s">
        <v>3348</v>
      </c>
    </row>
    <row r="12" spans="1:12" ht="43.5" customHeight="1">
      <c r="A12" s="10" t="s">
        <v>3349</v>
      </c>
      <c r="B12" s="10" t="s">
        <v>131</v>
      </c>
      <c r="C12" s="10" t="s">
        <v>132</v>
      </c>
      <c r="D12" s="10" t="s">
        <v>1150</v>
      </c>
      <c r="E12" s="10" t="s">
        <v>619</v>
      </c>
      <c r="F12" s="10" t="s">
        <v>263</v>
      </c>
      <c r="G12" s="10" t="s">
        <v>290</v>
      </c>
      <c r="H12" s="11" t="s">
        <v>3350</v>
      </c>
      <c r="I12" s="11" t="s">
        <v>110</v>
      </c>
      <c r="J12" s="10" t="s">
        <v>3351</v>
      </c>
      <c r="K12" s="10" t="s">
        <v>617</v>
      </c>
      <c r="L12" s="11" t="s">
        <v>3352</v>
      </c>
    </row>
    <row r="13" spans="1:12" ht="29.1" customHeight="1">
      <c r="A13" s="10" t="s">
        <v>3353</v>
      </c>
      <c r="B13" s="10" t="s">
        <v>131</v>
      </c>
      <c r="C13" s="10" t="s">
        <v>132</v>
      </c>
      <c r="D13" s="10"/>
      <c r="E13" s="10" t="s">
        <v>601</v>
      </c>
      <c r="F13" s="10" t="s">
        <v>3354</v>
      </c>
      <c r="G13" s="10" t="s">
        <v>2698</v>
      </c>
      <c r="H13" s="11" t="s">
        <v>3355</v>
      </c>
      <c r="I13" s="11" t="s">
        <v>110</v>
      </c>
      <c r="J13" s="10" t="s">
        <v>3356</v>
      </c>
      <c r="K13" s="10" t="s">
        <v>599</v>
      </c>
      <c r="L13" s="11" t="s">
        <v>3357</v>
      </c>
    </row>
    <row r="14" spans="1:12" ht="29.1" customHeight="1">
      <c r="A14" s="10" t="s">
        <v>3358</v>
      </c>
      <c r="B14" s="10" t="s">
        <v>131</v>
      </c>
      <c r="C14" s="10" t="s">
        <v>132</v>
      </c>
      <c r="D14" s="10" t="s">
        <v>1168</v>
      </c>
      <c r="E14" s="10" t="s">
        <v>607</v>
      </c>
      <c r="F14" s="10" t="s">
        <v>3354</v>
      </c>
      <c r="G14" s="10" t="s">
        <v>2578</v>
      </c>
      <c r="H14" s="11" t="s">
        <v>3359</v>
      </c>
      <c r="I14" s="11" t="s">
        <v>110</v>
      </c>
      <c r="J14" s="10" t="s">
        <v>3360</v>
      </c>
      <c r="K14" s="10" t="s">
        <v>605</v>
      </c>
      <c r="L14" s="11" t="s">
        <v>3361</v>
      </c>
    </row>
    <row r="15" spans="1:12" ht="29.1" customHeight="1">
      <c r="A15" s="10" t="s">
        <v>3362</v>
      </c>
      <c r="B15" s="10" t="s">
        <v>131</v>
      </c>
      <c r="C15" s="10" t="s">
        <v>132</v>
      </c>
      <c r="D15" s="10"/>
      <c r="E15" s="10" t="s">
        <v>3363</v>
      </c>
      <c r="F15" s="10" t="s">
        <v>3354</v>
      </c>
      <c r="G15" s="10" t="s">
        <v>2564</v>
      </c>
      <c r="H15" s="11" t="s">
        <v>3364</v>
      </c>
      <c r="I15" s="11" t="s">
        <v>110</v>
      </c>
      <c r="J15" s="10" t="s">
        <v>3365</v>
      </c>
      <c r="K15" s="10" t="s">
        <v>593</v>
      </c>
      <c r="L15" s="11" t="s">
        <v>3366</v>
      </c>
    </row>
    <row r="16" spans="1:12" ht="43.5" customHeight="1">
      <c r="A16" s="10" t="s">
        <v>3367</v>
      </c>
      <c r="B16" s="10" t="s">
        <v>131</v>
      </c>
      <c r="C16" s="10" t="s">
        <v>132</v>
      </c>
      <c r="D16" s="10"/>
      <c r="E16" s="10" t="s">
        <v>3368</v>
      </c>
      <c r="F16" s="10" t="s">
        <v>352</v>
      </c>
      <c r="G16" s="10" t="s">
        <v>265</v>
      </c>
      <c r="H16" s="11" t="s">
        <v>3369</v>
      </c>
      <c r="I16" s="11" t="s">
        <v>2228</v>
      </c>
      <c r="J16" s="10" t="s">
        <v>3370</v>
      </c>
      <c r="K16" s="10" t="s">
        <v>577</v>
      </c>
      <c r="L16" s="11" t="s">
        <v>3371</v>
      </c>
    </row>
    <row r="17" spans="1:12" ht="43.5" customHeight="1">
      <c r="A17" s="10" t="s">
        <v>3372</v>
      </c>
      <c r="B17" s="10" t="s">
        <v>131</v>
      </c>
      <c r="C17" s="10" t="s">
        <v>132</v>
      </c>
      <c r="D17" s="10"/>
      <c r="E17" s="10" t="s">
        <v>422</v>
      </c>
      <c r="F17" s="10" t="s">
        <v>325</v>
      </c>
      <c r="G17" s="10" t="s">
        <v>290</v>
      </c>
      <c r="H17" s="11" t="s">
        <v>3373</v>
      </c>
      <c r="I17" s="11" t="s">
        <v>110</v>
      </c>
      <c r="J17" s="10" t="s">
        <v>3339</v>
      </c>
      <c r="K17" s="10" t="s">
        <v>3374</v>
      </c>
      <c r="L17" s="11" t="s">
        <v>3340</v>
      </c>
    </row>
    <row r="18" spans="1:12" ht="29.1" customHeight="1">
      <c r="A18" s="10" t="s">
        <v>3375</v>
      </c>
      <c r="B18" s="10" t="s">
        <v>161</v>
      </c>
      <c r="C18" s="10" t="s">
        <v>162</v>
      </c>
      <c r="D18" s="10" t="s">
        <v>1126</v>
      </c>
      <c r="E18" s="10" t="s">
        <v>3376</v>
      </c>
      <c r="F18" s="10" t="s">
        <v>263</v>
      </c>
      <c r="G18" s="10" t="s">
        <v>2556</v>
      </c>
      <c r="H18" s="11" t="s">
        <v>3377</v>
      </c>
      <c r="I18" s="11" t="s">
        <v>110</v>
      </c>
      <c r="J18" s="10" t="s">
        <v>3378</v>
      </c>
      <c r="K18" s="10" t="s">
        <v>666</v>
      </c>
      <c r="L18" s="11" t="s">
        <v>3379</v>
      </c>
    </row>
    <row r="19" spans="1:12" ht="43.5" customHeight="1">
      <c r="A19" s="10" t="s">
        <v>3380</v>
      </c>
      <c r="B19" s="10" t="s">
        <v>161</v>
      </c>
      <c r="C19" s="10" t="s">
        <v>162</v>
      </c>
      <c r="D19" s="10" t="s">
        <v>1132</v>
      </c>
      <c r="E19" s="10" t="s">
        <v>3381</v>
      </c>
      <c r="F19" s="10" t="s">
        <v>263</v>
      </c>
      <c r="G19" s="10" t="s">
        <v>2564</v>
      </c>
      <c r="H19" s="11" t="s">
        <v>3382</v>
      </c>
      <c r="I19" s="11" t="s">
        <v>110</v>
      </c>
      <c r="J19" s="10" t="s">
        <v>3383</v>
      </c>
      <c r="K19" s="10" t="s">
        <v>693</v>
      </c>
      <c r="L19" s="11" t="s">
        <v>3384</v>
      </c>
    </row>
    <row r="20" spans="1:12" ht="29.1" customHeight="1">
      <c r="A20" s="10" t="s">
        <v>3385</v>
      </c>
      <c r="B20" s="10" t="s">
        <v>161</v>
      </c>
      <c r="C20" s="10" t="s">
        <v>162</v>
      </c>
      <c r="D20" s="10" t="s">
        <v>1132</v>
      </c>
      <c r="E20" s="10" t="s">
        <v>3386</v>
      </c>
      <c r="F20" s="10" t="s">
        <v>263</v>
      </c>
      <c r="G20" s="10" t="s">
        <v>2556</v>
      </c>
      <c r="H20" s="11" t="s">
        <v>3387</v>
      </c>
      <c r="I20" s="11" t="s">
        <v>110</v>
      </c>
      <c r="J20" s="10" t="s">
        <v>3388</v>
      </c>
      <c r="K20" s="10" t="s">
        <v>666</v>
      </c>
      <c r="L20" s="11" t="s">
        <v>3332</v>
      </c>
    </row>
    <row r="21" spans="1:12" ht="43.5" customHeight="1">
      <c r="A21" s="10" t="s">
        <v>3389</v>
      </c>
      <c r="B21" s="10" t="s">
        <v>161</v>
      </c>
      <c r="C21" s="10" t="s">
        <v>162</v>
      </c>
      <c r="D21" s="10"/>
      <c r="E21" s="10" t="s">
        <v>3390</v>
      </c>
      <c r="F21" s="10" t="s">
        <v>3391</v>
      </c>
      <c r="G21" s="10" t="s">
        <v>290</v>
      </c>
      <c r="H21" s="11" t="s">
        <v>3392</v>
      </c>
      <c r="I21" s="11" t="s">
        <v>110</v>
      </c>
      <c r="J21" s="10" t="s">
        <v>3393</v>
      </c>
      <c r="K21" s="10" t="s">
        <v>682</v>
      </c>
      <c r="L21" s="11" t="s">
        <v>3394</v>
      </c>
    </row>
    <row r="22" spans="1:12" ht="43.5" customHeight="1">
      <c r="A22" s="10" t="s">
        <v>3395</v>
      </c>
      <c r="B22" s="10" t="s">
        <v>161</v>
      </c>
      <c r="C22" s="10" t="s">
        <v>162</v>
      </c>
      <c r="D22" s="10"/>
      <c r="E22" s="10" t="s">
        <v>700</v>
      </c>
      <c r="F22" s="10" t="s">
        <v>3396</v>
      </c>
      <c r="G22" s="10" t="s">
        <v>2614</v>
      </c>
      <c r="H22" s="11" t="s">
        <v>3397</v>
      </c>
      <c r="I22" s="11" t="s">
        <v>110</v>
      </c>
      <c r="J22" s="10" t="s">
        <v>3398</v>
      </c>
      <c r="K22" s="10" t="s">
        <v>698</v>
      </c>
      <c r="L22" s="11" t="s">
        <v>3399</v>
      </c>
    </row>
    <row r="23" spans="1:12" ht="43.5" customHeight="1">
      <c r="A23" s="10" t="s">
        <v>3400</v>
      </c>
      <c r="B23" s="10" t="s">
        <v>161</v>
      </c>
      <c r="C23" s="10" t="s">
        <v>162</v>
      </c>
      <c r="D23" s="10"/>
      <c r="E23" s="10" t="s">
        <v>3401</v>
      </c>
      <c r="F23" s="10" t="s">
        <v>3402</v>
      </c>
      <c r="G23" s="10" t="s">
        <v>265</v>
      </c>
      <c r="H23" s="11" t="s">
        <v>3403</v>
      </c>
      <c r="I23" s="11" t="s">
        <v>2228</v>
      </c>
      <c r="J23" s="10" t="s">
        <v>3404</v>
      </c>
      <c r="K23" s="10" t="s">
        <v>693</v>
      </c>
      <c r="L23" s="11" t="s">
        <v>3405</v>
      </c>
    </row>
    <row r="24" spans="1:12" ht="43.5" customHeight="1">
      <c r="A24" s="10" t="s">
        <v>3406</v>
      </c>
      <c r="B24" s="10" t="s">
        <v>161</v>
      </c>
      <c r="C24" s="10" t="s">
        <v>162</v>
      </c>
      <c r="D24" s="10"/>
      <c r="E24" s="10" t="s">
        <v>3407</v>
      </c>
      <c r="F24" s="10" t="s">
        <v>325</v>
      </c>
      <c r="G24" s="10" t="s">
        <v>265</v>
      </c>
      <c r="H24" s="11" t="s">
        <v>3408</v>
      </c>
      <c r="I24" s="11" t="s">
        <v>110</v>
      </c>
      <c r="J24" s="10" t="s">
        <v>3409</v>
      </c>
      <c r="K24" s="10" t="s">
        <v>666</v>
      </c>
      <c r="L24" s="11" t="s">
        <v>3410</v>
      </c>
    </row>
    <row r="25" spans="1:12" ht="29.1" customHeight="1">
      <c r="A25" s="10" t="s">
        <v>3411</v>
      </c>
      <c r="B25" s="10" t="s">
        <v>90</v>
      </c>
      <c r="C25" s="10" t="s">
        <v>91</v>
      </c>
      <c r="D25" s="10"/>
      <c r="E25" s="10" t="s">
        <v>1012</v>
      </c>
      <c r="F25" s="10" t="s">
        <v>288</v>
      </c>
      <c r="G25" s="10" t="s">
        <v>2621</v>
      </c>
      <c r="H25" s="11" t="s">
        <v>3412</v>
      </c>
      <c r="I25" s="11" t="s">
        <v>110</v>
      </c>
      <c r="J25" s="10" t="s">
        <v>3413</v>
      </c>
      <c r="K25" s="10"/>
      <c r="L25" s="11"/>
    </row>
    <row r="26" spans="1:12">
      <c r="A26" s="10" t="s">
        <v>3414</v>
      </c>
      <c r="B26" s="10" t="s">
        <v>90</v>
      </c>
      <c r="C26" s="10" t="s">
        <v>91</v>
      </c>
      <c r="D26" s="10"/>
      <c r="E26" s="10" t="s">
        <v>1007</v>
      </c>
      <c r="F26" s="10" t="s">
        <v>288</v>
      </c>
      <c r="G26" s="10" t="s">
        <v>2631</v>
      </c>
      <c r="H26" s="11" t="s">
        <v>3415</v>
      </c>
      <c r="I26" s="11" t="s">
        <v>110</v>
      </c>
      <c r="J26" s="10" t="s">
        <v>3416</v>
      </c>
      <c r="K26" s="10"/>
      <c r="L26" s="11"/>
    </row>
    <row r="27" spans="1:12">
      <c r="A27" s="10" t="s">
        <v>3417</v>
      </c>
      <c r="B27" s="10" t="s">
        <v>90</v>
      </c>
      <c r="C27" s="10" t="s">
        <v>91</v>
      </c>
      <c r="D27" s="10"/>
      <c r="E27" s="10" t="s">
        <v>1001</v>
      </c>
      <c r="F27" s="10" t="s">
        <v>240</v>
      </c>
      <c r="G27" s="10" t="s">
        <v>290</v>
      </c>
      <c r="H27" s="11" t="s">
        <v>3418</v>
      </c>
      <c r="I27" s="11" t="s">
        <v>93</v>
      </c>
      <c r="J27" s="10" t="s">
        <v>1002</v>
      </c>
      <c r="K27" s="10"/>
      <c r="L27" s="11"/>
    </row>
    <row r="28" spans="1:12" ht="29.1" customHeight="1">
      <c r="A28" s="10" t="s">
        <v>3419</v>
      </c>
      <c r="B28" s="10" t="s">
        <v>90</v>
      </c>
      <c r="C28" s="10" t="s">
        <v>91</v>
      </c>
      <c r="D28" s="10"/>
      <c r="E28" s="10" t="s">
        <v>3420</v>
      </c>
      <c r="F28" s="10" t="s">
        <v>263</v>
      </c>
      <c r="G28" s="10" t="s">
        <v>2621</v>
      </c>
      <c r="H28" s="11" t="s">
        <v>3421</v>
      </c>
      <c r="I28" s="11" t="s">
        <v>110</v>
      </c>
      <c r="J28" s="10" t="s">
        <v>3422</v>
      </c>
      <c r="K28" s="10"/>
      <c r="L28" s="11"/>
    </row>
    <row r="29" spans="1:12" ht="29.1" customHeight="1">
      <c r="A29" s="10" t="s">
        <v>3423</v>
      </c>
      <c r="B29" s="10" t="s">
        <v>90</v>
      </c>
      <c r="C29" s="10" t="s">
        <v>91</v>
      </c>
      <c r="D29" s="10"/>
      <c r="E29" s="10" t="s">
        <v>1018</v>
      </c>
      <c r="F29" s="10" t="s">
        <v>288</v>
      </c>
      <c r="G29" s="10" t="s">
        <v>311</v>
      </c>
      <c r="H29" s="11" t="s">
        <v>3424</v>
      </c>
      <c r="I29" s="11" t="s">
        <v>110</v>
      </c>
      <c r="J29" s="10" t="s">
        <v>1019</v>
      </c>
      <c r="K29" s="10"/>
      <c r="L29" s="11"/>
    </row>
    <row r="30" spans="1:12" ht="29.1" customHeight="1">
      <c r="A30" s="10" t="s">
        <v>3425</v>
      </c>
      <c r="B30" s="10" t="s">
        <v>90</v>
      </c>
      <c r="C30" s="10" t="s">
        <v>91</v>
      </c>
      <c r="D30" s="10"/>
      <c r="E30" s="10" t="s">
        <v>3426</v>
      </c>
      <c r="F30" s="10" t="s">
        <v>325</v>
      </c>
      <c r="G30" s="10" t="s">
        <v>290</v>
      </c>
      <c r="H30" s="11" t="s">
        <v>3427</v>
      </c>
      <c r="I30" s="11" t="s">
        <v>110</v>
      </c>
      <c r="J30" s="10" t="s">
        <v>3428</v>
      </c>
      <c r="K30" s="10"/>
      <c r="L30" s="11"/>
    </row>
    <row r="31" spans="1:12" ht="29.1" customHeight="1">
      <c r="A31" s="10" t="s">
        <v>3429</v>
      </c>
      <c r="B31" s="10" t="s">
        <v>90</v>
      </c>
      <c r="C31" s="10" t="s">
        <v>91</v>
      </c>
      <c r="D31" s="10"/>
      <c r="E31" s="10" t="s">
        <v>373</v>
      </c>
      <c r="F31" s="10" t="s">
        <v>352</v>
      </c>
      <c r="G31" s="10" t="s">
        <v>338</v>
      </c>
      <c r="H31" s="11" t="s">
        <v>3430</v>
      </c>
      <c r="I31" s="11" t="s">
        <v>110</v>
      </c>
      <c r="J31" s="10" t="s">
        <v>3431</v>
      </c>
      <c r="K31" s="10"/>
      <c r="L31" s="11"/>
    </row>
    <row r="32" spans="1:12" ht="57.95" customHeight="1">
      <c r="A32" s="10" t="s">
        <v>3432</v>
      </c>
      <c r="B32" s="10" t="s">
        <v>102</v>
      </c>
      <c r="C32" s="10" t="s">
        <v>103</v>
      </c>
      <c r="D32" s="10"/>
      <c r="E32" s="10" t="s">
        <v>990</v>
      </c>
      <c r="F32" s="10" t="s">
        <v>240</v>
      </c>
      <c r="G32" s="10" t="s">
        <v>1971</v>
      </c>
      <c r="H32" s="11" t="s">
        <v>3433</v>
      </c>
      <c r="I32" s="11" t="s">
        <v>110</v>
      </c>
      <c r="J32" s="10" t="s">
        <v>3434</v>
      </c>
      <c r="K32" s="10"/>
      <c r="L32" s="11"/>
    </row>
    <row r="33" spans="1:12" ht="29.1" customHeight="1">
      <c r="A33" s="10" t="s">
        <v>3435</v>
      </c>
      <c r="B33" s="10" t="s">
        <v>102</v>
      </c>
      <c r="C33" s="10" t="s">
        <v>103</v>
      </c>
      <c r="D33" s="10"/>
      <c r="E33" s="10" t="s">
        <v>984</v>
      </c>
      <c r="F33" s="10" t="s">
        <v>240</v>
      </c>
      <c r="G33" s="10" t="s">
        <v>2647</v>
      </c>
      <c r="H33" s="11" t="s">
        <v>3436</v>
      </c>
      <c r="I33" s="11" t="s">
        <v>110</v>
      </c>
      <c r="J33" s="10" t="s">
        <v>985</v>
      </c>
      <c r="K33" s="10"/>
      <c r="L33" s="11"/>
    </row>
    <row r="34" spans="1:12" ht="29.1" customHeight="1">
      <c r="A34" s="10" t="s">
        <v>3437</v>
      </c>
      <c r="B34" s="10" t="s">
        <v>102</v>
      </c>
      <c r="C34" s="10" t="s">
        <v>103</v>
      </c>
      <c r="D34" s="10"/>
      <c r="E34" s="10" t="s">
        <v>978</v>
      </c>
      <c r="F34" s="10" t="s">
        <v>240</v>
      </c>
      <c r="G34" s="10" t="s">
        <v>2641</v>
      </c>
      <c r="H34" s="11" t="s">
        <v>3438</v>
      </c>
      <c r="I34" s="11" t="s">
        <v>93</v>
      </c>
      <c r="J34" s="10" t="s">
        <v>3439</v>
      </c>
      <c r="K34" s="10"/>
      <c r="L34" s="11"/>
    </row>
    <row r="35" spans="1:12" ht="29.1" customHeight="1">
      <c r="A35" s="10" t="s">
        <v>3440</v>
      </c>
      <c r="B35" s="10" t="s">
        <v>102</v>
      </c>
      <c r="C35" s="10" t="s">
        <v>103</v>
      </c>
      <c r="D35" s="10"/>
      <c r="E35" s="10" t="s">
        <v>996</v>
      </c>
      <c r="F35" s="10" t="s">
        <v>240</v>
      </c>
      <c r="G35" s="10" t="s">
        <v>2658</v>
      </c>
      <c r="H35" s="11" t="s">
        <v>3441</v>
      </c>
      <c r="I35" s="11" t="s">
        <v>110</v>
      </c>
      <c r="J35" s="10" t="s">
        <v>3442</v>
      </c>
      <c r="K35" s="10"/>
      <c r="L35" s="11"/>
    </row>
    <row r="36" spans="1:12" ht="29.1" customHeight="1">
      <c r="A36" s="10" t="s">
        <v>3443</v>
      </c>
      <c r="B36" s="10" t="s">
        <v>102</v>
      </c>
      <c r="C36" s="10" t="s">
        <v>103</v>
      </c>
      <c r="D36" s="10"/>
      <c r="E36" s="10" t="s">
        <v>3444</v>
      </c>
      <c r="F36" s="10" t="s">
        <v>263</v>
      </c>
      <c r="G36" s="10" t="s">
        <v>290</v>
      </c>
      <c r="H36" s="11" t="s">
        <v>3445</v>
      </c>
      <c r="I36" s="11" t="s">
        <v>93</v>
      </c>
      <c r="J36" s="10" t="s">
        <v>3446</v>
      </c>
      <c r="K36" s="10"/>
      <c r="L36" s="11"/>
    </row>
    <row r="37" spans="1:12">
      <c r="A37" s="10" t="s">
        <v>3447</v>
      </c>
      <c r="B37" s="10" t="s">
        <v>102</v>
      </c>
      <c r="C37" s="10" t="s">
        <v>103</v>
      </c>
      <c r="D37" s="10"/>
      <c r="E37" s="10" t="s">
        <v>373</v>
      </c>
      <c r="F37" s="10" t="s">
        <v>352</v>
      </c>
      <c r="G37" s="10" t="s">
        <v>338</v>
      </c>
      <c r="H37" s="11" t="s">
        <v>3448</v>
      </c>
      <c r="I37" s="11" t="s">
        <v>110</v>
      </c>
      <c r="J37" s="10" t="s">
        <v>3431</v>
      </c>
      <c r="K37" s="10"/>
      <c r="L37" s="11"/>
    </row>
    <row r="38" spans="1:12" ht="43.5" customHeight="1">
      <c r="A38" s="10" t="s">
        <v>3449</v>
      </c>
      <c r="B38" s="10" t="s">
        <v>102</v>
      </c>
      <c r="C38" s="10" t="s">
        <v>103</v>
      </c>
      <c r="D38" s="10"/>
      <c r="E38" s="10" t="s">
        <v>3450</v>
      </c>
      <c r="F38" s="10" t="s">
        <v>347</v>
      </c>
      <c r="G38" s="10" t="s">
        <v>1036</v>
      </c>
      <c r="H38" s="11" t="s">
        <v>3451</v>
      </c>
      <c r="I38" s="11" t="s">
        <v>93</v>
      </c>
      <c r="J38" s="10" t="s">
        <v>3452</v>
      </c>
      <c r="K38" s="10"/>
      <c r="L38" s="11"/>
    </row>
    <row r="39" spans="1:12" ht="29.1" customHeight="1">
      <c r="A39" s="10" t="s">
        <v>3453</v>
      </c>
      <c r="B39" s="10" t="s">
        <v>108</v>
      </c>
      <c r="C39" s="10" t="s">
        <v>109</v>
      </c>
      <c r="D39" s="10"/>
      <c r="E39" s="10" t="s">
        <v>619</v>
      </c>
      <c r="F39" s="10" t="s">
        <v>263</v>
      </c>
      <c r="G39" s="10" t="s">
        <v>290</v>
      </c>
      <c r="H39" s="11" t="s">
        <v>3454</v>
      </c>
      <c r="I39" s="11" t="s">
        <v>110</v>
      </c>
      <c r="J39" s="10" t="s">
        <v>3351</v>
      </c>
      <c r="K39" s="10"/>
      <c r="L39" s="11"/>
    </row>
    <row r="40" spans="1:12" ht="29.1" customHeight="1">
      <c r="A40" s="10" t="s">
        <v>3455</v>
      </c>
      <c r="B40" s="10" t="s">
        <v>108</v>
      </c>
      <c r="C40" s="10" t="s">
        <v>109</v>
      </c>
      <c r="D40" s="10"/>
      <c r="E40" s="10" t="s">
        <v>3420</v>
      </c>
      <c r="F40" s="10" t="s">
        <v>263</v>
      </c>
      <c r="G40" s="10" t="s">
        <v>2621</v>
      </c>
      <c r="H40" s="11" t="s">
        <v>3456</v>
      </c>
      <c r="I40" s="11" t="s">
        <v>110</v>
      </c>
      <c r="J40" s="10" t="s">
        <v>3422</v>
      </c>
      <c r="K40" s="10"/>
      <c r="L40" s="11"/>
    </row>
    <row r="41" spans="1:12" ht="29.1" customHeight="1">
      <c r="A41" s="10" t="s">
        <v>3457</v>
      </c>
      <c r="B41" s="10" t="s">
        <v>108</v>
      </c>
      <c r="C41" s="10" t="s">
        <v>109</v>
      </c>
      <c r="D41" s="10"/>
      <c r="E41" s="10" t="s">
        <v>3386</v>
      </c>
      <c r="F41" s="10" t="s">
        <v>263</v>
      </c>
      <c r="G41" s="10" t="s">
        <v>2556</v>
      </c>
      <c r="H41" s="11" t="s">
        <v>3458</v>
      </c>
      <c r="I41" s="11" t="s">
        <v>110</v>
      </c>
      <c r="J41" s="10" t="s">
        <v>3388</v>
      </c>
      <c r="K41" s="10"/>
      <c r="L41" s="11"/>
    </row>
    <row r="42" spans="1:12" ht="29.1" customHeight="1">
      <c r="A42" s="10" t="s">
        <v>3459</v>
      </c>
      <c r="B42" s="10" t="s">
        <v>108</v>
      </c>
      <c r="C42" s="10" t="s">
        <v>109</v>
      </c>
      <c r="D42" s="10"/>
      <c r="E42" s="10" t="s">
        <v>955</v>
      </c>
      <c r="F42" s="10" t="s">
        <v>288</v>
      </c>
      <c r="G42" s="10" t="s">
        <v>2564</v>
      </c>
      <c r="H42" s="11" t="s">
        <v>3460</v>
      </c>
      <c r="I42" s="11" t="s">
        <v>93</v>
      </c>
      <c r="J42" s="10" t="s">
        <v>3461</v>
      </c>
      <c r="K42" s="10"/>
      <c r="L42" s="11"/>
    </row>
    <row r="43" spans="1:12" ht="29.1" customHeight="1">
      <c r="A43" s="10" t="s">
        <v>3462</v>
      </c>
      <c r="B43" s="10" t="s">
        <v>108</v>
      </c>
      <c r="C43" s="10" t="s">
        <v>109</v>
      </c>
      <c r="D43" s="10"/>
      <c r="E43" s="10" t="s">
        <v>966</v>
      </c>
      <c r="F43" s="10" t="s">
        <v>240</v>
      </c>
      <c r="G43" s="10" t="s">
        <v>290</v>
      </c>
      <c r="H43" s="11" t="s">
        <v>3463</v>
      </c>
      <c r="I43" s="11" t="s">
        <v>93</v>
      </c>
      <c r="J43" s="10" t="s">
        <v>967</v>
      </c>
      <c r="K43" s="10"/>
      <c r="L43" s="11"/>
    </row>
    <row r="44" spans="1:12" ht="29.1" customHeight="1">
      <c r="A44" s="10" t="s">
        <v>3464</v>
      </c>
      <c r="B44" s="10" t="s">
        <v>108</v>
      </c>
      <c r="C44" s="10" t="s">
        <v>109</v>
      </c>
      <c r="D44" s="10"/>
      <c r="E44" s="10" t="s">
        <v>373</v>
      </c>
      <c r="F44" s="10" t="s">
        <v>352</v>
      </c>
      <c r="G44" s="10" t="s">
        <v>338</v>
      </c>
      <c r="H44" s="11" t="s">
        <v>3465</v>
      </c>
      <c r="I44" s="11" t="s">
        <v>110</v>
      </c>
      <c r="J44" s="10" t="s">
        <v>3431</v>
      </c>
      <c r="K44" s="10"/>
      <c r="L44" s="11"/>
    </row>
    <row r="45" spans="1:12" ht="29.1" customHeight="1">
      <c r="A45" s="10" t="s">
        <v>3466</v>
      </c>
      <c r="B45" s="10" t="s">
        <v>108</v>
      </c>
      <c r="C45" s="10" t="s">
        <v>109</v>
      </c>
      <c r="D45" s="10"/>
      <c r="E45" s="10" t="s">
        <v>3467</v>
      </c>
      <c r="F45" s="10" t="s">
        <v>288</v>
      </c>
      <c r="G45" s="10" t="s">
        <v>242</v>
      </c>
      <c r="H45" s="11" t="s">
        <v>3468</v>
      </c>
      <c r="I45" s="11" t="s">
        <v>110</v>
      </c>
      <c r="J45" s="10" t="s">
        <v>3469</v>
      </c>
      <c r="K45" s="10"/>
      <c r="L45" s="11"/>
    </row>
    <row r="46" spans="1:12">
      <c r="A46" s="10" t="s">
        <v>3470</v>
      </c>
      <c r="B46" s="10" t="s">
        <v>124</v>
      </c>
      <c r="C46" s="10" t="s">
        <v>125</v>
      </c>
      <c r="D46" s="10"/>
      <c r="E46" s="10" t="s">
        <v>3471</v>
      </c>
      <c r="F46" s="10" t="s">
        <v>240</v>
      </c>
      <c r="G46" s="10" t="s">
        <v>1575</v>
      </c>
      <c r="H46" s="11" t="s">
        <v>3472</v>
      </c>
      <c r="I46" s="11" t="s">
        <v>93</v>
      </c>
      <c r="J46" s="10" t="s">
        <v>3473</v>
      </c>
      <c r="K46" s="10"/>
      <c r="L46" s="11"/>
    </row>
    <row r="47" spans="1:12" ht="29.1" customHeight="1">
      <c r="A47" s="10" t="s">
        <v>3474</v>
      </c>
      <c r="B47" s="10" t="s">
        <v>124</v>
      </c>
      <c r="C47" s="10" t="s">
        <v>125</v>
      </c>
      <c r="D47" s="10"/>
      <c r="E47" s="10" t="s">
        <v>3475</v>
      </c>
      <c r="F47" s="10" t="s">
        <v>288</v>
      </c>
      <c r="G47" s="10" t="s">
        <v>2592</v>
      </c>
      <c r="H47" s="11" t="s">
        <v>3476</v>
      </c>
      <c r="I47" s="11" t="s">
        <v>110</v>
      </c>
      <c r="J47" s="10" t="s">
        <v>3477</v>
      </c>
      <c r="K47" s="10"/>
      <c r="L47" s="11"/>
    </row>
    <row r="48" spans="1:12" ht="29.1" customHeight="1">
      <c r="A48" s="10" t="s">
        <v>3478</v>
      </c>
      <c r="B48" s="10" t="s">
        <v>124</v>
      </c>
      <c r="C48" s="10" t="s">
        <v>125</v>
      </c>
      <c r="D48" s="10"/>
      <c r="E48" s="10" t="s">
        <v>842</v>
      </c>
      <c r="F48" s="10" t="s">
        <v>288</v>
      </c>
      <c r="G48" s="10" t="s">
        <v>1971</v>
      </c>
      <c r="H48" s="11" t="s">
        <v>3479</v>
      </c>
      <c r="I48" s="11" t="s">
        <v>110</v>
      </c>
      <c r="J48" s="10" t="s">
        <v>3480</v>
      </c>
      <c r="K48" s="10"/>
      <c r="L48" s="11"/>
    </row>
    <row r="49" spans="1:12" ht="29.1" customHeight="1">
      <c r="A49" s="10" t="s">
        <v>3481</v>
      </c>
      <c r="B49" s="10" t="s">
        <v>124</v>
      </c>
      <c r="C49" s="10" t="s">
        <v>125</v>
      </c>
      <c r="D49" s="10"/>
      <c r="E49" s="10" t="s">
        <v>3482</v>
      </c>
      <c r="F49" s="10" t="s">
        <v>263</v>
      </c>
      <c r="G49" s="10" t="s">
        <v>2698</v>
      </c>
      <c r="H49" s="11" t="s">
        <v>3483</v>
      </c>
      <c r="I49" s="11" t="s">
        <v>110</v>
      </c>
      <c r="J49" s="10" t="s">
        <v>3484</v>
      </c>
      <c r="K49" s="10"/>
      <c r="L49" s="11"/>
    </row>
    <row r="50" spans="1:12">
      <c r="A50" s="10" t="s">
        <v>3485</v>
      </c>
      <c r="B50" s="10" t="s">
        <v>124</v>
      </c>
      <c r="C50" s="10" t="s">
        <v>125</v>
      </c>
      <c r="D50" s="10"/>
      <c r="E50" s="10" t="s">
        <v>422</v>
      </c>
      <c r="F50" s="10" t="s">
        <v>325</v>
      </c>
      <c r="G50" s="10" t="s">
        <v>290</v>
      </c>
      <c r="H50" s="11" t="s">
        <v>3486</v>
      </c>
      <c r="I50" s="11" t="s">
        <v>110</v>
      </c>
      <c r="J50" s="10" t="s">
        <v>3339</v>
      </c>
      <c r="K50" s="10"/>
      <c r="L50" s="11"/>
    </row>
    <row r="51" spans="1:12" ht="29.1" customHeight="1">
      <c r="A51" s="10" t="s">
        <v>3487</v>
      </c>
      <c r="B51" s="10" t="s">
        <v>124</v>
      </c>
      <c r="C51" s="10" t="s">
        <v>125</v>
      </c>
      <c r="D51" s="10"/>
      <c r="E51" s="10" t="s">
        <v>3488</v>
      </c>
      <c r="F51" s="10" t="s">
        <v>352</v>
      </c>
      <c r="G51" s="10" t="s">
        <v>338</v>
      </c>
      <c r="H51" s="11" t="s">
        <v>3489</v>
      </c>
      <c r="I51" s="11" t="s">
        <v>110</v>
      </c>
      <c r="J51" s="10" t="s">
        <v>3490</v>
      </c>
      <c r="K51" s="10"/>
      <c r="L51" s="11"/>
    </row>
    <row r="52" spans="1:12">
      <c r="A52" s="10" t="s">
        <v>3491</v>
      </c>
      <c r="B52" s="10" t="s">
        <v>124</v>
      </c>
      <c r="C52" s="10" t="s">
        <v>125</v>
      </c>
      <c r="D52" s="10"/>
      <c r="E52" s="10" t="s">
        <v>373</v>
      </c>
      <c r="F52" s="10" t="s">
        <v>352</v>
      </c>
      <c r="G52" s="10" t="s">
        <v>338</v>
      </c>
      <c r="H52" s="11" t="s">
        <v>3492</v>
      </c>
      <c r="I52" s="11" t="s">
        <v>110</v>
      </c>
      <c r="J52" s="10" t="s">
        <v>3431</v>
      </c>
      <c r="K52" s="10"/>
      <c r="L52" s="11"/>
    </row>
    <row r="53" spans="1:12" ht="29.1" customHeight="1">
      <c r="A53" s="10" t="s">
        <v>3493</v>
      </c>
      <c r="B53" s="10" t="s">
        <v>136</v>
      </c>
      <c r="C53" s="10" t="s">
        <v>137</v>
      </c>
      <c r="D53" s="10"/>
      <c r="E53" s="10" t="s">
        <v>3494</v>
      </c>
      <c r="F53" s="10" t="s">
        <v>263</v>
      </c>
      <c r="G53" s="10" t="s">
        <v>2556</v>
      </c>
      <c r="H53" s="11" t="s">
        <v>3495</v>
      </c>
      <c r="I53" s="11" t="s">
        <v>110</v>
      </c>
      <c r="J53" s="10" t="s">
        <v>3496</v>
      </c>
      <c r="K53" s="10"/>
      <c r="L53" s="11"/>
    </row>
    <row r="54" spans="1:12" ht="43.5" customHeight="1">
      <c r="A54" s="10" t="s">
        <v>3497</v>
      </c>
      <c r="B54" s="10" t="s">
        <v>136</v>
      </c>
      <c r="C54" s="10" t="s">
        <v>137</v>
      </c>
      <c r="D54" s="10"/>
      <c r="E54" s="10" t="s">
        <v>3498</v>
      </c>
      <c r="F54" s="10" t="s">
        <v>263</v>
      </c>
      <c r="G54" s="10" t="s">
        <v>3499</v>
      </c>
      <c r="H54" s="11" t="s">
        <v>3500</v>
      </c>
      <c r="I54" s="11" t="s">
        <v>110</v>
      </c>
      <c r="J54" s="10" t="s">
        <v>3501</v>
      </c>
      <c r="K54" s="10"/>
      <c r="L54" s="11"/>
    </row>
    <row r="55" spans="1:12" ht="29.1" customHeight="1">
      <c r="A55" s="10" t="s">
        <v>3502</v>
      </c>
      <c r="B55" s="10" t="s">
        <v>136</v>
      </c>
      <c r="C55" s="10" t="s">
        <v>137</v>
      </c>
      <c r="D55" s="10"/>
      <c r="E55" s="10" t="s">
        <v>3503</v>
      </c>
      <c r="F55" s="10" t="s">
        <v>263</v>
      </c>
      <c r="G55" s="10" t="s">
        <v>338</v>
      </c>
      <c r="H55" s="11" t="s">
        <v>3504</v>
      </c>
      <c r="I55" s="11" t="s">
        <v>110</v>
      </c>
      <c r="J55" s="10" t="s">
        <v>3351</v>
      </c>
      <c r="K55" s="10"/>
      <c r="L55" s="11"/>
    </row>
    <row r="56" spans="1:12" ht="29.1" customHeight="1">
      <c r="A56" s="10" t="s">
        <v>3505</v>
      </c>
      <c r="B56" s="10" t="s">
        <v>136</v>
      </c>
      <c r="C56" s="10" t="s">
        <v>137</v>
      </c>
      <c r="D56" s="10"/>
      <c r="E56" s="10" t="s">
        <v>915</v>
      </c>
      <c r="F56" s="10" t="s">
        <v>288</v>
      </c>
      <c r="G56" s="10" t="s">
        <v>290</v>
      </c>
      <c r="H56" s="11" t="s">
        <v>3506</v>
      </c>
      <c r="I56" s="11" t="s">
        <v>93</v>
      </c>
      <c r="J56" s="10" t="s">
        <v>3507</v>
      </c>
      <c r="K56" s="10"/>
      <c r="L56" s="11"/>
    </row>
    <row r="57" spans="1:12" ht="29.1" customHeight="1">
      <c r="A57" s="10" t="s">
        <v>3508</v>
      </c>
      <c r="B57" s="10" t="s">
        <v>136</v>
      </c>
      <c r="C57" s="10" t="s">
        <v>137</v>
      </c>
      <c r="D57" s="10"/>
      <c r="E57" s="10" t="s">
        <v>920</v>
      </c>
      <c r="F57" s="10" t="s">
        <v>288</v>
      </c>
      <c r="G57" s="10" t="s">
        <v>2715</v>
      </c>
      <c r="H57" s="11" t="s">
        <v>3509</v>
      </c>
      <c r="I57" s="11" t="s">
        <v>110</v>
      </c>
      <c r="J57" s="10" t="s">
        <v>921</v>
      </c>
      <c r="K57" s="10"/>
      <c r="L57" s="11"/>
    </row>
    <row r="58" spans="1:12" ht="29.1" customHeight="1">
      <c r="A58" s="10" t="s">
        <v>3510</v>
      </c>
      <c r="B58" s="10" t="s">
        <v>136</v>
      </c>
      <c r="C58" s="10" t="s">
        <v>137</v>
      </c>
      <c r="D58" s="10"/>
      <c r="E58" s="10" t="s">
        <v>373</v>
      </c>
      <c r="F58" s="10" t="s">
        <v>352</v>
      </c>
      <c r="G58" s="10" t="s">
        <v>338</v>
      </c>
      <c r="H58" s="11" t="s">
        <v>3511</v>
      </c>
      <c r="I58" s="11" t="s">
        <v>110</v>
      </c>
      <c r="J58" s="10" t="s">
        <v>3431</v>
      </c>
      <c r="K58" s="10"/>
      <c r="L58" s="11"/>
    </row>
    <row r="59" spans="1:12" ht="29.1" customHeight="1">
      <c r="A59" s="10" t="s">
        <v>3512</v>
      </c>
      <c r="B59" s="10" t="s">
        <v>136</v>
      </c>
      <c r="C59" s="10" t="s">
        <v>137</v>
      </c>
      <c r="D59" s="10"/>
      <c r="E59" s="10" t="s">
        <v>3513</v>
      </c>
      <c r="F59" s="10" t="s">
        <v>288</v>
      </c>
      <c r="G59" s="10" t="s">
        <v>242</v>
      </c>
      <c r="H59" s="11" t="s">
        <v>3514</v>
      </c>
      <c r="I59" s="11" t="s">
        <v>110</v>
      </c>
      <c r="J59" s="10" t="s">
        <v>3515</v>
      </c>
      <c r="K59" s="10"/>
      <c r="L59" s="11"/>
    </row>
    <row r="60" spans="1:12">
      <c r="A60" s="10" t="s">
        <v>3516</v>
      </c>
      <c r="B60" s="10" t="s">
        <v>143</v>
      </c>
      <c r="C60" s="10" t="s">
        <v>144</v>
      </c>
      <c r="D60" s="10"/>
      <c r="E60" s="10" t="s">
        <v>863</v>
      </c>
      <c r="F60" s="10" t="s">
        <v>288</v>
      </c>
      <c r="G60" s="10" t="s">
        <v>2601</v>
      </c>
      <c r="H60" s="11" t="s">
        <v>3517</v>
      </c>
      <c r="I60" s="11" t="s">
        <v>110</v>
      </c>
      <c r="J60" s="10" t="s">
        <v>3518</v>
      </c>
      <c r="K60" s="10"/>
      <c r="L60" s="11"/>
    </row>
    <row r="61" spans="1:12">
      <c r="A61" s="10" t="s">
        <v>3519</v>
      </c>
      <c r="B61" s="10" t="s">
        <v>143</v>
      </c>
      <c r="C61" s="10" t="s">
        <v>144</v>
      </c>
      <c r="D61" s="10"/>
      <c r="E61" s="10" t="s">
        <v>869</v>
      </c>
      <c r="F61" s="10" t="s">
        <v>288</v>
      </c>
      <c r="G61" s="10" t="s">
        <v>2564</v>
      </c>
      <c r="H61" s="11" t="s">
        <v>3520</v>
      </c>
      <c r="I61" s="11" t="s">
        <v>110</v>
      </c>
      <c r="J61" s="10" t="s">
        <v>3521</v>
      </c>
      <c r="K61" s="10"/>
      <c r="L61" s="11"/>
    </row>
    <row r="62" spans="1:12" ht="29.1" customHeight="1">
      <c r="A62" s="10" t="s">
        <v>3522</v>
      </c>
      <c r="B62" s="10" t="s">
        <v>143</v>
      </c>
      <c r="C62" s="10" t="s">
        <v>144</v>
      </c>
      <c r="D62" s="10"/>
      <c r="E62" s="10" t="s">
        <v>875</v>
      </c>
      <c r="F62" s="10" t="s">
        <v>240</v>
      </c>
      <c r="G62" s="10" t="s">
        <v>2556</v>
      </c>
      <c r="H62" s="11" t="s">
        <v>3523</v>
      </c>
      <c r="I62" s="11" t="s">
        <v>110</v>
      </c>
      <c r="J62" s="10" t="s">
        <v>876</v>
      </c>
      <c r="K62" s="10"/>
      <c r="L62" s="11"/>
    </row>
    <row r="63" spans="1:12" ht="29.1" customHeight="1">
      <c r="A63" s="10" t="s">
        <v>3524</v>
      </c>
      <c r="B63" s="10" t="s">
        <v>143</v>
      </c>
      <c r="C63" s="10" t="s">
        <v>144</v>
      </c>
      <c r="D63" s="10"/>
      <c r="E63" s="10" t="s">
        <v>601</v>
      </c>
      <c r="F63" s="10" t="s">
        <v>288</v>
      </c>
      <c r="G63" s="10" t="s">
        <v>2698</v>
      </c>
      <c r="H63" s="11" t="s">
        <v>3525</v>
      </c>
      <c r="I63" s="11" t="s">
        <v>93</v>
      </c>
      <c r="J63" s="10" t="s">
        <v>3356</v>
      </c>
      <c r="K63" s="10"/>
      <c r="L63" s="11"/>
    </row>
    <row r="64" spans="1:12" ht="29.1" customHeight="1">
      <c r="A64" s="10" t="s">
        <v>3526</v>
      </c>
      <c r="B64" s="10" t="s">
        <v>143</v>
      </c>
      <c r="C64" s="10" t="s">
        <v>144</v>
      </c>
      <c r="D64" s="10"/>
      <c r="E64" s="10" t="s">
        <v>3527</v>
      </c>
      <c r="F64" s="10" t="s">
        <v>240</v>
      </c>
      <c r="G64" s="10" t="s">
        <v>242</v>
      </c>
      <c r="H64" s="11" t="s">
        <v>3528</v>
      </c>
      <c r="I64" s="11" t="s">
        <v>93</v>
      </c>
      <c r="J64" s="10" t="s">
        <v>3469</v>
      </c>
      <c r="K64" s="10"/>
      <c r="L64" s="11"/>
    </row>
    <row r="65" spans="1:12" ht="29.1" customHeight="1">
      <c r="A65" s="10" t="s">
        <v>3529</v>
      </c>
      <c r="B65" s="10" t="s">
        <v>143</v>
      </c>
      <c r="C65" s="10" t="s">
        <v>144</v>
      </c>
      <c r="D65" s="10"/>
      <c r="E65" s="10" t="s">
        <v>2979</v>
      </c>
      <c r="F65" s="10" t="s">
        <v>352</v>
      </c>
      <c r="G65" s="10" t="s">
        <v>338</v>
      </c>
      <c r="H65" s="11" t="s">
        <v>3530</v>
      </c>
      <c r="I65" s="11" t="s">
        <v>110</v>
      </c>
      <c r="J65" s="10" t="s">
        <v>721</v>
      </c>
      <c r="K65" s="10"/>
      <c r="L65" s="11"/>
    </row>
    <row r="66" spans="1:12" ht="29.1" customHeight="1">
      <c r="A66" s="10" t="s">
        <v>3531</v>
      </c>
      <c r="B66" s="10" t="s">
        <v>143</v>
      </c>
      <c r="C66" s="10" t="s">
        <v>144</v>
      </c>
      <c r="D66" s="10"/>
      <c r="E66" s="10" t="s">
        <v>472</v>
      </c>
      <c r="F66" s="10" t="s">
        <v>347</v>
      </c>
      <c r="G66" s="10" t="s">
        <v>242</v>
      </c>
      <c r="H66" s="11" t="s">
        <v>3532</v>
      </c>
      <c r="I66" s="11" t="s">
        <v>110</v>
      </c>
      <c r="J66" s="10" t="s">
        <v>3343</v>
      </c>
      <c r="K66" s="10"/>
      <c r="L66" s="11"/>
    </row>
    <row r="67" spans="1:12">
      <c r="A67" s="10" t="s">
        <v>3533</v>
      </c>
      <c r="B67" s="10" t="s">
        <v>150</v>
      </c>
      <c r="C67" s="10" t="s">
        <v>151</v>
      </c>
      <c r="D67" s="10"/>
      <c r="E67" s="10" t="s">
        <v>886</v>
      </c>
      <c r="F67" s="10" t="s">
        <v>288</v>
      </c>
      <c r="G67" s="10" t="s">
        <v>290</v>
      </c>
      <c r="H67" s="11" t="s">
        <v>3534</v>
      </c>
      <c r="I67" s="11" t="s">
        <v>110</v>
      </c>
      <c r="J67" s="10" t="s">
        <v>3535</v>
      </c>
      <c r="K67" s="10"/>
      <c r="L67" s="11"/>
    </row>
    <row r="68" spans="1:12">
      <c r="A68" s="10" t="s">
        <v>3536</v>
      </c>
      <c r="B68" s="10" t="s">
        <v>150</v>
      </c>
      <c r="C68" s="10" t="s">
        <v>151</v>
      </c>
      <c r="D68" s="10"/>
      <c r="E68" s="10" t="s">
        <v>892</v>
      </c>
      <c r="F68" s="10" t="s">
        <v>288</v>
      </c>
      <c r="G68" s="10" t="s">
        <v>2749</v>
      </c>
      <c r="H68" s="11" t="s">
        <v>3537</v>
      </c>
      <c r="I68" s="11" t="s">
        <v>110</v>
      </c>
      <c r="J68" s="10" t="s">
        <v>3538</v>
      </c>
      <c r="K68" s="10"/>
      <c r="L68" s="11"/>
    </row>
    <row r="69" spans="1:12">
      <c r="A69" s="10" t="s">
        <v>3539</v>
      </c>
      <c r="B69" s="10" t="s">
        <v>150</v>
      </c>
      <c r="C69" s="10" t="s">
        <v>151</v>
      </c>
      <c r="D69" s="10"/>
      <c r="E69" s="10" t="s">
        <v>898</v>
      </c>
      <c r="F69" s="10" t="s">
        <v>240</v>
      </c>
      <c r="G69" s="10" t="s">
        <v>290</v>
      </c>
      <c r="H69" s="11" t="s">
        <v>3540</v>
      </c>
      <c r="I69" s="11" t="s">
        <v>110</v>
      </c>
      <c r="J69" s="10" t="s">
        <v>3541</v>
      </c>
      <c r="K69" s="10"/>
      <c r="L69" s="11"/>
    </row>
    <row r="70" spans="1:12">
      <c r="A70" s="10" t="s">
        <v>3542</v>
      </c>
      <c r="B70" s="10" t="s">
        <v>150</v>
      </c>
      <c r="C70" s="10" t="s">
        <v>151</v>
      </c>
      <c r="D70" s="10"/>
      <c r="E70" s="10" t="s">
        <v>903</v>
      </c>
      <c r="F70" s="10" t="s">
        <v>240</v>
      </c>
      <c r="G70" s="10" t="s">
        <v>2631</v>
      </c>
      <c r="H70" s="11" t="s">
        <v>1393</v>
      </c>
      <c r="I70" s="11" t="s">
        <v>110</v>
      </c>
      <c r="J70" s="10" t="s">
        <v>904</v>
      </c>
      <c r="K70" s="10"/>
      <c r="L70" s="11"/>
    </row>
    <row r="71" spans="1:12" ht="29.1" customHeight="1">
      <c r="A71" s="10" t="s">
        <v>3543</v>
      </c>
      <c r="B71" s="10" t="s">
        <v>150</v>
      </c>
      <c r="C71" s="10" t="s">
        <v>151</v>
      </c>
      <c r="D71" s="10"/>
      <c r="E71" s="10" t="s">
        <v>3444</v>
      </c>
      <c r="F71" s="10" t="s">
        <v>263</v>
      </c>
      <c r="G71" s="10" t="s">
        <v>290</v>
      </c>
      <c r="H71" s="11" t="s">
        <v>3544</v>
      </c>
      <c r="I71" s="11" t="s">
        <v>93</v>
      </c>
      <c r="J71" s="10" t="s">
        <v>3446</v>
      </c>
      <c r="K71" s="10"/>
      <c r="L71" s="11"/>
    </row>
    <row r="72" spans="1:12" ht="29.1" customHeight="1">
      <c r="A72" s="10" t="s">
        <v>3545</v>
      </c>
      <c r="B72" s="10" t="s">
        <v>150</v>
      </c>
      <c r="C72" s="10" t="s">
        <v>151</v>
      </c>
      <c r="D72" s="10"/>
      <c r="E72" s="10" t="s">
        <v>373</v>
      </c>
      <c r="F72" s="10" t="s">
        <v>352</v>
      </c>
      <c r="G72" s="10" t="s">
        <v>338</v>
      </c>
      <c r="H72" s="11" t="s">
        <v>3546</v>
      </c>
      <c r="I72" s="11" t="s">
        <v>110</v>
      </c>
      <c r="J72" s="10" t="s">
        <v>3431</v>
      </c>
      <c r="K72" s="10"/>
      <c r="L72" s="11"/>
    </row>
    <row r="73" spans="1:12" ht="29.1" customHeight="1">
      <c r="A73" s="10" t="s">
        <v>3547</v>
      </c>
      <c r="B73" s="10" t="s">
        <v>150</v>
      </c>
      <c r="C73" s="10" t="s">
        <v>151</v>
      </c>
      <c r="D73" s="10"/>
      <c r="E73" s="10" t="s">
        <v>3548</v>
      </c>
      <c r="F73" s="10" t="s">
        <v>288</v>
      </c>
      <c r="G73" s="10" t="s">
        <v>3549</v>
      </c>
      <c r="H73" s="11" t="s">
        <v>3550</v>
      </c>
      <c r="I73" s="11" t="s">
        <v>110</v>
      </c>
      <c r="J73" s="10" t="s">
        <v>3515</v>
      </c>
      <c r="K73" s="10"/>
      <c r="L73" s="11"/>
    </row>
    <row r="74" spans="1:12" ht="29.1" customHeight="1">
      <c r="A74" s="10" t="s">
        <v>3551</v>
      </c>
      <c r="B74" s="10" t="s">
        <v>155</v>
      </c>
      <c r="C74" s="10" t="s">
        <v>156</v>
      </c>
      <c r="D74" s="10"/>
      <c r="E74" s="10" t="s">
        <v>761</v>
      </c>
      <c r="F74" s="10" t="s">
        <v>347</v>
      </c>
      <c r="G74" s="10" t="s">
        <v>338</v>
      </c>
      <c r="H74" s="11" t="s">
        <v>3552</v>
      </c>
      <c r="I74" s="11" t="s">
        <v>110</v>
      </c>
      <c r="J74" s="10" t="s">
        <v>3553</v>
      </c>
      <c r="K74" s="10"/>
      <c r="L74" s="11"/>
    </row>
    <row r="75" spans="1:12" ht="29.1" customHeight="1">
      <c r="A75" s="10" t="s">
        <v>3554</v>
      </c>
      <c r="B75" s="10" t="s">
        <v>155</v>
      </c>
      <c r="C75" s="10" t="s">
        <v>156</v>
      </c>
      <c r="D75" s="10"/>
      <c r="E75" s="10" t="s">
        <v>3555</v>
      </c>
      <c r="F75" s="10" t="s">
        <v>288</v>
      </c>
      <c r="G75" s="10" t="s">
        <v>3556</v>
      </c>
      <c r="H75" s="11" t="s">
        <v>3557</v>
      </c>
      <c r="I75" s="11" t="s">
        <v>110</v>
      </c>
      <c r="J75" s="10" t="s">
        <v>3558</v>
      </c>
      <c r="K75" s="10"/>
      <c r="L75" s="11"/>
    </row>
    <row r="76" spans="1:12" ht="29.1" customHeight="1">
      <c r="A76" s="10" t="s">
        <v>3559</v>
      </c>
      <c r="B76" s="10" t="s">
        <v>155</v>
      </c>
      <c r="C76" s="10" t="s">
        <v>156</v>
      </c>
      <c r="D76" s="10"/>
      <c r="E76" s="10" t="s">
        <v>3560</v>
      </c>
      <c r="F76" s="10" t="s">
        <v>263</v>
      </c>
      <c r="G76" s="10" t="s">
        <v>290</v>
      </c>
      <c r="H76" s="11" t="s">
        <v>3561</v>
      </c>
      <c r="I76" s="11" t="s">
        <v>110</v>
      </c>
      <c r="J76" s="10" t="s">
        <v>3562</v>
      </c>
      <c r="K76" s="10"/>
      <c r="L76" s="11"/>
    </row>
    <row r="77" spans="1:12" ht="29.1" customHeight="1">
      <c r="A77" s="10" t="s">
        <v>3563</v>
      </c>
      <c r="B77" s="10" t="s">
        <v>155</v>
      </c>
      <c r="C77" s="10" t="s">
        <v>156</v>
      </c>
      <c r="D77" s="10"/>
      <c r="E77" s="10" t="s">
        <v>3564</v>
      </c>
      <c r="F77" s="10" t="s">
        <v>263</v>
      </c>
      <c r="G77" s="10" t="s">
        <v>3556</v>
      </c>
      <c r="H77" s="11" t="s">
        <v>3565</v>
      </c>
      <c r="I77" s="11" t="s">
        <v>110</v>
      </c>
      <c r="J77" s="10" t="s">
        <v>3566</v>
      </c>
      <c r="K77" s="10"/>
      <c r="L77" s="11"/>
    </row>
    <row r="78" spans="1:12">
      <c r="A78" s="10" t="s">
        <v>3567</v>
      </c>
      <c r="B78" s="10" t="s">
        <v>155</v>
      </c>
      <c r="C78" s="10" t="s">
        <v>156</v>
      </c>
      <c r="D78" s="10"/>
      <c r="E78" s="10" t="s">
        <v>931</v>
      </c>
      <c r="F78" s="10" t="s">
        <v>288</v>
      </c>
      <c r="G78" s="10" t="s">
        <v>1971</v>
      </c>
      <c r="H78" s="11" t="s">
        <v>3568</v>
      </c>
      <c r="I78" s="11" t="s">
        <v>110</v>
      </c>
      <c r="J78" s="10" t="s">
        <v>3569</v>
      </c>
      <c r="K78" s="10"/>
      <c r="L78" s="11"/>
    </row>
    <row r="79" spans="1:12">
      <c r="A79" s="10" t="s">
        <v>3570</v>
      </c>
      <c r="B79" s="10" t="s">
        <v>155</v>
      </c>
      <c r="C79" s="10" t="s">
        <v>156</v>
      </c>
      <c r="D79" s="10"/>
      <c r="E79" s="10" t="s">
        <v>937</v>
      </c>
      <c r="F79" s="10" t="s">
        <v>288</v>
      </c>
      <c r="G79" s="10" t="s">
        <v>2647</v>
      </c>
      <c r="H79" s="11" t="s">
        <v>3571</v>
      </c>
      <c r="I79" s="11" t="s">
        <v>93</v>
      </c>
      <c r="J79" s="10" t="s">
        <v>3572</v>
      </c>
      <c r="K79" s="10"/>
      <c r="L79" s="11"/>
    </row>
    <row r="80" spans="1:12" ht="29.1" customHeight="1">
      <c r="A80" s="10" t="s">
        <v>3573</v>
      </c>
      <c r="B80" s="10" t="s">
        <v>155</v>
      </c>
      <c r="C80" s="10" t="s">
        <v>156</v>
      </c>
      <c r="D80" s="10"/>
      <c r="E80" s="10" t="s">
        <v>3574</v>
      </c>
      <c r="F80" s="10" t="s">
        <v>347</v>
      </c>
      <c r="G80" s="10" t="s">
        <v>265</v>
      </c>
      <c r="H80" s="11" t="s">
        <v>3575</v>
      </c>
      <c r="I80" s="11" t="s">
        <v>110</v>
      </c>
      <c r="J80" s="10" t="s">
        <v>3576</v>
      </c>
      <c r="K80" s="10"/>
      <c r="L80" s="11"/>
    </row>
    <row r="81" spans="1:12">
      <c r="A81" s="10"/>
      <c r="B81" s="10"/>
      <c r="C81" s="10"/>
      <c r="D81" s="10"/>
      <c r="E81" s="10"/>
      <c r="F81" s="10"/>
      <c r="G81" s="10"/>
      <c r="H81" s="11"/>
      <c r="I81" s="11"/>
      <c r="J81" s="10"/>
      <c r="K81" s="10"/>
      <c r="L81" s="11"/>
    </row>
    <row r="82" spans="1:12">
      <c r="A82" s="10"/>
      <c r="B82" s="10"/>
      <c r="C82" s="10"/>
      <c r="D82" s="10"/>
      <c r="E82" s="10"/>
      <c r="F82" s="10"/>
      <c r="G82" s="10"/>
      <c r="H82" s="11"/>
      <c r="I82" s="11"/>
      <c r="J82" s="10"/>
      <c r="K82" s="10"/>
      <c r="L82" s="11"/>
    </row>
    <row r="83" spans="1:12">
      <c r="A83" s="10"/>
      <c r="B83" s="10"/>
      <c r="C83" s="10"/>
      <c r="D83" s="10"/>
      <c r="E83" s="10"/>
      <c r="F83" s="10"/>
      <c r="G83" s="10"/>
      <c r="H83" s="11"/>
      <c r="I83" s="11"/>
      <c r="J83" s="10"/>
      <c r="K83" s="10"/>
      <c r="L83" s="11"/>
    </row>
    <row r="84" spans="1:12">
      <c r="A84" s="10"/>
      <c r="B84" s="10"/>
      <c r="C84" s="10"/>
      <c r="D84" s="10"/>
      <c r="E84" s="10"/>
      <c r="F84" s="10"/>
      <c r="G84" s="10"/>
      <c r="H84" s="11"/>
      <c r="I84" s="11"/>
      <c r="J84" s="10"/>
      <c r="K84" s="10"/>
      <c r="L84" s="11"/>
    </row>
    <row r="85" spans="1:12">
      <c r="A85" s="10"/>
      <c r="B85" s="10"/>
      <c r="C85" s="10"/>
      <c r="D85" s="10"/>
      <c r="E85" s="10"/>
      <c r="F85" s="10"/>
      <c r="G85" s="10"/>
      <c r="H85" s="11"/>
      <c r="I85" s="11"/>
      <c r="J85" s="10"/>
      <c r="K85" s="10"/>
      <c r="L85" s="11"/>
    </row>
    <row r="86" spans="1:12">
      <c r="A86" s="10"/>
      <c r="B86" s="10"/>
      <c r="C86" s="10"/>
      <c r="D86" s="10"/>
      <c r="E86" s="10"/>
      <c r="F86" s="10"/>
      <c r="G86" s="10"/>
      <c r="H86" s="11"/>
      <c r="I86" s="11"/>
      <c r="J86" s="10"/>
      <c r="K86" s="10"/>
      <c r="L86" s="11"/>
    </row>
    <row r="87" spans="1:12">
      <c r="A87" s="10"/>
      <c r="B87" s="10"/>
      <c r="C87" s="10"/>
      <c r="D87" s="10"/>
      <c r="E87" s="10"/>
      <c r="F87" s="10"/>
      <c r="G87" s="10"/>
      <c r="H87" s="11"/>
      <c r="I87" s="11"/>
      <c r="J87" s="10"/>
      <c r="K87" s="10"/>
      <c r="L87" s="11"/>
    </row>
    <row r="88" spans="1:12">
      <c r="A88" s="10"/>
      <c r="B88" s="10"/>
      <c r="C88" s="10"/>
      <c r="D88" s="10"/>
      <c r="E88" s="10"/>
      <c r="F88" s="10"/>
      <c r="G88" s="10"/>
      <c r="H88" s="11"/>
      <c r="I88" s="11"/>
      <c r="J88" s="10"/>
      <c r="K88" s="10"/>
      <c r="L88" s="11"/>
    </row>
    <row r="89" spans="1:12">
      <c r="A89" s="10"/>
      <c r="B89" s="10"/>
      <c r="C89" s="10"/>
      <c r="D89" s="10"/>
      <c r="E89" s="10"/>
      <c r="F89" s="10"/>
      <c r="G89" s="10"/>
      <c r="H89" s="11"/>
      <c r="I89" s="11"/>
      <c r="J89" s="10"/>
      <c r="K89" s="10"/>
      <c r="L89" s="11"/>
    </row>
    <row r="90" spans="1:12">
      <c r="A90" s="10"/>
      <c r="B90" s="10"/>
      <c r="C90" s="10"/>
      <c r="D90" s="10"/>
      <c r="E90" s="10"/>
      <c r="F90" s="10"/>
      <c r="G90" s="10"/>
      <c r="H90" s="11"/>
      <c r="I90" s="11"/>
      <c r="J90" s="10"/>
      <c r="K90" s="10"/>
      <c r="L90" s="11"/>
    </row>
    <row r="91" spans="1:12">
      <c r="A91" s="10"/>
      <c r="B91" s="10"/>
      <c r="C91" s="10"/>
      <c r="D91" s="10"/>
      <c r="E91" s="10"/>
      <c r="F91" s="10"/>
      <c r="G91" s="10"/>
      <c r="H91" s="11"/>
      <c r="I91" s="11"/>
      <c r="J91" s="10"/>
      <c r="K91" s="10"/>
      <c r="L91" s="11"/>
    </row>
    <row r="92" spans="1:12">
      <c r="A92" s="10"/>
      <c r="B92" s="10"/>
      <c r="C92" s="10"/>
      <c r="D92" s="10"/>
      <c r="E92" s="10"/>
      <c r="F92" s="10"/>
      <c r="G92" s="10"/>
      <c r="H92" s="11"/>
      <c r="I92" s="11"/>
      <c r="J92" s="10"/>
      <c r="K92" s="10"/>
      <c r="L92" s="11"/>
    </row>
    <row r="93" spans="1:12">
      <c r="A93" s="10"/>
      <c r="B93" s="10"/>
      <c r="C93" s="10"/>
      <c r="D93" s="10"/>
      <c r="E93" s="10"/>
      <c r="F93" s="10"/>
      <c r="G93" s="10"/>
      <c r="H93" s="11"/>
      <c r="I93" s="11"/>
      <c r="J93" s="10"/>
      <c r="K93" s="10"/>
      <c r="L93" s="11"/>
    </row>
    <row r="94" spans="1:12">
      <c r="A94" s="10"/>
      <c r="B94" s="10"/>
      <c r="C94" s="10"/>
      <c r="D94" s="10"/>
      <c r="E94" s="10"/>
      <c r="F94" s="10"/>
      <c r="G94" s="10"/>
      <c r="H94" s="11"/>
      <c r="I94" s="11"/>
      <c r="J94" s="10"/>
      <c r="K94" s="10"/>
      <c r="L94" s="11"/>
    </row>
    <row r="95" spans="1:12">
      <c r="A95" s="10"/>
      <c r="B95" s="10"/>
      <c r="C95" s="10"/>
      <c r="D95" s="10"/>
      <c r="E95" s="10"/>
      <c r="F95" s="10"/>
      <c r="G95" s="10"/>
      <c r="H95" s="11"/>
      <c r="I95" s="11"/>
      <c r="J95" s="10"/>
      <c r="K95" s="10"/>
      <c r="L95" s="11"/>
    </row>
    <row r="96" spans="1:12">
      <c r="A96" s="10"/>
      <c r="B96" s="10"/>
      <c r="C96" s="10"/>
      <c r="D96" s="10"/>
      <c r="E96" s="10"/>
      <c r="F96" s="10"/>
      <c r="G96" s="10"/>
      <c r="H96" s="11"/>
      <c r="I96" s="11"/>
      <c r="J96" s="10"/>
      <c r="K96" s="10"/>
      <c r="L96" s="11"/>
    </row>
    <row r="97" spans="1:12">
      <c r="A97" s="10"/>
      <c r="B97" s="10"/>
      <c r="C97" s="10"/>
      <c r="D97" s="10"/>
      <c r="E97" s="10"/>
      <c r="F97" s="10"/>
      <c r="G97" s="10"/>
      <c r="H97" s="11"/>
      <c r="I97" s="11"/>
      <c r="J97" s="10"/>
      <c r="K97" s="10"/>
      <c r="L97" s="11"/>
    </row>
    <row r="98" spans="1:12">
      <c r="A98" s="10"/>
      <c r="B98" s="10"/>
      <c r="C98" s="10"/>
      <c r="D98" s="10"/>
      <c r="E98" s="10"/>
      <c r="F98" s="10"/>
      <c r="G98" s="10"/>
      <c r="H98" s="11"/>
      <c r="I98" s="11"/>
      <c r="J98" s="10"/>
      <c r="K98" s="10"/>
      <c r="L98" s="11"/>
    </row>
    <row r="99" spans="1:12">
      <c r="A99" s="10"/>
      <c r="B99" s="10"/>
      <c r="C99" s="10"/>
      <c r="D99" s="10"/>
      <c r="E99" s="10"/>
      <c r="F99" s="10"/>
      <c r="G99" s="10"/>
      <c r="H99" s="11"/>
      <c r="I99" s="11"/>
      <c r="J99" s="10"/>
      <c r="K99" s="10"/>
      <c r="L99" s="11"/>
    </row>
    <row r="100" spans="1:12">
      <c r="A100" s="10"/>
      <c r="B100" s="10"/>
      <c r="C100" s="10"/>
      <c r="D100" s="10"/>
      <c r="E100" s="10"/>
      <c r="F100" s="10"/>
      <c r="G100" s="10"/>
      <c r="H100" s="11"/>
      <c r="I100" s="11"/>
      <c r="J100" s="10"/>
      <c r="K100" s="10"/>
      <c r="L100" s="11"/>
    </row>
    <row r="101" spans="1:12">
      <c r="A101" s="10"/>
      <c r="B101" s="10"/>
      <c r="C101" s="10"/>
      <c r="D101" s="10"/>
      <c r="E101" s="10"/>
      <c r="F101" s="10"/>
      <c r="G101" s="10"/>
      <c r="H101" s="11"/>
      <c r="I101" s="11"/>
      <c r="J101" s="10"/>
      <c r="K101" s="10"/>
      <c r="L101" s="11"/>
    </row>
    <row r="102" spans="1:12">
      <c r="A102" s="10"/>
      <c r="B102" s="10"/>
      <c r="C102" s="10"/>
      <c r="D102" s="10"/>
      <c r="E102" s="10"/>
      <c r="F102" s="10"/>
      <c r="G102" s="10"/>
      <c r="H102" s="11"/>
      <c r="I102" s="11"/>
      <c r="J102" s="10"/>
      <c r="K102" s="10"/>
      <c r="L102" s="11"/>
    </row>
    <row r="103" spans="1:12">
      <c r="A103" s="10"/>
      <c r="B103" s="10"/>
      <c r="C103" s="10"/>
      <c r="D103" s="10"/>
      <c r="E103" s="10"/>
      <c r="F103" s="10"/>
      <c r="G103" s="10"/>
      <c r="H103" s="11"/>
      <c r="I103" s="11"/>
      <c r="J103" s="10"/>
      <c r="K103" s="10"/>
      <c r="L103" s="11"/>
    </row>
    <row r="104" spans="1:12">
      <c r="A104" s="10"/>
      <c r="B104" s="10"/>
      <c r="C104" s="10"/>
      <c r="D104" s="10"/>
      <c r="E104" s="10"/>
      <c r="F104" s="10"/>
      <c r="G104" s="10"/>
      <c r="H104" s="11"/>
      <c r="I104" s="11"/>
      <c r="J104" s="10"/>
      <c r="K104" s="10"/>
      <c r="L104" s="11"/>
    </row>
    <row r="105" spans="1:12">
      <c r="A105" s="10"/>
      <c r="B105" s="10"/>
      <c r="C105" s="10"/>
      <c r="D105" s="10"/>
      <c r="E105" s="10"/>
      <c r="F105" s="10"/>
      <c r="G105" s="10"/>
      <c r="H105" s="11"/>
      <c r="I105" s="11"/>
      <c r="J105" s="10"/>
      <c r="K105" s="10"/>
      <c r="L105" s="11"/>
    </row>
    <row r="106" spans="1:12">
      <c r="A106" s="10"/>
      <c r="B106" s="10"/>
      <c r="C106" s="10"/>
      <c r="D106" s="10"/>
      <c r="E106" s="10"/>
      <c r="F106" s="10"/>
      <c r="G106" s="10"/>
      <c r="H106" s="11"/>
      <c r="I106" s="11"/>
      <c r="J106" s="10"/>
      <c r="K106" s="10"/>
      <c r="L106" s="11"/>
    </row>
    <row r="107" spans="1:12">
      <c r="A107" s="10"/>
      <c r="B107" s="10"/>
      <c r="C107" s="10"/>
      <c r="D107" s="10"/>
      <c r="E107" s="10"/>
      <c r="F107" s="10"/>
      <c r="G107" s="10"/>
      <c r="H107" s="11"/>
      <c r="I107" s="11"/>
      <c r="J107" s="10"/>
      <c r="K107" s="10"/>
      <c r="L107" s="11"/>
    </row>
    <row r="108" spans="1:12">
      <c r="A108" s="10"/>
      <c r="B108" s="10"/>
      <c r="C108" s="10"/>
      <c r="D108" s="10"/>
      <c r="E108" s="10"/>
      <c r="F108" s="10"/>
      <c r="G108" s="10"/>
      <c r="H108" s="11"/>
      <c r="I108" s="11"/>
      <c r="J108" s="10"/>
      <c r="K108" s="10"/>
      <c r="L108" s="11"/>
    </row>
    <row r="109" spans="1:12">
      <c r="A109" s="10"/>
      <c r="B109" s="10"/>
      <c r="C109" s="10"/>
      <c r="D109" s="10"/>
      <c r="E109" s="10"/>
      <c r="F109" s="10"/>
      <c r="G109" s="10"/>
      <c r="H109" s="11"/>
      <c r="I109" s="11"/>
      <c r="J109" s="10"/>
      <c r="K109" s="10"/>
      <c r="L109" s="11"/>
    </row>
    <row r="110" spans="1:12">
      <c r="A110" s="10"/>
      <c r="B110" s="10"/>
      <c r="C110" s="10"/>
      <c r="D110" s="10"/>
      <c r="E110" s="10"/>
      <c r="F110" s="10"/>
      <c r="G110" s="10"/>
      <c r="H110" s="11"/>
      <c r="I110" s="11"/>
      <c r="J110" s="10"/>
      <c r="K110" s="10"/>
      <c r="L110" s="11"/>
    </row>
    <row r="111" spans="1:12">
      <c r="A111" s="10"/>
      <c r="B111" s="10"/>
      <c r="C111" s="10"/>
      <c r="D111" s="10"/>
      <c r="E111" s="10"/>
      <c r="F111" s="10"/>
      <c r="G111" s="10"/>
      <c r="H111" s="11"/>
      <c r="I111" s="11"/>
      <c r="J111" s="10"/>
      <c r="K111" s="10"/>
      <c r="L111" s="11"/>
    </row>
    <row r="112" spans="1:12">
      <c r="A112" s="10"/>
      <c r="B112" s="10"/>
      <c r="C112" s="10"/>
      <c r="D112" s="10"/>
      <c r="E112" s="10"/>
      <c r="F112" s="10"/>
      <c r="G112" s="10"/>
      <c r="H112" s="11"/>
      <c r="I112" s="11"/>
      <c r="J112" s="10"/>
      <c r="K112" s="10"/>
      <c r="L112" s="11"/>
    </row>
    <row r="113" spans="1:12">
      <c r="A113" s="10"/>
      <c r="B113" s="10"/>
      <c r="C113" s="10"/>
      <c r="D113" s="10"/>
      <c r="E113" s="10"/>
      <c r="F113" s="10"/>
      <c r="G113" s="10"/>
      <c r="H113" s="11"/>
      <c r="I113" s="11"/>
      <c r="J113" s="10"/>
      <c r="K113" s="10"/>
      <c r="L113" s="11"/>
    </row>
    <row r="114" spans="1:12">
      <c r="A114" s="10"/>
      <c r="B114" s="10"/>
      <c r="C114" s="10"/>
      <c r="D114" s="10"/>
      <c r="E114" s="10"/>
      <c r="F114" s="10"/>
      <c r="G114" s="10"/>
      <c r="H114" s="11"/>
      <c r="I114" s="11"/>
      <c r="J114" s="10"/>
      <c r="K114" s="10"/>
      <c r="L114" s="11"/>
    </row>
    <row r="115" spans="1:12">
      <c r="A115" s="10"/>
      <c r="B115" s="10"/>
      <c r="C115" s="10"/>
      <c r="D115" s="10"/>
      <c r="E115" s="10"/>
      <c r="F115" s="10"/>
      <c r="G115" s="10"/>
      <c r="H115" s="11"/>
      <c r="I115" s="11"/>
      <c r="J115" s="10"/>
      <c r="K115" s="10"/>
      <c r="L115" s="11"/>
    </row>
    <row r="116" spans="1:12">
      <c r="A116" s="10"/>
      <c r="B116" s="10"/>
      <c r="C116" s="10"/>
      <c r="D116" s="10"/>
      <c r="E116" s="10"/>
      <c r="F116" s="10"/>
      <c r="G116" s="10"/>
      <c r="H116" s="11"/>
      <c r="I116" s="11"/>
      <c r="J116" s="10"/>
      <c r="K116" s="10"/>
      <c r="L116" s="11"/>
    </row>
    <row r="117" spans="1:12">
      <c r="A117" s="10"/>
      <c r="B117" s="10"/>
      <c r="C117" s="10"/>
      <c r="D117" s="10"/>
      <c r="E117" s="10"/>
      <c r="F117" s="10"/>
      <c r="G117" s="10"/>
      <c r="H117" s="11"/>
      <c r="I117" s="11"/>
      <c r="J117" s="10"/>
      <c r="K117" s="10"/>
      <c r="L117" s="11"/>
    </row>
    <row r="118" spans="1:12">
      <c r="A118" s="10"/>
      <c r="B118" s="10"/>
      <c r="C118" s="10"/>
      <c r="D118" s="10"/>
      <c r="E118" s="10"/>
      <c r="F118" s="10"/>
      <c r="G118" s="10"/>
      <c r="H118" s="11"/>
      <c r="I118" s="11"/>
      <c r="J118" s="10"/>
      <c r="K118" s="10"/>
      <c r="L118" s="11"/>
    </row>
    <row r="119" spans="1:12">
      <c r="A119" s="10"/>
      <c r="B119" s="10"/>
      <c r="C119" s="10"/>
      <c r="D119" s="10"/>
      <c r="E119" s="10"/>
      <c r="F119" s="10"/>
      <c r="G119" s="10"/>
      <c r="H119" s="11"/>
      <c r="I119" s="11"/>
      <c r="J119" s="10"/>
      <c r="K119" s="10"/>
      <c r="L119" s="11"/>
    </row>
    <row r="120" spans="1:12">
      <c r="A120" s="10"/>
      <c r="B120" s="10"/>
      <c r="C120" s="10"/>
      <c r="D120" s="10"/>
      <c r="E120" s="10"/>
      <c r="F120" s="10"/>
      <c r="G120" s="10"/>
      <c r="H120" s="11"/>
      <c r="I120" s="11"/>
      <c r="J120" s="10"/>
      <c r="K120" s="10"/>
      <c r="L120" s="11"/>
    </row>
    <row r="121" spans="1:12">
      <c r="A121" s="10"/>
      <c r="B121" s="10"/>
      <c r="C121" s="10"/>
      <c r="D121" s="10"/>
      <c r="E121" s="10"/>
      <c r="F121" s="10"/>
      <c r="G121" s="10"/>
      <c r="H121" s="11"/>
      <c r="I121" s="11"/>
      <c r="J121" s="10"/>
      <c r="K121" s="10"/>
      <c r="L121" s="11"/>
    </row>
    <row r="122" spans="1:12">
      <c r="A122" s="10"/>
      <c r="B122" s="10"/>
      <c r="C122" s="10"/>
      <c r="D122" s="10"/>
      <c r="E122" s="10"/>
      <c r="F122" s="10"/>
      <c r="G122" s="10"/>
      <c r="H122" s="11"/>
      <c r="I122" s="11"/>
      <c r="J122" s="10"/>
      <c r="K122" s="10"/>
      <c r="L122" s="11"/>
    </row>
    <row r="123" spans="1:12">
      <c r="A123" s="10"/>
      <c r="B123" s="10"/>
      <c r="C123" s="10"/>
      <c r="D123" s="10"/>
      <c r="E123" s="10"/>
      <c r="F123" s="10"/>
      <c r="G123" s="10"/>
      <c r="H123" s="11"/>
      <c r="I123" s="11"/>
      <c r="J123" s="10"/>
      <c r="K123" s="10"/>
      <c r="L123" s="11"/>
    </row>
    <row r="124" spans="1:12">
      <c r="A124" s="10"/>
      <c r="B124" s="10"/>
      <c r="C124" s="10"/>
      <c r="D124" s="10"/>
      <c r="E124" s="10"/>
      <c r="F124" s="10"/>
      <c r="G124" s="10"/>
      <c r="H124" s="11"/>
      <c r="I124" s="11"/>
      <c r="J124" s="10"/>
      <c r="K124" s="10"/>
      <c r="L124" s="11"/>
    </row>
    <row r="125" spans="1:12">
      <c r="A125" s="10"/>
      <c r="B125" s="10"/>
      <c r="C125" s="10"/>
      <c r="D125" s="10"/>
      <c r="E125" s="10"/>
      <c r="F125" s="10"/>
      <c r="G125" s="10"/>
      <c r="H125" s="11"/>
      <c r="I125" s="11"/>
      <c r="J125" s="10"/>
      <c r="K125" s="10"/>
      <c r="L125" s="11"/>
    </row>
    <row r="126" spans="1:12">
      <c r="A126" s="10"/>
      <c r="B126" s="10"/>
      <c r="C126" s="10"/>
      <c r="D126" s="10"/>
      <c r="E126" s="10"/>
      <c r="F126" s="10"/>
      <c r="G126" s="10"/>
      <c r="H126" s="11"/>
      <c r="I126" s="11"/>
      <c r="J126" s="10"/>
      <c r="K126" s="10"/>
      <c r="L126" s="11"/>
    </row>
    <row r="127" spans="1:12">
      <c r="A127" s="10"/>
      <c r="B127" s="10"/>
      <c r="C127" s="10"/>
      <c r="D127" s="10"/>
      <c r="E127" s="10"/>
      <c r="F127" s="10"/>
      <c r="G127" s="10"/>
      <c r="H127" s="11"/>
      <c r="I127" s="11"/>
      <c r="J127" s="10"/>
      <c r="K127" s="10"/>
      <c r="L127" s="11"/>
    </row>
    <row r="128" spans="1:12">
      <c r="A128" s="10"/>
      <c r="B128" s="10"/>
      <c r="C128" s="10"/>
      <c r="D128" s="10"/>
      <c r="E128" s="10"/>
      <c r="F128" s="10"/>
      <c r="G128" s="10"/>
      <c r="H128" s="11"/>
      <c r="I128" s="11"/>
      <c r="J128" s="10"/>
      <c r="K128" s="10"/>
      <c r="L128" s="11"/>
    </row>
    <row r="129" spans="1:12">
      <c r="A129" s="10"/>
      <c r="B129" s="10"/>
      <c r="C129" s="10"/>
      <c r="D129" s="10"/>
      <c r="E129" s="10"/>
      <c r="F129" s="10"/>
      <c r="G129" s="10"/>
      <c r="H129" s="11"/>
      <c r="I129" s="11"/>
      <c r="J129" s="10"/>
      <c r="K129" s="10"/>
      <c r="L129" s="11"/>
    </row>
    <row r="130" spans="1:12">
      <c r="A130" s="10"/>
      <c r="B130" s="10"/>
      <c r="C130" s="10"/>
      <c r="D130" s="10"/>
      <c r="E130" s="10"/>
      <c r="F130" s="10"/>
      <c r="G130" s="10"/>
      <c r="H130" s="11"/>
      <c r="I130" s="11"/>
      <c r="J130" s="10"/>
      <c r="K130" s="10"/>
      <c r="L130" s="11"/>
    </row>
    <row r="131" spans="1:12">
      <c r="A131" s="10"/>
      <c r="B131" s="10"/>
      <c r="C131" s="10"/>
      <c r="D131" s="10"/>
      <c r="E131" s="10"/>
      <c r="F131" s="10"/>
      <c r="G131" s="10"/>
      <c r="H131" s="11"/>
      <c r="I131" s="11"/>
      <c r="J131" s="10"/>
      <c r="K131" s="10"/>
      <c r="L131" s="11"/>
    </row>
    <row r="132" spans="1:12">
      <c r="A132" s="10"/>
      <c r="B132" s="10"/>
      <c r="C132" s="10"/>
      <c r="D132" s="10"/>
      <c r="E132" s="10"/>
      <c r="F132" s="10"/>
      <c r="G132" s="10"/>
      <c r="H132" s="11"/>
      <c r="I132" s="11"/>
      <c r="J132" s="10"/>
      <c r="K132" s="10"/>
      <c r="L132" s="11"/>
    </row>
    <row r="133" spans="1:12">
      <c r="A133" s="10"/>
      <c r="B133" s="10"/>
      <c r="C133" s="10"/>
      <c r="D133" s="10"/>
      <c r="E133" s="10"/>
      <c r="F133" s="10"/>
      <c r="G133" s="10"/>
      <c r="H133" s="11"/>
      <c r="I133" s="11"/>
      <c r="J133" s="10"/>
      <c r="K133" s="10"/>
      <c r="L133" s="11"/>
    </row>
    <row r="134" spans="1:12">
      <c r="A134" s="10"/>
      <c r="B134" s="10"/>
      <c r="C134" s="10"/>
      <c r="D134" s="10"/>
      <c r="E134" s="10"/>
      <c r="F134" s="10"/>
      <c r="G134" s="10"/>
      <c r="H134" s="11"/>
      <c r="I134" s="11"/>
      <c r="J134" s="10"/>
      <c r="K134" s="10"/>
      <c r="L134" s="11"/>
    </row>
    <row r="135" spans="1:12">
      <c r="A135" s="10"/>
      <c r="B135" s="10"/>
      <c r="C135" s="10"/>
      <c r="D135" s="10"/>
      <c r="E135" s="10"/>
      <c r="F135" s="10"/>
      <c r="G135" s="10"/>
      <c r="H135" s="11"/>
      <c r="I135" s="11"/>
      <c r="J135" s="10"/>
      <c r="K135" s="10"/>
      <c r="L135" s="11"/>
    </row>
    <row r="136" spans="1:12">
      <c r="A136" s="10"/>
      <c r="B136" s="10"/>
      <c r="C136" s="10"/>
      <c r="D136" s="10"/>
      <c r="E136" s="10"/>
      <c r="F136" s="10"/>
      <c r="G136" s="10"/>
      <c r="H136" s="11"/>
      <c r="I136" s="11"/>
      <c r="J136" s="10"/>
      <c r="K136" s="10"/>
      <c r="L136" s="11"/>
    </row>
    <row r="137" spans="1:12">
      <c r="A137" s="10"/>
      <c r="B137" s="10"/>
      <c r="C137" s="10"/>
      <c r="D137" s="10"/>
      <c r="E137" s="10"/>
      <c r="F137" s="10"/>
      <c r="G137" s="10"/>
      <c r="H137" s="11"/>
      <c r="I137" s="11"/>
      <c r="J137" s="10"/>
      <c r="K137" s="10"/>
      <c r="L137" s="11"/>
    </row>
    <row r="138" spans="1:12">
      <c r="A138" s="10"/>
      <c r="B138" s="10"/>
      <c r="C138" s="10"/>
      <c r="D138" s="10"/>
      <c r="E138" s="10"/>
      <c r="F138" s="10"/>
      <c r="G138" s="10"/>
      <c r="H138" s="11"/>
      <c r="I138" s="11"/>
      <c r="J138" s="10"/>
      <c r="K138" s="10"/>
      <c r="L138" s="11"/>
    </row>
    <row r="139" spans="1:12">
      <c r="A139" s="10"/>
      <c r="B139" s="10"/>
      <c r="C139" s="10"/>
      <c r="D139" s="10"/>
      <c r="E139" s="10"/>
      <c r="F139" s="10"/>
      <c r="G139" s="10"/>
      <c r="H139" s="11"/>
      <c r="I139" s="11"/>
      <c r="J139" s="10"/>
      <c r="K139" s="10"/>
      <c r="L139" s="11"/>
    </row>
    <row r="140" spans="1:12">
      <c r="A140" s="10"/>
      <c r="B140" s="10"/>
      <c r="C140" s="10"/>
      <c r="D140" s="10"/>
      <c r="E140" s="10"/>
      <c r="F140" s="10"/>
      <c r="G140" s="10"/>
      <c r="H140" s="11"/>
      <c r="I140" s="11"/>
      <c r="J140" s="10"/>
      <c r="K140" s="10"/>
      <c r="L140" s="11"/>
    </row>
    <row r="141" spans="1:12">
      <c r="A141" s="10"/>
      <c r="B141" s="10"/>
      <c r="C141" s="10"/>
      <c r="D141" s="10"/>
      <c r="E141" s="10"/>
      <c r="F141" s="10"/>
      <c r="G141" s="10"/>
      <c r="H141" s="11"/>
      <c r="I141" s="11"/>
      <c r="J141" s="10"/>
      <c r="K141" s="10"/>
      <c r="L141" s="11"/>
    </row>
    <row r="142" spans="1:12">
      <c r="A142" s="10"/>
      <c r="B142" s="10"/>
      <c r="C142" s="10"/>
      <c r="D142" s="10"/>
      <c r="E142" s="10"/>
      <c r="F142" s="10"/>
      <c r="G142" s="10"/>
      <c r="H142" s="11"/>
      <c r="I142" s="11"/>
      <c r="J142" s="10"/>
      <c r="K142" s="10"/>
      <c r="L142" s="11"/>
    </row>
    <row r="143" spans="1:12">
      <c r="A143" s="10"/>
      <c r="B143" s="10"/>
      <c r="C143" s="10"/>
      <c r="D143" s="10"/>
      <c r="E143" s="10"/>
      <c r="F143" s="10"/>
      <c r="G143" s="10"/>
      <c r="H143" s="11"/>
      <c r="I143" s="11"/>
      <c r="J143" s="10"/>
      <c r="K143" s="10"/>
      <c r="L143" s="11"/>
    </row>
    <row r="144" spans="1:12">
      <c r="A144" s="10"/>
      <c r="B144" s="10"/>
      <c r="C144" s="10"/>
      <c r="D144" s="10"/>
      <c r="E144" s="10"/>
      <c r="F144" s="10"/>
      <c r="G144" s="10"/>
      <c r="H144" s="11"/>
      <c r="I144" s="11"/>
      <c r="J144" s="10"/>
      <c r="K144" s="10"/>
      <c r="L144" s="11"/>
    </row>
    <row r="145" spans="1:12">
      <c r="A145" s="10"/>
      <c r="B145" s="10"/>
      <c r="C145" s="10"/>
      <c r="D145" s="10"/>
      <c r="E145" s="10"/>
      <c r="F145" s="10"/>
      <c r="G145" s="10"/>
      <c r="H145" s="11"/>
      <c r="I145" s="11"/>
      <c r="J145" s="10"/>
      <c r="K145" s="10"/>
      <c r="L145" s="11"/>
    </row>
    <row r="146" spans="1:12">
      <c r="A146" s="10"/>
      <c r="B146" s="10"/>
      <c r="C146" s="10"/>
      <c r="D146" s="10"/>
      <c r="E146" s="10"/>
      <c r="F146" s="10"/>
      <c r="G146" s="10"/>
      <c r="H146" s="11"/>
      <c r="I146" s="11"/>
      <c r="J146" s="10"/>
      <c r="K146" s="10"/>
      <c r="L146" s="11"/>
    </row>
    <row r="147" spans="1:12">
      <c r="A147" s="10"/>
      <c r="B147" s="10"/>
      <c r="C147" s="10"/>
      <c r="D147" s="10"/>
      <c r="E147" s="10"/>
      <c r="F147" s="10"/>
      <c r="G147" s="10"/>
      <c r="H147" s="11"/>
      <c r="I147" s="11"/>
      <c r="J147" s="10"/>
      <c r="K147" s="10"/>
      <c r="L147" s="11"/>
    </row>
    <row r="148" spans="1:12">
      <c r="A148" s="10"/>
      <c r="B148" s="10"/>
      <c r="C148" s="10"/>
      <c r="D148" s="10"/>
      <c r="E148" s="10"/>
      <c r="F148" s="10"/>
      <c r="G148" s="10"/>
      <c r="H148" s="11"/>
      <c r="I148" s="11"/>
      <c r="J148" s="10"/>
      <c r="K148" s="10"/>
      <c r="L148" s="11"/>
    </row>
    <row r="149" spans="1:12">
      <c r="A149" s="10"/>
      <c r="B149" s="10"/>
      <c r="C149" s="10"/>
      <c r="D149" s="10"/>
      <c r="E149" s="10"/>
      <c r="F149" s="10"/>
      <c r="G149" s="10"/>
      <c r="H149" s="11"/>
      <c r="I149" s="11"/>
      <c r="J149" s="10"/>
      <c r="K149" s="10"/>
      <c r="L149" s="11"/>
    </row>
    <row r="150" spans="1:12">
      <c r="A150" s="10"/>
      <c r="B150" s="10"/>
      <c r="C150" s="10"/>
      <c r="D150" s="10"/>
      <c r="E150" s="10"/>
      <c r="F150" s="10"/>
      <c r="G150" s="10"/>
      <c r="H150" s="11"/>
      <c r="I150" s="11"/>
      <c r="J150" s="10"/>
      <c r="K150" s="10"/>
      <c r="L150" s="11"/>
    </row>
    <row r="151" spans="1:12">
      <c r="A151" s="10"/>
      <c r="B151" s="10"/>
      <c r="C151" s="10"/>
      <c r="D151" s="10"/>
      <c r="E151" s="10"/>
      <c r="F151" s="10"/>
      <c r="G151" s="10"/>
      <c r="H151" s="11"/>
      <c r="I151" s="11"/>
      <c r="J151" s="10"/>
      <c r="K151" s="10"/>
      <c r="L151" s="11"/>
    </row>
    <row r="152" spans="1:12">
      <c r="A152" s="10"/>
      <c r="B152" s="10"/>
      <c r="C152" s="10"/>
      <c r="D152" s="10"/>
      <c r="E152" s="10"/>
      <c r="F152" s="10"/>
      <c r="G152" s="10"/>
      <c r="H152" s="11"/>
      <c r="I152" s="11"/>
      <c r="J152" s="10"/>
      <c r="K152" s="10"/>
      <c r="L152" s="11"/>
    </row>
    <row r="153" spans="1:12">
      <c r="A153" s="10"/>
      <c r="B153" s="10"/>
      <c r="C153" s="10"/>
      <c r="D153" s="10"/>
      <c r="E153" s="10"/>
      <c r="F153" s="10"/>
      <c r="G153" s="10"/>
      <c r="H153" s="11"/>
      <c r="I153" s="11"/>
      <c r="J153" s="10"/>
      <c r="K153" s="10"/>
      <c r="L153" s="11"/>
    </row>
    <row r="154" spans="1:12">
      <c r="A154" s="10"/>
      <c r="B154" s="10"/>
      <c r="C154" s="10"/>
      <c r="D154" s="10"/>
      <c r="E154" s="10"/>
      <c r="F154" s="10"/>
      <c r="G154" s="10"/>
      <c r="H154" s="11"/>
      <c r="I154" s="11"/>
      <c r="J154" s="10"/>
      <c r="K154" s="10"/>
      <c r="L154" s="11"/>
    </row>
    <row r="155" spans="1:12">
      <c r="A155" s="10"/>
      <c r="B155" s="10"/>
      <c r="C155" s="10"/>
      <c r="D155" s="10"/>
      <c r="E155" s="10"/>
      <c r="F155" s="10"/>
      <c r="G155" s="10"/>
      <c r="H155" s="11"/>
      <c r="I155" s="11"/>
      <c r="J155" s="10"/>
      <c r="K155" s="10"/>
      <c r="L155" s="11"/>
    </row>
    <row r="156" spans="1:12">
      <c r="A156" s="10"/>
      <c r="B156" s="10"/>
      <c r="C156" s="10"/>
      <c r="D156" s="10"/>
      <c r="E156" s="10"/>
      <c r="F156" s="10"/>
      <c r="G156" s="10"/>
      <c r="H156" s="11"/>
      <c r="I156" s="11"/>
      <c r="J156" s="10"/>
      <c r="K156" s="10"/>
      <c r="L156" s="11"/>
    </row>
    <row r="157" spans="1:12">
      <c r="A157" s="10"/>
      <c r="B157" s="10"/>
      <c r="C157" s="10"/>
      <c r="D157" s="10"/>
      <c r="E157" s="10"/>
      <c r="F157" s="10"/>
      <c r="G157" s="10"/>
      <c r="H157" s="11"/>
      <c r="I157" s="11"/>
      <c r="J157" s="10"/>
      <c r="K157" s="10"/>
      <c r="L157" s="11"/>
    </row>
    <row r="158" spans="1:12">
      <c r="A158" s="10"/>
      <c r="B158" s="10"/>
      <c r="C158" s="10"/>
      <c r="D158" s="10"/>
      <c r="E158" s="10"/>
      <c r="F158" s="10"/>
      <c r="G158" s="10"/>
      <c r="H158" s="11"/>
      <c r="I158" s="11"/>
      <c r="J158" s="10"/>
      <c r="K158" s="10"/>
      <c r="L158" s="11"/>
    </row>
    <row r="159" spans="1:12">
      <c r="A159" s="10"/>
      <c r="B159" s="10"/>
      <c r="C159" s="10"/>
      <c r="D159" s="10"/>
      <c r="E159" s="10"/>
      <c r="F159" s="10"/>
      <c r="G159" s="10"/>
      <c r="H159" s="11"/>
      <c r="I159" s="11"/>
      <c r="J159" s="10"/>
      <c r="K159" s="10"/>
      <c r="L159" s="11"/>
    </row>
    <row r="160" spans="1:12">
      <c r="A160" s="10"/>
      <c r="B160" s="10"/>
      <c r="C160" s="10"/>
      <c r="D160" s="10"/>
      <c r="E160" s="10"/>
      <c r="F160" s="10"/>
      <c r="G160" s="10"/>
      <c r="H160" s="11"/>
      <c r="I160" s="11"/>
      <c r="J160" s="10"/>
      <c r="K160" s="10"/>
      <c r="L160" s="11"/>
    </row>
    <row r="161" spans="1:12">
      <c r="A161" s="10"/>
      <c r="B161" s="10"/>
      <c r="C161" s="10"/>
      <c r="D161" s="10"/>
      <c r="E161" s="10"/>
      <c r="F161" s="10"/>
      <c r="G161" s="10"/>
      <c r="H161" s="11"/>
      <c r="I161" s="11"/>
      <c r="J161" s="10"/>
      <c r="K161" s="10"/>
      <c r="L161" s="11"/>
    </row>
    <row r="162" spans="1:12">
      <c r="A162" s="10"/>
      <c r="B162" s="10"/>
      <c r="C162" s="10"/>
      <c r="D162" s="10"/>
      <c r="E162" s="10"/>
      <c r="F162" s="10"/>
      <c r="G162" s="10"/>
      <c r="H162" s="11"/>
      <c r="I162" s="11"/>
      <c r="J162" s="10"/>
      <c r="K162" s="10"/>
      <c r="L162" s="11"/>
    </row>
    <row r="163" spans="1:12">
      <c r="A163" s="10"/>
      <c r="B163" s="10"/>
      <c r="C163" s="10"/>
      <c r="D163" s="10"/>
      <c r="E163" s="10"/>
      <c r="F163" s="10"/>
      <c r="G163" s="10"/>
      <c r="H163" s="11"/>
      <c r="I163" s="11"/>
      <c r="J163" s="10"/>
      <c r="K163" s="10"/>
      <c r="L163" s="11"/>
    </row>
    <row r="164" spans="1:12">
      <c r="A164" s="10"/>
      <c r="B164" s="10"/>
      <c r="C164" s="10"/>
      <c r="D164" s="10"/>
      <c r="E164" s="10"/>
      <c r="F164" s="10"/>
      <c r="G164" s="10"/>
      <c r="H164" s="11"/>
      <c r="I164" s="11"/>
      <c r="J164" s="10"/>
      <c r="K164" s="10"/>
      <c r="L164" s="11"/>
    </row>
    <row r="165" spans="1:12">
      <c r="A165" s="10"/>
      <c r="B165" s="10"/>
      <c r="C165" s="10"/>
      <c r="D165" s="10"/>
      <c r="E165" s="10"/>
      <c r="F165" s="10"/>
      <c r="G165" s="10"/>
      <c r="H165" s="11"/>
      <c r="I165" s="11"/>
      <c r="J165" s="10"/>
      <c r="K165" s="10"/>
      <c r="L165" s="11"/>
    </row>
    <row r="166" spans="1:12">
      <c r="A166" s="10"/>
      <c r="B166" s="10"/>
      <c r="C166" s="10"/>
      <c r="D166" s="10"/>
      <c r="E166" s="10"/>
      <c r="F166" s="10"/>
      <c r="G166" s="10"/>
      <c r="H166" s="11"/>
      <c r="I166" s="11"/>
      <c r="J166" s="10"/>
      <c r="K166" s="10"/>
      <c r="L166" s="11"/>
    </row>
    <row r="167" spans="1:12">
      <c r="A167" s="10"/>
      <c r="B167" s="10"/>
      <c r="C167" s="10"/>
      <c r="D167" s="10"/>
      <c r="E167" s="10"/>
      <c r="F167" s="10"/>
      <c r="G167" s="10"/>
      <c r="H167" s="11"/>
      <c r="I167" s="11"/>
      <c r="J167" s="10"/>
      <c r="K167" s="10"/>
      <c r="L167" s="11"/>
    </row>
    <row r="168" spans="1:12">
      <c r="A168" s="10"/>
      <c r="B168" s="10"/>
      <c r="C168" s="10"/>
      <c r="D168" s="10"/>
      <c r="E168" s="10"/>
      <c r="F168" s="10"/>
      <c r="G168" s="10"/>
      <c r="H168" s="11"/>
      <c r="I168" s="11"/>
      <c r="J168" s="10"/>
      <c r="K168" s="10"/>
      <c r="L168" s="11"/>
    </row>
    <row r="169" spans="1:12">
      <c r="A169" s="10"/>
      <c r="B169" s="10"/>
      <c r="C169" s="10"/>
      <c r="D169" s="10"/>
      <c r="E169" s="10"/>
      <c r="F169" s="10"/>
      <c r="G169" s="10"/>
      <c r="H169" s="11"/>
      <c r="I169" s="11"/>
      <c r="J169" s="10"/>
      <c r="K169" s="10"/>
      <c r="L169" s="11"/>
    </row>
    <row r="170" spans="1:12">
      <c r="A170" s="10"/>
      <c r="B170" s="10"/>
      <c r="C170" s="10"/>
      <c r="D170" s="10"/>
      <c r="E170" s="10"/>
      <c r="F170" s="10"/>
      <c r="G170" s="10"/>
      <c r="H170" s="11"/>
      <c r="I170" s="11"/>
      <c r="J170" s="10"/>
      <c r="K170" s="10"/>
      <c r="L170" s="11"/>
    </row>
    <row r="171" spans="1:12">
      <c r="A171" s="10"/>
      <c r="B171" s="10"/>
      <c r="C171" s="10"/>
      <c r="D171" s="10"/>
      <c r="E171" s="10"/>
      <c r="F171" s="10"/>
      <c r="G171" s="10"/>
      <c r="H171" s="11"/>
      <c r="I171" s="11"/>
      <c r="J171" s="10"/>
      <c r="K171" s="10"/>
      <c r="L171" s="11"/>
    </row>
    <row r="172" spans="1:12">
      <c r="A172" s="10"/>
      <c r="B172" s="10"/>
      <c r="C172" s="10"/>
      <c r="D172" s="10"/>
      <c r="E172" s="10"/>
      <c r="F172" s="10"/>
      <c r="G172" s="10"/>
      <c r="H172" s="11"/>
      <c r="I172" s="11"/>
      <c r="J172" s="10"/>
      <c r="K172" s="10"/>
      <c r="L172" s="11"/>
    </row>
    <row r="173" spans="1:12">
      <c r="A173" s="10"/>
      <c r="B173" s="10"/>
      <c r="C173" s="10"/>
      <c r="D173" s="10"/>
      <c r="E173" s="10"/>
      <c r="F173" s="10"/>
      <c r="G173" s="10"/>
      <c r="H173" s="11"/>
      <c r="I173" s="11"/>
      <c r="J173" s="10"/>
      <c r="K173" s="10"/>
      <c r="L173" s="11"/>
    </row>
    <row r="174" spans="1:12">
      <c r="A174" s="10"/>
      <c r="B174" s="10"/>
      <c r="C174" s="10"/>
      <c r="D174" s="10"/>
      <c r="E174" s="10"/>
      <c r="F174" s="10"/>
      <c r="G174" s="10"/>
      <c r="H174" s="11"/>
      <c r="I174" s="11"/>
      <c r="J174" s="10"/>
      <c r="K174" s="10"/>
      <c r="L174" s="11"/>
    </row>
    <row r="175" spans="1:12">
      <c r="A175" s="10"/>
      <c r="B175" s="10"/>
      <c r="C175" s="10"/>
      <c r="D175" s="10"/>
      <c r="E175" s="10"/>
      <c r="F175" s="10"/>
      <c r="G175" s="10"/>
      <c r="H175" s="11"/>
      <c r="I175" s="11"/>
      <c r="J175" s="10"/>
      <c r="K175" s="10"/>
      <c r="L175" s="11"/>
    </row>
    <row r="176" spans="1:12">
      <c r="A176" s="10"/>
      <c r="B176" s="10"/>
      <c r="C176" s="10"/>
      <c r="D176" s="10"/>
      <c r="E176" s="10"/>
      <c r="F176" s="10"/>
      <c r="G176" s="10"/>
      <c r="H176" s="11"/>
      <c r="I176" s="11"/>
      <c r="J176" s="10"/>
      <c r="K176" s="10"/>
      <c r="L176" s="11"/>
    </row>
    <row r="177" spans="1:12">
      <c r="A177" s="10"/>
      <c r="B177" s="10"/>
      <c r="C177" s="10"/>
      <c r="D177" s="10"/>
      <c r="E177" s="10"/>
      <c r="F177" s="10"/>
      <c r="G177" s="10"/>
      <c r="H177" s="11"/>
      <c r="I177" s="11"/>
      <c r="J177" s="10"/>
      <c r="K177" s="10"/>
      <c r="L177" s="11"/>
    </row>
    <row r="178" spans="1:12">
      <c r="A178" s="10"/>
      <c r="B178" s="10"/>
      <c r="C178" s="10"/>
      <c r="D178" s="10"/>
      <c r="E178" s="10"/>
      <c r="F178" s="10"/>
      <c r="G178" s="10"/>
      <c r="H178" s="11"/>
      <c r="I178" s="11"/>
      <c r="J178" s="10"/>
      <c r="K178" s="10"/>
      <c r="L178" s="11"/>
    </row>
    <row r="179" spans="1:12">
      <c r="A179" s="10"/>
      <c r="B179" s="10"/>
      <c r="C179" s="10"/>
      <c r="D179" s="10"/>
      <c r="E179" s="10"/>
      <c r="F179" s="10"/>
      <c r="G179" s="10"/>
      <c r="H179" s="11"/>
      <c r="I179" s="11"/>
      <c r="J179" s="10"/>
      <c r="K179" s="10"/>
      <c r="L179" s="11"/>
    </row>
    <row r="180" spans="1:12">
      <c r="A180" s="10"/>
      <c r="B180" s="10"/>
      <c r="C180" s="10"/>
      <c r="D180" s="10"/>
      <c r="E180" s="10"/>
      <c r="F180" s="10"/>
      <c r="G180" s="10"/>
      <c r="H180" s="11"/>
      <c r="I180" s="11"/>
      <c r="J180" s="10"/>
      <c r="K180" s="10"/>
      <c r="L180" s="11"/>
    </row>
    <row r="181" spans="1:12">
      <c r="A181" s="10"/>
      <c r="B181" s="10"/>
      <c r="C181" s="10"/>
      <c r="D181" s="10"/>
      <c r="E181" s="10"/>
      <c r="F181" s="10"/>
      <c r="G181" s="10"/>
      <c r="H181" s="11"/>
      <c r="I181" s="11"/>
      <c r="J181" s="10"/>
      <c r="K181" s="10"/>
      <c r="L181" s="11"/>
    </row>
    <row r="182" spans="1:12">
      <c r="A182" s="10"/>
      <c r="B182" s="10"/>
      <c r="C182" s="10"/>
      <c r="D182" s="10"/>
      <c r="E182" s="10"/>
      <c r="F182" s="10"/>
      <c r="G182" s="10"/>
      <c r="H182" s="11"/>
      <c r="I182" s="11"/>
      <c r="J182" s="10"/>
      <c r="K182" s="10"/>
      <c r="L182" s="11"/>
    </row>
    <row r="183" spans="1:12">
      <c r="A183" s="10"/>
      <c r="B183" s="10"/>
      <c r="C183" s="10"/>
      <c r="D183" s="10"/>
      <c r="E183" s="10"/>
      <c r="F183" s="10"/>
      <c r="G183" s="10"/>
      <c r="H183" s="11"/>
      <c r="I183" s="11"/>
      <c r="J183" s="10"/>
      <c r="K183" s="10"/>
      <c r="L183" s="11"/>
    </row>
    <row r="184" spans="1:12">
      <c r="A184" s="10"/>
      <c r="B184" s="10"/>
      <c r="C184" s="10"/>
      <c r="D184" s="10"/>
      <c r="E184" s="10"/>
      <c r="F184" s="10"/>
      <c r="G184" s="10"/>
      <c r="H184" s="11"/>
      <c r="I184" s="11"/>
      <c r="J184" s="10"/>
      <c r="K184" s="10"/>
      <c r="L184" s="11"/>
    </row>
    <row r="185" spans="1:12">
      <c r="A185" s="10"/>
      <c r="B185" s="10"/>
      <c r="C185" s="10"/>
      <c r="D185" s="10"/>
      <c r="E185" s="10"/>
      <c r="F185" s="10"/>
      <c r="G185" s="10"/>
      <c r="H185" s="11"/>
      <c r="I185" s="11"/>
      <c r="J185" s="10"/>
      <c r="K185" s="10"/>
      <c r="L185" s="11"/>
    </row>
    <row r="186" spans="1:12">
      <c r="A186" s="10"/>
      <c r="B186" s="10"/>
      <c r="C186" s="10"/>
      <c r="D186" s="10"/>
      <c r="E186" s="10"/>
      <c r="F186" s="10"/>
      <c r="G186" s="10"/>
      <c r="H186" s="11"/>
      <c r="I186" s="11"/>
      <c r="J186" s="10"/>
      <c r="K186" s="10"/>
      <c r="L186" s="11"/>
    </row>
    <row r="187" spans="1:12">
      <c r="A187" s="10"/>
      <c r="B187" s="10"/>
      <c r="C187" s="10"/>
      <c r="D187" s="10"/>
      <c r="E187" s="10"/>
      <c r="F187" s="10"/>
      <c r="G187" s="10"/>
      <c r="H187" s="11"/>
      <c r="I187" s="11"/>
      <c r="J187" s="10"/>
      <c r="K187" s="10"/>
      <c r="L187" s="11"/>
    </row>
    <row r="188" spans="1:12">
      <c r="A188" s="10"/>
      <c r="B188" s="10"/>
      <c r="C188" s="10"/>
      <c r="D188" s="10"/>
      <c r="E188" s="10"/>
      <c r="F188" s="10"/>
      <c r="G188" s="10"/>
      <c r="H188" s="11"/>
      <c r="I188" s="11"/>
      <c r="J188" s="10"/>
      <c r="K188" s="10"/>
      <c r="L188" s="11"/>
    </row>
    <row r="189" spans="1:12">
      <c r="A189" s="10"/>
      <c r="B189" s="10"/>
      <c r="C189" s="10"/>
      <c r="D189" s="10"/>
      <c r="E189" s="10"/>
      <c r="F189" s="10"/>
      <c r="G189" s="10"/>
      <c r="H189" s="11"/>
      <c r="I189" s="11"/>
      <c r="J189" s="10"/>
      <c r="K189" s="10"/>
      <c r="L189" s="11"/>
    </row>
    <row r="190" spans="1:12">
      <c r="A190" s="10"/>
      <c r="B190" s="10"/>
      <c r="C190" s="10"/>
      <c r="D190" s="10"/>
      <c r="E190" s="10"/>
      <c r="F190" s="10"/>
      <c r="G190" s="10"/>
      <c r="H190" s="11"/>
      <c r="I190" s="11"/>
      <c r="J190" s="10"/>
      <c r="K190" s="10"/>
      <c r="L190" s="11"/>
    </row>
    <row r="191" spans="1:12">
      <c r="A191" s="10"/>
      <c r="B191" s="10"/>
      <c r="C191" s="10"/>
      <c r="D191" s="10"/>
      <c r="E191" s="10"/>
      <c r="F191" s="10"/>
      <c r="G191" s="10"/>
      <c r="H191" s="11"/>
      <c r="I191" s="11"/>
      <c r="J191" s="10"/>
      <c r="K191" s="10"/>
      <c r="L191" s="11"/>
    </row>
    <row r="192" spans="1:12">
      <c r="A192" s="10"/>
      <c r="B192" s="10"/>
      <c r="C192" s="10"/>
      <c r="D192" s="10"/>
      <c r="E192" s="10"/>
      <c r="F192" s="10"/>
      <c r="G192" s="10"/>
      <c r="H192" s="11"/>
      <c r="I192" s="11"/>
      <c r="J192" s="10"/>
      <c r="K192" s="10"/>
      <c r="L192" s="11"/>
    </row>
    <row r="193" spans="1:12">
      <c r="A193" s="10"/>
      <c r="B193" s="10"/>
      <c r="C193" s="10"/>
      <c r="D193" s="10"/>
      <c r="E193" s="10"/>
      <c r="F193" s="10"/>
      <c r="G193" s="10"/>
      <c r="H193" s="11"/>
      <c r="I193" s="11"/>
      <c r="J193" s="10"/>
      <c r="K193" s="10"/>
      <c r="L193" s="11"/>
    </row>
    <row r="194" spans="1:12">
      <c r="A194" s="10"/>
      <c r="B194" s="10"/>
      <c r="C194" s="10"/>
      <c r="D194" s="10"/>
      <c r="E194" s="10"/>
      <c r="F194" s="10"/>
      <c r="G194" s="10"/>
      <c r="H194" s="11"/>
      <c r="I194" s="11"/>
      <c r="J194" s="10"/>
      <c r="K194" s="10"/>
      <c r="L194" s="11"/>
    </row>
    <row r="195" spans="1:12">
      <c r="A195" s="10"/>
      <c r="B195" s="10"/>
      <c r="C195" s="10"/>
      <c r="D195" s="10"/>
      <c r="E195" s="10"/>
      <c r="F195" s="10"/>
      <c r="G195" s="10"/>
      <c r="H195" s="11"/>
      <c r="I195" s="11"/>
      <c r="J195" s="10"/>
      <c r="K195" s="10"/>
      <c r="L195" s="11"/>
    </row>
    <row r="196" spans="1:12">
      <c r="A196" s="10"/>
      <c r="B196" s="10"/>
      <c r="C196" s="10"/>
      <c r="D196" s="10"/>
      <c r="E196" s="10"/>
      <c r="F196" s="10"/>
      <c r="G196" s="10"/>
      <c r="H196" s="11"/>
      <c r="I196" s="11"/>
      <c r="J196" s="10"/>
      <c r="K196" s="10"/>
      <c r="L196" s="11"/>
    </row>
    <row r="197" spans="1:12">
      <c r="A197" s="10"/>
      <c r="B197" s="10"/>
      <c r="C197" s="10"/>
      <c r="D197" s="10"/>
      <c r="E197" s="10"/>
      <c r="F197" s="10"/>
      <c r="G197" s="10"/>
      <c r="H197" s="11"/>
      <c r="I197" s="11"/>
      <c r="J197" s="10"/>
      <c r="K197" s="10"/>
      <c r="L197" s="11"/>
    </row>
    <row r="198" spans="1:12">
      <c r="A198" s="10"/>
      <c r="B198" s="10"/>
      <c r="C198" s="10"/>
      <c r="D198" s="10"/>
      <c r="E198" s="10"/>
      <c r="F198" s="10"/>
      <c r="G198" s="10"/>
      <c r="H198" s="11"/>
      <c r="I198" s="11"/>
      <c r="J198" s="10"/>
      <c r="K198" s="10"/>
      <c r="L198" s="11"/>
    </row>
    <row r="199" spans="1:12">
      <c r="A199" s="10"/>
      <c r="B199" s="10"/>
      <c r="C199" s="10"/>
      <c r="D199" s="10"/>
      <c r="E199" s="10"/>
      <c r="F199" s="10"/>
      <c r="G199" s="10"/>
      <c r="H199" s="11"/>
      <c r="I199" s="11"/>
      <c r="J199" s="10"/>
      <c r="K199" s="10"/>
      <c r="L199" s="11"/>
    </row>
    <row r="200" spans="1:12">
      <c r="A200" s="10"/>
      <c r="B200" s="10"/>
      <c r="C200" s="10"/>
      <c r="D200" s="10"/>
      <c r="E200" s="10"/>
      <c r="F200" s="10"/>
      <c r="G200" s="10"/>
      <c r="H200" s="11"/>
      <c r="I200" s="11"/>
      <c r="J200" s="10"/>
      <c r="K200" s="10"/>
      <c r="L200" s="11"/>
    </row>
    <row r="201" spans="1:12">
      <c r="A201" s="10"/>
      <c r="B201" s="10"/>
      <c r="C201" s="10"/>
      <c r="D201" s="10"/>
      <c r="E201" s="10"/>
      <c r="F201" s="10"/>
      <c r="G201" s="10"/>
      <c r="H201" s="11"/>
      <c r="I201" s="11"/>
      <c r="J201" s="10"/>
      <c r="K201" s="10"/>
      <c r="L201" s="11"/>
    </row>
    <row r="202" spans="1:12">
      <c r="A202" s="10"/>
      <c r="B202" s="10"/>
      <c r="C202" s="10"/>
      <c r="D202" s="10"/>
      <c r="E202" s="10"/>
      <c r="F202" s="10"/>
      <c r="G202" s="10"/>
      <c r="H202" s="11"/>
      <c r="I202" s="11"/>
      <c r="J202" s="10"/>
      <c r="K202" s="10"/>
      <c r="L202" s="11"/>
    </row>
    <row r="203" spans="1:12">
      <c r="A203" s="10"/>
      <c r="B203" s="10"/>
      <c r="C203" s="10"/>
      <c r="D203" s="10"/>
      <c r="E203" s="10"/>
      <c r="F203" s="10"/>
      <c r="G203" s="10"/>
      <c r="H203" s="11"/>
      <c r="I203" s="11"/>
      <c r="J203" s="10"/>
      <c r="K203" s="10"/>
      <c r="L203" s="11"/>
    </row>
    <row r="204" spans="1:12">
      <c r="A204" s="10"/>
      <c r="B204" s="10"/>
      <c r="C204" s="10"/>
      <c r="D204" s="10"/>
      <c r="E204" s="10"/>
      <c r="F204" s="10"/>
      <c r="G204" s="10"/>
      <c r="H204" s="11"/>
      <c r="I204" s="11"/>
      <c r="J204" s="10"/>
      <c r="K204" s="10"/>
      <c r="L204" s="11"/>
    </row>
    <row r="205" spans="1:12">
      <c r="A205" s="10"/>
      <c r="B205" s="10"/>
      <c r="C205" s="10"/>
      <c r="D205" s="10"/>
      <c r="E205" s="10"/>
      <c r="F205" s="10"/>
      <c r="G205" s="10"/>
      <c r="H205" s="11"/>
      <c r="I205" s="11"/>
      <c r="J205" s="10"/>
      <c r="K205" s="10"/>
      <c r="L205" s="11"/>
    </row>
    <row r="206" spans="1:12">
      <c r="A206" s="10"/>
      <c r="B206" s="10"/>
      <c r="C206" s="10"/>
      <c r="D206" s="10"/>
      <c r="E206" s="10"/>
      <c r="F206" s="10"/>
      <c r="G206" s="10"/>
      <c r="H206" s="11"/>
      <c r="I206" s="11"/>
      <c r="J206" s="10"/>
      <c r="K206" s="10"/>
      <c r="L206" s="11"/>
    </row>
    <row r="207" spans="1:12">
      <c r="A207" s="10"/>
      <c r="B207" s="10"/>
      <c r="C207" s="10"/>
      <c r="D207" s="10"/>
      <c r="E207" s="10"/>
      <c r="F207" s="10"/>
      <c r="G207" s="10"/>
      <c r="H207" s="11"/>
      <c r="I207" s="11"/>
      <c r="J207" s="10"/>
      <c r="K207" s="10"/>
      <c r="L207" s="11"/>
    </row>
    <row r="208" spans="1:12">
      <c r="A208" s="10"/>
      <c r="B208" s="10"/>
      <c r="C208" s="10"/>
      <c r="D208" s="10"/>
      <c r="E208" s="10"/>
      <c r="F208" s="10"/>
      <c r="G208" s="10"/>
      <c r="H208" s="11"/>
      <c r="I208" s="11"/>
      <c r="J208" s="10"/>
      <c r="K208" s="10"/>
      <c r="L208" s="11"/>
    </row>
    <row r="209" spans="1:12">
      <c r="A209" s="10"/>
      <c r="B209" s="10"/>
      <c r="C209" s="10"/>
      <c r="D209" s="10"/>
      <c r="E209" s="10"/>
      <c r="F209" s="10"/>
      <c r="G209" s="10"/>
      <c r="H209" s="11"/>
      <c r="I209" s="11"/>
      <c r="J209" s="10"/>
      <c r="K209" s="10"/>
      <c r="L209" s="11"/>
    </row>
    <row r="210" spans="1:12">
      <c r="A210" s="10"/>
      <c r="B210" s="10"/>
      <c r="C210" s="10"/>
      <c r="D210" s="10"/>
      <c r="E210" s="10"/>
      <c r="F210" s="10"/>
      <c r="G210" s="10"/>
      <c r="H210" s="11"/>
      <c r="I210" s="11"/>
      <c r="J210" s="10"/>
      <c r="K210" s="10"/>
      <c r="L210" s="11"/>
    </row>
    <row r="211" spans="1:12">
      <c r="A211" s="10"/>
      <c r="B211" s="10"/>
      <c r="C211" s="10"/>
      <c r="D211" s="10"/>
      <c r="E211" s="10"/>
      <c r="F211" s="10"/>
      <c r="G211" s="10"/>
      <c r="H211" s="11"/>
      <c r="I211" s="11"/>
      <c r="J211" s="10"/>
      <c r="K211" s="10"/>
      <c r="L211" s="11"/>
    </row>
    <row r="212" spans="1:12">
      <c r="A212" s="10"/>
      <c r="B212" s="10"/>
      <c r="C212" s="10"/>
      <c r="D212" s="10"/>
      <c r="E212" s="10"/>
      <c r="F212" s="10"/>
      <c r="G212" s="10"/>
      <c r="H212" s="11"/>
      <c r="I212" s="11"/>
      <c r="J212" s="10"/>
      <c r="K212" s="10"/>
      <c r="L212" s="11"/>
    </row>
    <row r="213" spans="1:12">
      <c r="A213" s="10"/>
      <c r="B213" s="10"/>
      <c r="C213" s="10"/>
      <c r="D213" s="10"/>
      <c r="E213" s="10"/>
      <c r="F213" s="10"/>
      <c r="G213" s="10"/>
      <c r="H213" s="11"/>
      <c r="I213" s="11"/>
      <c r="J213" s="10"/>
      <c r="K213" s="10"/>
      <c r="L213" s="11"/>
    </row>
    <row r="214" spans="1:12">
      <c r="A214" s="10"/>
      <c r="B214" s="10"/>
      <c r="C214" s="10"/>
      <c r="D214" s="10"/>
      <c r="E214" s="10"/>
      <c r="F214" s="10"/>
      <c r="G214" s="10"/>
      <c r="H214" s="11"/>
      <c r="I214" s="11"/>
      <c r="J214" s="10"/>
      <c r="K214" s="10"/>
      <c r="L214" s="11"/>
    </row>
    <row r="215" spans="1:12">
      <c r="A215" s="10"/>
      <c r="B215" s="10"/>
      <c r="C215" s="10"/>
      <c r="D215" s="10"/>
      <c r="E215" s="10"/>
      <c r="F215" s="10"/>
      <c r="G215" s="10"/>
      <c r="H215" s="11"/>
      <c r="I215" s="11"/>
      <c r="J215" s="10"/>
      <c r="K215" s="10"/>
      <c r="L215" s="11"/>
    </row>
    <row r="216" spans="1:12">
      <c r="A216" s="10"/>
      <c r="B216" s="10"/>
      <c r="C216" s="10"/>
      <c r="D216" s="10"/>
      <c r="E216" s="10"/>
      <c r="F216" s="10"/>
      <c r="G216" s="10"/>
      <c r="H216" s="11"/>
      <c r="I216" s="11"/>
      <c r="J216" s="10"/>
      <c r="K216" s="10"/>
      <c r="L216" s="11"/>
    </row>
    <row r="217" spans="1:12">
      <c r="A217" s="10"/>
      <c r="B217" s="10"/>
      <c r="C217" s="10"/>
      <c r="D217" s="10"/>
      <c r="E217" s="10"/>
      <c r="F217" s="10"/>
      <c r="G217" s="10"/>
      <c r="H217" s="11"/>
      <c r="I217" s="11"/>
      <c r="J217" s="10"/>
      <c r="K217" s="10"/>
      <c r="L217" s="11"/>
    </row>
    <row r="218" spans="1:12">
      <c r="A218" s="10"/>
      <c r="B218" s="10"/>
      <c r="C218" s="10"/>
      <c r="D218" s="10"/>
      <c r="E218" s="10"/>
      <c r="F218" s="10"/>
      <c r="G218" s="10"/>
      <c r="H218" s="11"/>
      <c r="I218" s="11"/>
      <c r="J218" s="10"/>
      <c r="K218" s="10"/>
      <c r="L218" s="11"/>
    </row>
    <row r="219" spans="1:12">
      <c r="A219" s="10"/>
      <c r="B219" s="10"/>
      <c r="C219" s="10"/>
      <c r="D219" s="10"/>
      <c r="E219" s="10"/>
      <c r="F219" s="10"/>
      <c r="G219" s="10"/>
      <c r="H219" s="11"/>
      <c r="I219" s="11"/>
      <c r="J219" s="10"/>
      <c r="K219" s="10"/>
      <c r="L219" s="11"/>
    </row>
    <row r="220" spans="1:12">
      <c r="A220" s="10"/>
      <c r="B220" s="10"/>
      <c r="C220" s="10"/>
      <c r="D220" s="10"/>
      <c r="E220" s="10"/>
      <c r="F220" s="10"/>
      <c r="G220" s="10"/>
      <c r="H220" s="11"/>
      <c r="I220" s="11"/>
      <c r="J220" s="10"/>
      <c r="K220" s="10"/>
      <c r="L220" s="11"/>
    </row>
    <row r="221" spans="1:12">
      <c r="A221" s="10"/>
      <c r="B221" s="10"/>
      <c r="C221" s="10"/>
      <c r="D221" s="10"/>
      <c r="E221" s="10"/>
      <c r="F221" s="10"/>
      <c r="G221" s="10"/>
      <c r="H221" s="11"/>
      <c r="I221" s="11"/>
      <c r="J221" s="10"/>
      <c r="K221" s="10"/>
      <c r="L221" s="11"/>
    </row>
    <row r="222" spans="1:12">
      <c r="A222" s="10"/>
      <c r="B222" s="10"/>
      <c r="C222" s="10"/>
      <c r="D222" s="10"/>
      <c r="E222" s="10"/>
      <c r="F222" s="10"/>
      <c r="G222" s="10"/>
      <c r="H222" s="11"/>
      <c r="I222" s="11"/>
      <c r="J222" s="10"/>
      <c r="K222" s="10"/>
      <c r="L222" s="11"/>
    </row>
    <row r="223" spans="1:12">
      <c r="A223" s="10"/>
      <c r="B223" s="10"/>
      <c r="C223" s="10"/>
      <c r="D223" s="10"/>
      <c r="E223" s="10"/>
      <c r="F223" s="10"/>
      <c r="G223" s="10"/>
      <c r="H223" s="11"/>
      <c r="I223" s="11"/>
      <c r="J223" s="10"/>
      <c r="K223" s="10"/>
      <c r="L223" s="11"/>
    </row>
    <row r="224" spans="1:12">
      <c r="A224" s="10"/>
      <c r="B224" s="10"/>
      <c r="C224" s="10"/>
      <c r="D224" s="10"/>
      <c r="E224" s="10"/>
      <c r="F224" s="10"/>
      <c r="G224" s="10"/>
      <c r="H224" s="11"/>
      <c r="I224" s="11"/>
      <c r="J224" s="10"/>
      <c r="K224" s="10"/>
      <c r="L224" s="11"/>
    </row>
    <row r="225" spans="1:12">
      <c r="A225" s="10"/>
      <c r="B225" s="10"/>
      <c r="C225" s="10"/>
      <c r="D225" s="10"/>
      <c r="E225" s="10"/>
      <c r="F225" s="10"/>
      <c r="G225" s="10"/>
      <c r="H225" s="11"/>
      <c r="I225" s="11"/>
      <c r="J225" s="10"/>
      <c r="K225" s="10"/>
      <c r="L225" s="11"/>
    </row>
    <row r="226" spans="1:12">
      <c r="A226" s="10"/>
      <c r="B226" s="10"/>
      <c r="C226" s="10"/>
      <c r="D226" s="10"/>
      <c r="E226" s="10"/>
      <c r="F226" s="10"/>
      <c r="G226" s="10"/>
      <c r="H226" s="11"/>
      <c r="I226" s="11"/>
      <c r="J226" s="10"/>
      <c r="K226" s="10"/>
      <c r="L226" s="11"/>
    </row>
    <row r="227" spans="1:12">
      <c r="A227" s="10"/>
      <c r="B227" s="10"/>
      <c r="C227" s="10"/>
      <c r="D227" s="10"/>
      <c r="E227" s="10"/>
      <c r="F227" s="10"/>
      <c r="G227" s="10"/>
      <c r="H227" s="11"/>
      <c r="I227" s="11"/>
      <c r="J227" s="10"/>
      <c r="K227" s="10"/>
      <c r="L227" s="11"/>
    </row>
    <row r="228" spans="1:12">
      <c r="A228" s="10"/>
      <c r="B228" s="10"/>
      <c r="C228" s="10"/>
      <c r="D228" s="10"/>
      <c r="E228" s="10"/>
      <c r="F228" s="10"/>
      <c r="G228" s="10"/>
      <c r="H228" s="11"/>
      <c r="I228" s="11"/>
      <c r="J228" s="10"/>
      <c r="K228" s="10"/>
      <c r="L228" s="11"/>
    </row>
    <row r="229" spans="1:12">
      <c r="A229" s="10"/>
      <c r="B229" s="10"/>
      <c r="C229" s="10"/>
      <c r="D229" s="10"/>
      <c r="E229" s="10"/>
      <c r="F229" s="10"/>
      <c r="G229" s="10"/>
      <c r="H229" s="11"/>
      <c r="I229" s="11"/>
      <c r="J229" s="10"/>
      <c r="K229" s="10"/>
      <c r="L229" s="11"/>
    </row>
    <row r="230" spans="1:12">
      <c r="A230" s="10"/>
      <c r="B230" s="10"/>
      <c r="C230" s="10"/>
      <c r="D230" s="10"/>
      <c r="E230" s="10"/>
      <c r="F230" s="10"/>
      <c r="G230" s="10"/>
      <c r="H230" s="11"/>
      <c r="I230" s="11"/>
      <c r="J230" s="10"/>
      <c r="K230" s="10"/>
      <c r="L230" s="11"/>
    </row>
    <row r="231" spans="1:12">
      <c r="A231" s="10"/>
      <c r="B231" s="10"/>
      <c r="C231" s="10"/>
      <c r="D231" s="10"/>
      <c r="E231" s="10"/>
      <c r="F231" s="10"/>
      <c r="G231" s="10"/>
      <c r="H231" s="11"/>
      <c r="I231" s="11"/>
      <c r="J231" s="10"/>
      <c r="K231" s="10"/>
      <c r="L231" s="11"/>
    </row>
    <row r="232" spans="1:12">
      <c r="A232" s="10"/>
      <c r="B232" s="10"/>
      <c r="C232" s="10"/>
      <c r="D232" s="10"/>
      <c r="E232" s="10"/>
      <c r="F232" s="10"/>
      <c r="G232" s="10"/>
      <c r="H232" s="11"/>
      <c r="I232" s="11"/>
      <c r="J232" s="10"/>
      <c r="K232" s="10"/>
      <c r="L232" s="11"/>
    </row>
    <row r="233" spans="1:12">
      <c r="A233" s="10"/>
      <c r="B233" s="10"/>
      <c r="C233" s="10"/>
      <c r="D233" s="10"/>
      <c r="E233" s="10"/>
      <c r="F233" s="10"/>
      <c r="G233" s="10"/>
      <c r="H233" s="11"/>
      <c r="I233" s="11"/>
      <c r="J233" s="10"/>
      <c r="K233" s="10"/>
      <c r="L233" s="11"/>
    </row>
    <row r="234" spans="1:12">
      <c r="A234" s="10"/>
      <c r="B234" s="10"/>
      <c r="C234" s="10"/>
      <c r="D234" s="10"/>
      <c r="E234" s="10"/>
      <c r="F234" s="10"/>
      <c r="G234" s="10"/>
      <c r="H234" s="11"/>
      <c r="I234" s="11"/>
      <c r="J234" s="10"/>
      <c r="K234" s="10"/>
      <c r="L234" s="11"/>
    </row>
    <row r="235" spans="1:12">
      <c r="A235" s="10"/>
      <c r="B235" s="10"/>
      <c r="C235" s="10"/>
      <c r="D235" s="10"/>
      <c r="E235" s="10"/>
      <c r="F235" s="10"/>
      <c r="G235" s="10"/>
      <c r="H235" s="11"/>
      <c r="I235" s="11"/>
      <c r="J235" s="10"/>
      <c r="K235" s="10"/>
      <c r="L235" s="11"/>
    </row>
    <row r="236" spans="1:12">
      <c r="A236" s="10"/>
      <c r="B236" s="10"/>
      <c r="C236" s="10"/>
      <c r="D236" s="10"/>
      <c r="E236" s="10"/>
      <c r="F236" s="10"/>
      <c r="G236" s="10"/>
      <c r="H236" s="11"/>
      <c r="I236" s="11"/>
      <c r="J236" s="10"/>
      <c r="K236" s="10"/>
      <c r="L236" s="11"/>
    </row>
    <row r="237" spans="1:12">
      <c r="A237" s="10"/>
      <c r="B237" s="10"/>
      <c r="C237" s="10"/>
      <c r="D237" s="10"/>
      <c r="E237" s="10"/>
      <c r="F237" s="10"/>
      <c r="G237" s="10"/>
      <c r="H237" s="11"/>
      <c r="I237" s="11"/>
      <c r="J237" s="10"/>
      <c r="K237" s="10"/>
      <c r="L237" s="11"/>
    </row>
    <row r="238" spans="1:12">
      <c r="A238" s="10"/>
      <c r="B238" s="10"/>
      <c r="C238" s="10"/>
      <c r="D238" s="10"/>
      <c r="E238" s="10"/>
      <c r="F238" s="10"/>
      <c r="G238" s="10"/>
      <c r="H238" s="11"/>
      <c r="I238" s="11"/>
      <c r="J238" s="10"/>
      <c r="K238" s="10"/>
      <c r="L238" s="11"/>
    </row>
    <row r="239" spans="1:12">
      <c r="A239" s="10"/>
      <c r="B239" s="10"/>
      <c r="C239" s="10"/>
      <c r="D239" s="10"/>
      <c r="E239" s="10"/>
      <c r="F239" s="10"/>
      <c r="G239" s="10"/>
      <c r="H239" s="11"/>
      <c r="I239" s="11"/>
      <c r="J239" s="10"/>
      <c r="K239" s="10"/>
      <c r="L239" s="11"/>
    </row>
    <row r="240" spans="1:12">
      <c r="A240" s="10"/>
      <c r="B240" s="10"/>
      <c r="C240" s="10"/>
      <c r="D240" s="10"/>
      <c r="E240" s="10"/>
      <c r="F240" s="10"/>
      <c r="G240" s="10"/>
      <c r="H240" s="11"/>
      <c r="I240" s="11"/>
      <c r="J240" s="10"/>
      <c r="K240" s="10"/>
      <c r="L240" s="11"/>
    </row>
    <row r="241" spans="1:12">
      <c r="A241" s="10"/>
      <c r="B241" s="10"/>
      <c r="C241" s="10"/>
      <c r="D241" s="10"/>
      <c r="E241" s="10"/>
      <c r="F241" s="10"/>
      <c r="G241" s="10"/>
      <c r="H241" s="11"/>
      <c r="I241" s="11"/>
      <c r="J241" s="10"/>
      <c r="K241" s="10"/>
      <c r="L241" s="11"/>
    </row>
    <row r="242" spans="1:12">
      <c r="A242" s="10"/>
      <c r="B242" s="10"/>
      <c r="C242" s="10"/>
      <c r="D242" s="10"/>
      <c r="E242" s="10"/>
      <c r="F242" s="10"/>
      <c r="G242" s="10"/>
      <c r="H242" s="11"/>
      <c r="I242" s="11"/>
      <c r="J242" s="10"/>
      <c r="K242" s="10"/>
      <c r="L242" s="11"/>
    </row>
    <row r="243" spans="1:12">
      <c r="A243" s="10"/>
      <c r="B243" s="10"/>
      <c r="C243" s="10"/>
      <c r="D243" s="10"/>
      <c r="E243" s="10"/>
      <c r="F243" s="10"/>
      <c r="G243" s="10"/>
      <c r="H243" s="11"/>
      <c r="I243" s="11"/>
      <c r="J243" s="10"/>
      <c r="K243" s="10"/>
      <c r="L243" s="11"/>
    </row>
    <row r="244" spans="1:12">
      <c r="A244" s="10"/>
      <c r="B244" s="10"/>
      <c r="C244" s="10"/>
      <c r="D244" s="10"/>
      <c r="E244" s="10"/>
      <c r="F244" s="10"/>
      <c r="G244" s="10"/>
      <c r="H244" s="11"/>
      <c r="I244" s="11"/>
      <c r="J244" s="10"/>
      <c r="K244" s="10"/>
      <c r="L244" s="11"/>
    </row>
    <row r="245" spans="1:12">
      <c r="A245" s="10"/>
      <c r="B245" s="10"/>
      <c r="C245" s="10"/>
      <c r="D245" s="10"/>
      <c r="E245" s="10"/>
      <c r="F245" s="10"/>
      <c r="G245" s="10"/>
      <c r="H245" s="11"/>
      <c r="I245" s="11"/>
      <c r="J245" s="10"/>
      <c r="K245" s="10"/>
      <c r="L245" s="11"/>
    </row>
    <row r="246" spans="1:12">
      <c r="A246" s="10"/>
      <c r="B246" s="10"/>
      <c r="C246" s="10"/>
      <c r="D246" s="10"/>
      <c r="E246" s="10"/>
      <c r="F246" s="10"/>
      <c r="G246" s="10"/>
      <c r="H246" s="11"/>
      <c r="I246" s="11"/>
      <c r="J246" s="10"/>
      <c r="K246" s="10"/>
      <c r="L246" s="11"/>
    </row>
    <row r="247" spans="1:12">
      <c r="A247" s="10"/>
      <c r="B247" s="10"/>
      <c r="C247" s="10"/>
      <c r="D247" s="10"/>
      <c r="E247" s="10"/>
      <c r="F247" s="10"/>
      <c r="G247" s="10"/>
      <c r="H247" s="11"/>
      <c r="I247" s="11"/>
      <c r="J247" s="10"/>
      <c r="K247" s="10"/>
      <c r="L247" s="11"/>
    </row>
    <row r="248" spans="1:12">
      <c r="A248" s="10"/>
      <c r="B248" s="10"/>
      <c r="C248" s="10"/>
      <c r="D248" s="10"/>
      <c r="E248" s="10"/>
      <c r="F248" s="10"/>
      <c r="G248" s="10"/>
      <c r="H248" s="11"/>
      <c r="I248" s="11"/>
      <c r="J248" s="10"/>
      <c r="K248" s="10"/>
      <c r="L248" s="11"/>
    </row>
    <row r="249" spans="1:12">
      <c r="A249" s="10"/>
      <c r="B249" s="10"/>
      <c r="C249" s="10"/>
      <c r="D249" s="10"/>
      <c r="E249" s="10"/>
      <c r="F249" s="10"/>
      <c r="G249" s="10"/>
      <c r="H249" s="11"/>
      <c r="I249" s="11"/>
      <c r="J249" s="10"/>
      <c r="K249" s="10"/>
      <c r="L249" s="11"/>
    </row>
    <row r="250" spans="1:12">
      <c r="A250" s="10"/>
      <c r="B250" s="10"/>
      <c r="C250" s="10"/>
      <c r="D250" s="10"/>
      <c r="E250" s="10"/>
      <c r="F250" s="10"/>
      <c r="G250" s="10"/>
      <c r="H250" s="11"/>
      <c r="I250" s="11"/>
      <c r="J250" s="10"/>
      <c r="K250" s="10"/>
      <c r="L250" s="11"/>
    </row>
  </sheetData>
  <mergeCells count="2">
    <mergeCell ref="A2:L2"/>
    <mergeCell ref="A1:L1"/>
  </mergeCells>
  <conditionalFormatting sqref="B4:B250">
    <cfRule type="expression" dxfId="2" priority="1">
      <formula>LEN($B4)=0</formula>
    </cfRule>
  </conditionalFormatting>
  <dataValidations count="4">
    <dataValidation type="list" allowBlank="1" sqref="B4:B250" xr:uid="{00000000-0002-0000-1300-000000000000}">
      <formula1>TechIDs</formula1>
    </dataValidation>
    <dataValidation type="list" allowBlank="1" sqref="F4:F250" xr:uid="{00000000-0002-0000-1300-000001000000}">
      <formula1>TipiAttore</formula1>
    </dataValidation>
    <dataValidation type="list" allowBlank="1" sqref="G4:G250" xr:uid="{00000000-0002-0000-1300-000002000000}">
      <formula1>Geografie</formula1>
    </dataValidation>
    <dataValidation type="list" allowBlank="1" sqref="K4:K250" xr:uid="{00000000-0002-0000-1300-000003000000}">
      <formula1>SourceIDs</formula1>
    </dataValidation>
  </dataValidation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F766E"/>
  </sheetPr>
  <dimension ref="A1:L250"/>
  <sheetViews>
    <sheetView showGridLines="0" workbookViewId="0">
      <selection activeCell="H71" sqref="H71"/>
    </sheetView>
  </sheetViews>
  <sheetFormatPr defaultRowHeight="14.45"/>
  <cols>
    <col min="1" max="1" width="14" customWidth="1"/>
    <col min="2" max="2" width="10" customWidth="1"/>
    <col min="3" max="3" width="22" customWidth="1"/>
    <col min="4" max="4" width="16" customWidth="1"/>
    <col min="5" max="5" width="22" customWidth="1"/>
    <col min="6" max="6" width="12" customWidth="1"/>
    <col min="7" max="7" width="14" customWidth="1"/>
    <col min="8" max="8" width="20" customWidth="1"/>
    <col min="9" max="9" width="26" customWidth="1"/>
    <col min="10" max="10" width="10" customWidth="1"/>
    <col min="11" max="11" width="12" customWidth="1"/>
    <col min="12" max="12" width="24" customWidth="1"/>
  </cols>
  <sheetData>
    <row r="1" spans="1:12" ht="24" customHeight="1">
      <c r="A1" s="28" t="s">
        <v>3577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36" customHeight="1">
      <c r="A2" s="29" t="s">
        <v>3578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27.95" customHeight="1">
      <c r="A3" s="9" t="s">
        <v>203</v>
      </c>
      <c r="B3" s="9" t="s">
        <v>64</v>
      </c>
      <c r="C3" s="9" t="s">
        <v>23</v>
      </c>
      <c r="D3" s="9" t="s">
        <v>199</v>
      </c>
      <c r="E3" s="9" t="s">
        <v>3579</v>
      </c>
      <c r="F3" s="9" t="s">
        <v>1948</v>
      </c>
      <c r="G3" s="9" t="s">
        <v>1949</v>
      </c>
      <c r="H3" s="9" t="s">
        <v>3580</v>
      </c>
      <c r="I3" s="9" t="s">
        <v>3581</v>
      </c>
      <c r="J3" s="9" t="s">
        <v>1951</v>
      </c>
      <c r="K3" s="9" t="s">
        <v>1061</v>
      </c>
      <c r="L3" s="9" t="s">
        <v>1062</v>
      </c>
    </row>
    <row r="4" spans="1:12" ht="43.5" customHeight="1">
      <c r="A4" s="10" t="s">
        <v>3582</v>
      </c>
      <c r="B4" s="10" t="s">
        <v>117</v>
      </c>
      <c r="C4" s="10" t="s">
        <v>118</v>
      </c>
      <c r="D4" s="10" t="s">
        <v>200</v>
      </c>
      <c r="E4" s="10" t="s">
        <v>3583</v>
      </c>
      <c r="F4" s="10">
        <v>24</v>
      </c>
      <c r="G4" s="10" t="s">
        <v>1977</v>
      </c>
      <c r="H4" s="11" t="s">
        <v>3584</v>
      </c>
      <c r="I4" s="11" t="s">
        <v>3585</v>
      </c>
      <c r="J4" s="10" t="s">
        <v>1774</v>
      </c>
      <c r="K4" s="10" t="s">
        <v>445</v>
      </c>
      <c r="L4" s="11" t="s">
        <v>3586</v>
      </c>
    </row>
    <row r="5" spans="1:12" ht="29.1" customHeight="1">
      <c r="A5" s="10" t="s">
        <v>3587</v>
      </c>
      <c r="B5" s="10" t="s">
        <v>117</v>
      </c>
      <c r="C5" s="10" t="s">
        <v>118</v>
      </c>
      <c r="D5" s="10" t="s">
        <v>200</v>
      </c>
      <c r="E5" s="10" t="s">
        <v>3588</v>
      </c>
      <c r="F5" s="10">
        <v>26</v>
      </c>
      <c r="G5" s="10" t="s">
        <v>1977</v>
      </c>
      <c r="H5" s="11" t="s">
        <v>3589</v>
      </c>
      <c r="I5" s="11" t="s">
        <v>3590</v>
      </c>
      <c r="J5" s="10" t="s">
        <v>1774</v>
      </c>
      <c r="K5" s="10" t="s">
        <v>445</v>
      </c>
      <c r="L5" s="11" t="s">
        <v>3591</v>
      </c>
    </row>
    <row r="6" spans="1:12" ht="43.5" customHeight="1">
      <c r="A6" s="10" t="s">
        <v>3592</v>
      </c>
      <c r="B6" s="10" t="s">
        <v>117</v>
      </c>
      <c r="C6" s="10" t="s">
        <v>118</v>
      </c>
      <c r="D6" s="10" t="s">
        <v>1103</v>
      </c>
      <c r="E6" s="10" t="s">
        <v>3593</v>
      </c>
      <c r="F6" s="10">
        <v>30.5</v>
      </c>
      <c r="G6" s="10" t="s">
        <v>1977</v>
      </c>
      <c r="H6" s="11" t="s">
        <v>3594</v>
      </c>
      <c r="I6" s="11" t="s">
        <v>3595</v>
      </c>
      <c r="J6" s="10" t="s">
        <v>3596</v>
      </c>
      <c r="K6" s="10" t="s">
        <v>451</v>
      </c>
      <c r="L6" s="11" t="s">
        <v>3597</v>
      </c>
    </row>
    <row r="7" spans="1:12" ht="43.5" customHeight="1">
      <c r="A7" s="10" t="s">
        <v>3598</v>
      </c>
      <c r="B7" s="10" t="s">
        <v>117</v>
      </c>
      <c r="C7" s="10" t="s">
        <v>118</v>
      </c>
      <c r="D7" s="10" t="s">
        <v>1067</v>
      </c>
      <c r="E7" s="10" t="s">
        <v>3599</v>
      </c>
      <c r="F7" s="10">
        <v>99</v>
      </c>
      <c r="G7" s="10" t="s">
        <v>1977</v>
      </c>
      <c r="H7" s="11" t="s">
        <v>3600</v>
      </c>
      <c r="I7" s="11" t="s">
        <v>3601</v>
      </c>
      <c r="J7" s="10" t="s">
        <v>1774</v>
      </c>
      <c r="K7" s="10" t="s">
        <v>511</v>
      </c>
      <c r="L7" s="11" t="s">
        <v>3602</v>
      </c>
    </row>
    <row r="8" spans="1:12" ht="43.5" customHeight="1">
      <c r="A8" s="10" t="s">
        <v>3603</v>
      </c>
      <c r="B8" s="10" t="s">
        <v>117</v>
      </c>
      <c r="C8" s="10" t="s">
        <v>118</v>
      </c>
      <c r="D8" s="10"/>
      <c r="E8" s="10" t="s">
        <v>3604</v>
      </c>
      <c r="F8" s="10">
        <v>27.7</v>
      </c>
      <c r="G8" s="10" t="s">
        <v>1977</v>
      </c>
      <c r="H8" s="11" t="s">
        <v>3605</v>
      </c>
      <c r="I8" s="11" t="s">
        <v>3606</v>
      </c>
      <c r="J8" s="10" t="s">
        <v>1782</v>
      </c>
      <c r="K8" s="10" t="s">
        <v>541</v>
      </c>
      <c r="L8" s="11" t="s">
        <v>3607</v>
      </c>
    </row>
    <row r="9" spans="1:12" ht="43.5" customHeight="1">
      <c r="A9" s="10" t="s">
        <v>3608</v>
      </c>
      <c r="B9" s="10" t="s">
        <v>117</v>
      </c>
      <c r="C9" s="10" t="s">
        <v>118</v>
      </c>
      <c r="D9" s="10"/>
      <c r="E9" s="10" t="s">
        <v>3609</v>
      </c>
      <c r="F9" s="10">
        <v>0</v>
      </c>
      <c r="G9" s="10" t="s">
        <v>2378</v>
      </c>
      <c r="H9" s="11" t="s">
        <v>3610</v>
      </c>
      <c r="I9" s="11" t="s">
        <v>3611</v>
      </c>
      <c r="J9" s="10" t="s">
        <v>1774</v>
      </c>
      <c r="K9" s="10" t="s">
        <v>123</v>
      </c>
      <c r="L9" s="11" t="s">
        <v>3612</v>
      </c>
    </row>
    <row r="10" spans="1:12" ht="29.1" customHeight="1">
      <c r="A10" s="10" t="s">
        <v>3613</v>
      </c>
      <c r="B10" s="10" t="s">
        <v>117</v>
      </c>
      <c r="C10" s="10" t="s">
        <v>118</v>
      </c>
      <c r="D10" s="10"/>
      <c r="E10" s="10" t="s">
        <v>3614</v>
      </c>
      <c r="F10" s="10">
        <v>0.6</v>
      </c>
      <c r="G10" s="10" t="s">
        <v>3615</v>
      </c>
      <c r="H10" s="11" t="s">
        <v>3616</v>
      </c>
      <c r="I10" s="11" t="s">
        <v>3617</v>
      </c>
      <c r="J10" s="10" t="s">
        <v>1782</v>
      </c>
      <c r="K10" s="10" t="s">
        <v>440</v>
      </c>
      <c r="L10" s="11" t="s">
        <v>3618</v>
      </c>
    </row>
    <row r="11" spans="1:12" ht="29.1" customHeight="1">
      <c r="A11" s="10" t="s">
        <v>3619</v>
      </c>
      <c r="B11" s="10" t="s">
        <v>117</v>
      </c>
      <c r="C11" s="10" t="s">
        <v>118</v>
      </c>
      <c r="D11" s="10"/>
      <c r="E11" s="10" t="s">
        <v>3620</v>
      </c>
      <c r="F11" s="10">
        <v>23</v>
      </c>
      <c r="G11" s="10" t="s">
        <v>2378</v>
      </c>
      <c r="H11" s="11" t="s">
        <v>3621</v>
      </c>
      <c r="I11" s="11" t="s">
        <v>3622</v>
      </c>
      <c r="J11" s="10" t="s">
        <v>1782</v>
      </c>
      <c r="K11" s="10" t="s">
        <v>440</v>
      </c>
      <c r="L11" s="11" t="s">
        <v>3623</v>
      </c>
    </row>
    <row r="12" spans="1:12" ht="29.1" customHeight="1">
      <c r="A12" s="10" t="s">
        <v>3624</v>
      </c>
      <c r="B12" s="10" t="s">
        <v>131</v>
      </c>
      <c r="C12" s="10" t="s">
        <v>132</v>
      </c>
      <c r="D12" s="10"/>
      <c r="E12" s="10" t="s">
        <v>3625</v>
      </c>
      <c r="F12" s="10">
        <v>40</v>
      </c>
      <c r="G12" s="10" t="s">
        <v>1977</v>
      </c>
      <c r="H12" s="11" t="s">
        <v>3626</v>
      </c>
      <c r="I12" s="11" t="s">
        <v>3627</v>
      </c>
      <c r="J12" s="10" t="s">
        <v>1782</v>
      </c>
      <c r="K12" s="10" t="s">
        <v>550</v>
      </c>
      <c r="L12" s="11" t="s">
        <v>3628</v>
      </c>
    </row>
    <row r="13" spans="1:12" ht="29.1" customHeight="1">
      <c r="A13" s="10" t="s">
        <v>3629</v>
      </c>
      <c r="B13" s="10" t="s">
        <v>131</v>
      </c>
      <c r="C13" s="10" t="s">
        <v>132</v>
      </c>
      <c r="D13" s="10"/>
      <c r="E13" s="10" t="s">
        <v>3630</v>
      </c>
      <c r="F13" s="10">
        <v>50</v>
      </c>
      <c r="G13" s="10" t="s">
        <v>1977</v>
      </c>
      <c r="H13" s="11" t="s">
        <v>3631</v>
      </c>
      <c r="I13" s="11" t="s">
        <v>3632</v>
      </c>
      <c r="J13" s="10" t="s">
        <v>1782</v>
      </c>
      <c r="K13" s="10" t="s">
        <v>555</v>
      </c>
      <c r="L13" s="11" t="s">
        <v>3633</v>
      </c>
    </row>
    <row r="14" spans="1:12" ht="43.5" customHeight="1">
      <c r="A14" s="10" t="s">
        <v>3634</v>
      </c>
      <c r="B14" s="10" t="s">
        <v>131</v>
      </c>
      <c r="C14" s="10" t="s">
        <v>132</v>
      </c>
      <c r="D14" s="10" t="s">
        <v>1168</v>
      </c>
      <c r="E14" s="10" t="s">
        <v>3635</v>
      </c>
      <c r="F14" s="10">
        <v>55</v>
      </c>
      <c r="G14" s="10" t="s">
        <v>1977</v>
      </c>
      <c r="H14" s="11" t="s">
        <v>3636</v>
      </c>
      <c r="I14" s="11" t="s">
        <v>3637</v>
      </c>
      <c r="J14" s="10" t="s">
        <v>1774</v>
      </c>
      <c r="K14" s="10" t="s">
        <v>2006</v>
      </c>
      <c r="L14" s="11" t="s">
        <v>3638</v>
      </c>
    </row>
    <row r="15" spans="1:12" ht="43.5" customHeight="1">
      <c r="A15" s="10" t="s">
        <v>3639</v>
      </c>
      <c r="B15" s="10" t="s">
        <v>131</v>
      </c>
      <c r="C15" s="10" t="s">
        <v>132</v>
      </c>
      <c r="D15" s="10" t="s">
        <v>1144</v>
      </c>
      <c r="E15" s="10" t="s">
        <v>3640</v>
      </c>
      <c r="F15" s="10">
        <v>220</v>
      </c>
      <c r="G15" s="10" t="s">
        <v>3641</v>
      </c>
      <c r="H15" s="11" t="s">
        <v>3642</v>
      </c>
      <c r="I15" s="11" t="s">
        <v>3643</v>
      </c>
      <c r="J15" s="10" t="s">
        <v>1774</v>
      </c>
      <c r="K15" s="10" t="s">
        <v>617</v>
      </c>
      <c r="L15" s="11" t="s">
        <v>3644</v>
      </c>
    </row>
    <row r="16" spans="1:12" ht="29.1" customHeight="1">
      <c r="A16" s="10" t="s">
        <v>3645</v>
      </c>
      <c r="B16" s="10" t="s">
        <v>131</v>
      </c>
      <c r="C16" s="10" t="s">
        <v>132</v>
      </c>
      <c r="D16" s="10" t="s">
        <v>1174</v>
      </c>
      <c r="E16" s="10" t="s">
        <v>3646</v>
      </c>
      <c r="F16" s="10">
        <v>97</v>
      </c>
      <c r="G16" s="10" t="s">
        <v>1977</v>
      </c>
      <c r="H16" s="11" t="s">
        <v>3647</v>
      </c>
      <c r="I16" s="11" t="s">
        <v>3648</v>
      </c>
      <c r="J16" s="10" t="s">
        <v>1782</v>
      </c>
      <c r="K16" s="10" t="s">
        <v>560</v>
      </c>
      <c r="L16" s="11" t="s">
        <v>3649</v>
      </c>
    </row>
    <row r="17" spans="1:12" ht="43.5" customHeight="1">
      <c r="A17" s="10" t="s">
        <v>3650</v>
      </c>
      <c r="B17" s="10" t="s">
        <v>131</v>
      </c>
      <c r="C17" s="10" t="s">
        <v>132</v>
      </c>
      <c r="D17" s="10"/>
      <c r="E17" s="10" t="s">
        <v>3609</v>
      </c>
      <c r="F17" s="10">
        <v>0</v>
      </c>
      <c r="G17" s="10" t="s">
        <v>2378</v>
      </c>
      <c r="H17" s="11" t="s">
        <v>3610</v>
      </c>
      <c r="I17" s="11" t="s">
        <v>3611</v>
      </c>
      <c r="J17" s="10" t="s">
        <v>1774</v>
      </c>
      <c r="K17" s="10" t="s">
        <v>135</v>
      </c>
      <c r="L17" s="11" t="s">
        <v>3651</v>
      </c>
    </row>
    <row r="18" spans="1:12" ht="29.1" customHeight="1">
      <c r="A18" s="10" t="s">
        <v>3652</v>
      </c>
      <c r="B18" s="10" t="s">
        <v>161</v>
      </c>
      <c r="C18" s="10" t="s">
        <v>162</v>
      </c>
      <c r="D18" s="10" t="s">
        <v>1126</v>
      </c>
      <c r="E18" s="10" t="s">
        <v>3653</v>
      </c>
      <c r="F18" s="10">
        <v>68</v>
      </c>
      <c r="G18" s="10" t="s">
        <v>1977</v>
      </c>
      <c r="H18" s="11" t="s">
        <v>3654</v>
      </c>
      <c r="I18" s="11" t="s">
        <v>3655</v>
      </c>
      <c r="J18" s="10" t="s">
        <v>1774</v>
      </c>
      <c r="K18" s="10" t="s">
        <v>666</v>
      </c>
      <c r="L18" s="11" t="s">
        <v>3656</v>
      </c>
    </row>
    <row r="19" spans="1:12" ht="29.1" customHeight="1">
      <c r="A19" s="10" t="s">
        <v>3657</v>
      </c>
      <c r="B19" s="10" t="s">
        <v>161</v>
      </c>
      <c r="C19" s="10" t="s">
        <v>162</v>
      </c>
      <c r="D19" s="10" t="s">
        <v>1132</v>
      </c>
      <c r="E19" s="10" t="s">
        <v>3658</v>
      </c>
      <c r="F19" s="10">
        <v>65</v>
      </c>
      <c r="G19" s="10" t="s">
        <v>1977</v>
      </c>
      <c r="H19" s="11" t="s">
        <v>3659</v>
      </c>
      <c r="I19" s="11" t="s">
        <v>3655</v>
      </c>
      <c r="J19" s="10" t="s">
        <v>1774</v>
      </c>
      <c r="K19" s="10" t="s">
        <v>3660</v>
      </c>
      <c r="L19" s="11" t="s">
        <v>3661</v>
      </c>
    </row>
    <row r="20" spans="1:12" ht="43.5" customHeight="1">
      <c r="A20" s="10" t="s">
        <v>3662</v>
      </c>
      <c r="B20" s="10" t="s">
        <v>161</v>
      </c>
      <c r="C20" s="10" t="s">
        <v>162</v>
      </c>
      <c r="D20" s="10" t="s">
        <v>1137</v>
      </c>
      <c r="E20" s="10" t="s">
        <v>3663</v>
      </c>
      <c r="F20" s="10">
        <v>80</v>
      </c>
      <c r="G20" s="10" t="s">
        <v>1977</v>
      </c>
      <c r="H20" s="11" t="s">
        <v>3664</v>
      </c>
      <c r="I20" s="11" t="s">
        <v>3665</v>
      </c>
      <c r="J20" s="10" t="s">
        <v>1774</v>
      </c>
      <c r="K20" s="10" t="s">
        <v>666</v>
      </c>
      <c r="L20" s="11" t="s">
        <v>3666</v>
      </c>
    </row>
    <row r="21" spans="1:12" ht="43.5" customHeight="1">
      <c r="A21" s="10" t="s">
        <v>3667</v>
      </c>
      <c r="B21" s="10" t="s">
        <v>161</v>
      </c>
      <c r="C21" s="10" t="s">
        <v>162</v>
      </c>
      <c r="D21" s="10"/>
      <c r="E21" s="10" t="s">
        <v>3668</v>
      </c>
      <c r="F21" s="10">
        <v>9</v>
      </c>
      <c r="G21" s="10" t="s">
        <v>3669</v>
      </c>
      <c r="H21" s="11" t="s">
        <v>3670</v>
      </c>
      <c r="I21" s="11" t="s">
        <v>3671</v>
      </c>
      <c r="J21" s="10" t="s">
        <v>1774</v>
      </c>
      <c r="K21" s="10" t="s">
        <v>650</v>
      </c>
      <c r="L21" s="11" t="s">
        <v>3672</v>
      </c>
    </row>
    <row r="22" spans="1:12" ht="29.1" customHeight="1">
      <c r="A22" s="10" t="s">
        <v>3673</v>
      </c>
      <c r="B22" s="10" t="s">
        <v>161</v>
      </c>
      <c r="C22" s="10" t="s">
        <v>162</v>
      </c>
      <c r="D22" s="10"/>
      <c r="E22" s="10" t="s">
        <v>3609</v>
      </c>
      <c r="F22" s="10">
        <v>0</v>
      </c>
      <c r="G22" s="10" t="s">
        <v>2414</v>
      </c>
      <c r="H22" s="11" t="s">
        <v>3674</v>
      </c>
      <c r="I22" s="11" t="s">
        <v>3675</v>
      </c>
      <c r="J22" s="10" t="s">
        <v>1774</v>
      </c>
      <c r="K22" s="10" t="s">
        <v>169</v>
      </c>
      <c r="L22" s="11" t="s">
        <v>3676</v>
      </c>
    </row>
    <row r="23" spans="1:12" ht="29.1" customHeight="1">
      <c r="A23" s="10" t="s">
        <v>3677</v>
      </c>
      <c r="B23" s="10" t="s">
        <v>161</v>
      </c>
      <c r="C23" s="10" t="s">
        <v>162</v>
      </c>
      <c r="D23" s="10" t="s">
        <v>1219</v>
      </c>
      <c r="E23" s="10" t="s">
        <v>3678</v>
      </c>
      <c r="F23" s="10">
        <v>10</v>
      </c>
      <c r="G23" s="10" t="s">
        <v>3679</v>
      </c>
      <c r="H23" s="11" t="s">
        <v>3680</v>
      </c>
      <c r="I23" s="11" t="s">
        <v>3681</v>
      </c>
      <c r="J23" s="10" t="s">
        <v>1774</v>
      </c>
      <c r="K23" s="10" t="s">
        <v>639</v>
      </c>
      <c r="L23" s="11" t="s">
        <v>3682</v>
      </c>
    </row>
    <row r="24" spans="1:12" ht="43.5" customHeight="1">
      <c r="A24" s="10" t="s">
        <v>3683</v>
      </c>
      <c r="B24" s="10" t="s">
        <v>161</v>
      </c>
      <c r="C24" s="10" t="s">
        <v>162</v>
      </c>
      <c r="D24" s="10"/>
      <c r="E24" s="10" t="s">
        <v>3684</v>
      </c>
      <c r="F24" s="10">
        <v>100</v>
      </c>
      <c r="G24" s="10" t="s">
        <v>2024</v>
      </c>
      <c r="H24" s="11" t="s">
        <v>3685</v>
      </c>
      <c r="I24" s="11" t="s">
        <v>3686</v>
      </c>
      <c r="J24" s="10" t="s">
        <v>1774</v>
      </c>
      <c r="K24" s="10" t="s">
        <v>693</v>
      </c>
      <c r="L24" s="11" t="s">
        <v>3687</v>
      </c>
    </row>
    <row r="25" spans="1:12" ht="29.1" customHeight="1">
      <c r="A25" s="10" t="s">
        <v>3688</v>
      </c>
      <c r="B25" s="10" t="s">
        <v>161</v>
      </c>
      <c r="C25" s="10" t="s">
        <v>162</v>
      </c>
      <c r="D25" s="10"/>
      <c r="E25" s="10" t="s">
        <v>3689</v>
      </c>
      <c r="F25" s="10">
        <v>70</v>
      </c>
      <c r="G25" s="10" t="s">
        <v>1977</v>
      </c>
      <c r="H25" s="11" t="s">
        <v>3690</v>
      </c>
      <c r="I25" s="11" t="s">
        <v>3691</v>
      </c>
      <c r="J25" s="10" t="s">
        <v>1774</v>
      </c>
      <c r="K25" s="10" t="s">
        <v>650</v>
      </c>
      <c r="L25" s="11" t="s">
        <v>3692</v>
      </c>
    </row>
    <row r="26" spans="1:12" ht="43.5" customHeight="1">
      <c r="A26" s="10" t="s">
        <v>3693</v>
      </c>
      <c r="B26" s="10" t="s">
        <v>131</v>
      </c>
      <c r="C26" s="10" t="s">
        <v>132</v>
      </c>
      <c r="D26" s="10" t="s">
        <v>1144</v>
      </c>
      <c r="E26" s="10" t="s">
        <v>3694</v>
      </c>
      <c r="F26" s="10">
        <v>6.5</v>
      </c>
      <c r="G26" s="10" t="s">
        <v>3695</v>
      </c>
      <c r="H26" s="11" t="s">
        <v>3696</v>
      </c>
      <c r="I26" s="11" t="s">
        <v>3697</v>
      </c>
      <c r="J26" s="10" t="s">
        <v>1774</v>
      </c>
      <c r="K26" s="10" t="s">
        <v>623</v>
      </c>
      <c r="L26" s="11" t="s">
        <v>3698</v>
      </c>
    </row>
    <row r="27" spans="1:12" ht="43.5" customHeight="1">
      <c r="A27" s="10" t="s">
        <v>3699</v>
      </c>
      <c r="B27" s="10" t="s">
        <v>131</v>
      </c>
      <c r="C27" s="10" t="s">
        <v>132</v>
      </c>
      <c r="D27" s="10" t="s">
        <v>1144</v>
      </c>
      <c r="E27" s="10" t="s">
        <v>3700</v>
      </c>
      <c r="F27" s="10">
        <v>85</v>
      </c>
      <c r="G27" s="10" t="s">
        <v>1977</v>
      </c>
      <c r="H27" s="11" t="s">
        <v>3701</v>
      </c>
      <c r="I27" s="11" t="s">
        <v>3702</v>
      </c>
      <c r="J27" s="10" t="s">
        <v>1774</v>
      </c>
      <c r="K27" s="10" t="s">
        <v>623</v>
      </c>
      <c r="L27" s="11" t="s">
        <v>3703</v>
      </c>
    </row>
    <row r="28" spans="1:12">
      <c r="A28" s="10" t="s">
        <v>3704</v>
      </c>
      <c r="B28" s="10" t="s">
        <v>90</v>
      </c>
      <c r="C28" s="10" t="s">
        <v>91</v>
      </c>
      <c r="D28" s="10"/>
      <c r="E28" s="10" t="s">
        <v>3705</v>
      </c>
      <c r="F28" s="10">
        <v>45</v>
      </c>
      <c r="G28" s="10" t="s">
        <v>1977</v>
      </c>
      <c r="H28" s="11" t="s">
        <v>3706</v>
      </c>
      <c r="I28" s="11" t="s">
        <v>3707</v>
      </c>
      <c r="J28" s="10" t="s">
        <v>1774</v>
      </c>
      <c r="K28" s="10"/>
      <c r="L28" s="11"/>
    </row>
    <row r="29" spans="1:12">
      <c r="A29" s="10" t="s">
        <v>3708</v>
      </c>
      <c r="B29" s="10" t="s">
        <v>90</v>
      </c>
      <c r="C29" s="10" t="s">
        <v>91</v>
      </c>
      <c r="D29" s="10"/>
      <c r="E29" s="10" t="s">
        <v>3709</v>
      </c>
      <c r="F29" s="10">
        <v>33</v>
      </c>
      <c r="G29" s="10" t="s">
        <v>1977</v>
      </c>
      <c r="H29" s="11" t="s">
        <v>3710</v>
      </c>
      <c r="I29" s="11" t="s">
        <v>3711</v>
      </c>
      <c r="J29" s="10" t="s">
        <v>1774</v>
      </c>
      <c r="K29" s="10"/>
      <c r="L29" s="11"/>
    </row>
    <row r="30" spans="1:12">
      <c r="A30" s="10" t="s">
        <v>3712</v>
      </c>
      <c r="B30" s="10" t="s">
        <v>90</v>
      </c>
      <c r="C30" s="10" t="s">
        <v>91</v>
      </c>
      <c r="D30" s="10"/>
      <c r="E30" s="10" t="s">
        <v>3713</v>
      </c>
      <c r="F30" s="10">
        <v>70</v>
      </c>
      <c r="G30" s="10" t="s">
        <v>1977</v>
      </c>
      <c r="H30" s="11" t="s">
        <v>3714</v>
      </c>
      <c r="I30" s="11" t="s">
        <v>3715</v>
      </c>
      <c r="J30" s="10" t="s">
        <v>1774</v>
      </c>
      <c r="K30" s="10"/>
      <c r="L30" s="11"/>
    </row>
    <row r="31" spans="1:12">
      <c r="A31" s="10" t="s">
        <v>3716</v>
      </c>
      <c r="B31" s="10" t="s">
        <v>90</v>
      </c>
      <c r="C31" s="10" t="s">
        <v>91</v>
      </c>
      <c r="D31" s="10"/>
      <c r="E31" s="10" t="s">
        <v>3717</v>
      </c>
      <c r="F31" s="10">
        <v>900</v>
      </c>
      <c r="G31" s="10" t="s">
        <v>3718</v>
      </c>
      <c r="H31" s="11" t="s">
        <v>3719</v>
      </c>
      <c r="I31" s="11" t="s">
        <v>3720</v>
      </c>
      <c r="J31" s="10" t="s">
        <v>1774</v>
      </c>
      <c r="K31" s="10"/>
      <c r="L31" s="11"/>
    </row>
    <row r="32" spans="1:12">
      <c r="A32" s="10" t="s">
        <v>3721</v>
      </c>
      <c r="B32" s="10" t="s">
        <v>90</v>
      </c>
      <c r="C32" s="10" t="s">
        <v>91</v>
      </c>
      <c r="D32" s="10"/>
      <c r="E32" s="10" t="s">
        <v>3722</v>
      </c>
      <c r="F32" s="10">
        <v>85</v>
      </c>
      <c r="G32" s="10" t="s">
        <v>1977</v>
      </c>
      <c r="H32" s="11" t="s">
        <v>3723</v>
      </c>
      <c r="I32" s="11" t="s">
        <v>3724</v>
      </c>
      <c r="J32" s="10" t="s">
        <v>1774</v>
      </c>
      <c r="K32" s="10"/>
      <c r="L32" s="11"/>
    </row>
    <row r="33" spans="1:12" ht="29.1" customHeight="1">
      <c r="A33" s="10" t="s">
        <v>3725</v>
      </c>
      <c r="B33" s="10" t="s">
        <v>90</v>
      </c>
      <c r="C33" s="10" t="s">
        <v>91</v>
      </c>
      <c r="D33" s="10"/>
      <c r="E33" s="10" t="s">
        <v>3726</v>
      </c>
      <c r="F33" s="10">
        <v>120</v>
      </c>
      <c r="G33" s="10" t="s">
        <v>3727</v>
      </c>
      <c r="H33" s="11" t="s">
        <v>3728</v>
      </c>
      <c r="I33" s="11" t="s">
        <v>3729</v>
      </c>
      <c r="J33" s="10" t="s">
        <v>1774</v>
      </c>
      <c r="K33" s="10"/>
      <c r="L33" s="11"/>
    </row>
    <row r="34" spans="1:12">
      <c r="A34" s="10" t="s">
        <v>3730</v>
      </c>
      <c r="B34" s="10" t="s">
        <v>90</v>
      </c>
      <c r="C34" s="10" t="s">
        <v>91</v>
      </c>
      <c r="D34" s="10"/>
      <c r="E34" s="10" t="s">
        <v>358</v>
      </c>
      <c r="F34" s="10">
        <v>40</v>
      </c>
      <c r="G34" s="10" t="s">
        <v>3615</v>
      </c>
      <c r="H34" s="11" t="s">
        <v>3731</v>
      </c>
      <c r="I34" s="11" t="s">
        <v>3732</v>
      </c>
      <c r="J34" s="10" t="s">
        <v>1774</v>
      </c>
      <c r="K34" s="10"/>
      <c r="L34" s="11"/>
    </row>
    <row r="35" spans="1:12" ht="29.1" customHeight="1">
      <c r="A35" s="10" t="s">
        <v>3733</v>
      </c>
      <c r="B35" s="10" t="s">
        <v>90</v>
      </c>
      <c r="C35" s="10" t="s">
        <v>91</v>
      </c>
      <c r="D35" s="10"/>
      <c r="E35" s="10" t="s">
        <v>3734</v>
      </c>
      <c r="F35" s="10">
        <v>3500</v>
      </c>
      <c r="G35" s="10" t="s">
        <v>2063</v>
      </c>
      <c r="H35" s="11" t="s">
        <v>2062</v>
      </c>
      <c r="I35" s="11" t="s">
        <v>3735</v>
      </c>
      <c r="J35" s="10" t="s">
        <v>1774</v>
      </c>
      <c r="K35" s="10"/>
      <c r="L35" s="11"/>
    </row>
    <row r="36" spans="1:12" ht="29.1" customHeight="1">
      <c r="A36" s="10" t="s">
        <v>3736</v>
      </c>
      <c r="B36" s="10" t="s">
        <v>102</v>
      </c>
      <c r="C36" s="10" t="s">
        <v>103</v>
      </c>
      <c r="D36" s="10"/>
      <c r="E36" s="10" t="s">
        <v>3737</v>
      </c>
      <c r="F36" s="10">
        <v>88</v>
      </c>
      <c r="G36" s="10" t="s">
        <v>1977</v>
      </c>
      <c r="H36" s="11" t="s">
        <v>3738</v>
      </c>
      <c r="I36" s="11" t="s">
        <v>3739</v>
      </c>
      <c r="J36" s="10" t="s">
        <v>1774</v>
      </c>
      <c r="K36" s="10"/>
      <c r="L36" s="11"/>
    </row>
    <row r="37" spans="1:12" ht="29.1" customHeight="1">
      <c r="A37" s="10" t="s">
        <v>3740</v>
      </c>
      <c r="B37" s="10" t="s">
        <v>102</v>
      </c>
      <c r="C37" s="10" t="s">
        <v>103</v>
      </c>
      <c r="D37" s="10"/>
      <c r="E37" s="10" t="s">
        <v>3741</v>
      </c>
      <c r="F37" s="10">
        <v>0.2</v>
      </c>
      <c r="G37" s="10" t="s">
        <v>1977</v>
      </c>
      <c r="H37" s="11" t="s">
        <v>3742</v>
      </c>
      <c r="I37" s="11" t="s">
        <v>3743</v>
      </c>
      <c r="J37" s="10" t="s">
        <v>1774</v>
      </c>
      <c r="K37" s="10"/>
      <c r="L37" s="11"/>
    </row>
    <row r="38" spans="1:12">
      <c r="A38" s="10" t="s">
        <v>3744</v>
      </c>
      <c r="B38" s="10" t="s">
        <v>102</v>
      </c>
      <c r="C38" s="10" t="s">
        <v>103</v>
      </c>
      <c r="D38" s="10"/>
      <c r="E38" s="10" t="s">
        <v>3745</v>
      </c>
      <c r="F38" s="10">
        <v>700</v>
      </c>
      <c r="G38" s="10" t="s">
        <v>3718</v>
      </c>
      <c r="H38" s="11" t="s">
        <v>3746</v>
      </c>
      <c r="I38" s="11" t="s">
        <v>3747</v>
      </c>
      <c r="J38" s="10" t="s">
        <v>1774</v>
      </c>
      <c r="K38" s="10"/>
      <c r="L38" s="11"/>
    </row>
    <row r="39" spans="1:12">
      <c r="A39" s="10" t="s">
        <v>3748</v>
      </c>
      <c r="B39" s="10" t="s">
        <v>102</v>
      </c>
      <c r="C39" s="10" t="s">
        <v>103</v>
      </c>
      <c r="D39" s="10"/>
      <c r="E39" s="10" t="s">
        <v>3749</v>
      </c>
      <c r="F39" s="10">
        <v>10</v>
      </c>
      <c r="G39" s="10" t="s">
        <v>1977</v>
      </c>
      <c r="H39" s="11" t="s">
        <v>3750</v>
      </c>
      <c r="I39" s="11" t="s">
        <v>3751</v>
      </c>
      <c r="J39" s="10" t="s">
        <v>1774</v>
      </c>
      <c r="K39" s="10"/>
      <c r="L39" s="11"/>
    </row>
    <row r="40" spans="1:12">
      <c r="A40" s="10" t="s">
        <v>3752</v>
      </c>
      <c r="B40" s="10" t="s">
        <v>102</v>
      </c>
      <c r="C40" s="10" t="s">
        <v>103</v>
      </c>
      <c r="D40" s="10"/>
      <c r="E40" s="10" t="s">
        <v>3753</v>
      </c>
      <c r="F40" s="10">
        <v>99</v>
      </c>
      <c r="G40" s="10" t="s">
        <v>1977</v>
      </c>
      <c r="H40" s="11" t="s">
        <v>3754</v>
      </c>
      <c r="I40" s="11" t="s">
        <v>3755</v>
      </c>
      <c r="J40" s="10" t="s">
        <v>1774</v>
      </c>
      <c r="K40" s="10"/>
      <c r="L40" s="11"/>
    </row>
    <row r="41" spans="1:12">
      <c r="A41" s="10" t="s">
        <v>3756</v>
      </c>
      <c r="B41" s="10" t="s">
        <v>102</v>
      </c>
      <c r="C41" s="10" t="s">
        <v>103</v>
      </c>
      <c r="D41" s="10"/>
      <c r="E41" s="10" t="s">
        <v>3757</v>
      </c>
      <c r="F41" s="10">
        <v>50</v>
      </c>
      <c r="G41" s="10" t="s">
        <v>1977</v>
      </c>
      <c r="H41" s="11" t="s">
        <v>3758</v>
      </c>
      <c r="I41" s="11" t="s">
        <v>3759</v>
      </c>
      <c r="J41" s="10" t="s">
        <v>1774</v>
      </c>
      <c r="K41" s="10"/>
      <c r="L41" s="11"/>
    </row>
    <row r="42" spans="1:12">
      <c r="A42" s="10" t="s">
        <v>3760</v>
      </c>
      <c r="B42" s="10" t="s">
        <v>102</v>
      </c>
      <c r="C42" s="10" t="s">
        <v>103</v>
      </c>
      <c r="D42" s="10"/>
      <c r="E42" s="10" t="s">
        <v>3761</v>
      </c>
      <c r="F42" s="10">
        <v>92</v>
      </c>
      <c r="G42" s="10" t="s">
        <v>1977</v>
      </c>
      <c r="H42" s="11" t="s">
        <v>3762</v>
      </c>
      <c r="I42" s="11" t="s">
        <v>3763</v>
      </c>
      <c r="J42" s="10" t="s">
        <v>1774</v>
      </c>
      <c r="K42" s="10"/>
      <c r="L42" s="11"/>
    </row>
    <row r="43" spans="1:12" ht="29.1" customHeight="1">
      <c r="A43" s="10" t="s">
        <v>3764</v>
      </c>
      <c r="B43" s="10" t="s">
        <v>102</v>
      </c>
      <c r="C43" s="10" t="s">
        <v>103</v>
      </c>
      <c r="D43" s="10"/>
      <c r="E43" s="10" t="s">
        <v>3765</v>
      </c>
      <c r="F43" s="10">
        <v>1800</v>
      </c>
      <c r="G43" s="10" t="s">
        <v>2088</v>
      </c>
      <c r="H43" s="11" t="s">
        <v>1850</v>
      </c>
      <c r="I43" s="11" t="s">
        <v>3766</v>
      </c>
      <c r="J43" s="10" t="s">
        <v>1774</v>
      </c>
      <c r="K43" s="10"/>
      <c r="L43" s="11"/>
    </row>
    <row r="44" spans="1:12">
      <c r="A44" s="10" t="s">
        <v>3767</v>
      </c>
      <c r="B44" s="10" t="s">
        <v>108</v>
      </c>
      <c r="C44" s="10" t="s">
        <v>109</v>
      </c>
      <c r="D44" s="10"/>
      <c r="E44" s="10" t="s">
        <v>3768</v>
      </c>
      <c r="F44" s="10">
        <v>62</v>
      </c>
      <c r="G44" s="10" t="s">
        <v>1977</v>
      </c>
      <c r="H44" s="11" t="s">
        <v>3769</v>
      </c>
      <c r="I44" s="11" t="s">
        <v>3770</v>
      </c>
      <c r="J44" s="10" t="s">
        <v>1774</v>
      </c>
      <c r="K44" s="10"/>
      <c r="L44" s="11"/>
    </row>
    <row r="45" spans="1:12">
      <c r="A45" s="10" t="s">
        <v>3771</v>
      </c>
      <c r="B45" s="10" t="s">
        <v>108</v>
      </c>
      <c r="C45" s="10" t="s">
        <v>109</v>
      </c>
      <c r="D45" s="10"/>
      <c r="E45" s="10" t="s">
        <v>3772</v>
      </c>
      <c r="F45" s="10">
        <v>40</v>
      </c>
      <c r="G45" s="10" t="s">
        <v>1977</v>
      </c>
      <c r="H45" s="11" t="s">
        <v>3773</v>
      </c>
      <c r="I45" s="11" t="s">
        <v>3774</v>
      </c>
      <c r="J45" s="10" t="s">
        <v>1774</v>
      </c>
      <c r="K45" s="10"/>
      <c r="L45" s="11"/>
    </row>
    <row r="46" spans="1:12">
      <c r="A46" s="10" t="s">
        <v>3775</v>
      </c>
      <c r="B46" s="10" t="s">
        <v>108</v>
      </c>
      <c r="C46" s="10" t="s">
        <v>109</v>
      </c>
      <c r="D46" s="10"/>
      <c r="E46" s="10" t="s">
        <v>3776</v>
      </c>
      <c r="F46" s="10">
        <v>360</v>
      </c>
      <c r="G46" s="10" t="s">
        <v>3718</v>
      </c>
      <c r="H46" s="11" t="s">
        <v>3777</v>
      </c>
      <c r="I46" s="11" t="s">
        <v>3720</v>
      </c>
      <c r="J46" s="10" t="s">
        <v>1774</v>
      </c>
      <c r="K46" s="10"/>
      <c r="L46" s="11"/>
    </row>
    <row r="47" spans="1:12">
      <c r="A47" s="10" t="s">
        <v>3778</v>
      </c>
      <c r="B47" s="10" t="s">
        <v>108</v>
      </c>
      <c r="C47" s="10" t="s">
        <v>109</v>
      </c>
      <c r="D47" s="10"/>
      <c r="E47" s="10" t="s">
        <v>3713</v>
      </c>
      <c r="F47" s="10">
        <v>55</v>
      </c>
      <c r="G47" s="10" t="s">
        <v>1977</v>
      </c>
      <c r="H47" s="11" t="s">
        <v>3779</v>
      </c>
      <c r="I47" s="11" t="s">
        <v>3780</v>
      </c>
      <c r="J47" s="10" t="s">
        <v>1774</v>
      </c>
      <c r="K47" s="10"/>
      <c r="L47" s="11"/>
    </row>
    <row r="48" spans="1:12">
      <c r="A48" s="10" t="s">
        <v>3781</v>
      </c>
      <c r="B48" s="10" t="s">
        <v>108</v>
      </c>
      <c r="C48" s="10" t="s">
        <v>109</v>
      </c>
      <c r="D48" s="10"/>
      <c r="E48" s="10" t="s">
        <v>353</v>
      </c>
      <c r="F48" s="10">
        <v>35</v>
      </c>
      <c r="G48" s="10" t="s">
        <v>3782</v>
      </c>
      <c r="H48" s="11" t="s">
        <v>3783</v>
      </c>
      <c r="I48" s="11" t="s">
        <v>3784</v>
      </c>
      <c r="J48" s="10" t="s">
        <v>1774</v>
      </c>
      <c r="K48" s="10"/>
      <c r="L48" s="11"/>
    </row>
    <row r="49" spans="1:12">
      <c r="A49" s="10" t="s">
        <v>3785</v>
      </c>
      <c r="B49" s="10" t="s">
        <v>108</v>
      </c>
      <c r="C49" s="10" t="s">
        <v>109</v>
      </c>
      <c r="D49" s="10"/>
      <c r="E49" s="10" t="s">
        <v>3786</v>
      </c>
      <c r="F49" s="10">
        <v>95</v>
      </c>
      <c r="G49" s="10" t="s">
        <v>1977</v>
      </c>
      <c r="H49" s="11" t="s">
        <v>3787</v>
      </c>
      <c r="I49" s="11" t="s">
        <v>3788</v>
      </c>
      <c r="J49" s="10" t="s">
        <v>1774</v>
      </c>
      <c r="K49" s="10"/>
      <c r="L49" s="11"/>
    </row>
    <row r="50" spans="1:12" ht="29.1" customHeight="1">
      <c r="A50" s="10" t="s">
        <v>3789</v>
      </c>
      <c r="B50" s="10" t="s">
        <v>108</v>
      </c>
      <c r="C50" s="10" t="s">
        <v>109</v>
      </c>
      <c r="D50" s="10"/>
      <c r="E50" s="10" t="s">
        <v>3790</v>
      </c>
      <c r="F50" s="10">
        <v>30</v>
      </c>
      <c r="G50" s="10" t="s">
        <v>1977</v>
      </c>
      <c r="H50" s="11" t="s">
        <v>3791</v>
      </c>
      <c r="I50" s="11" t="s">
        <v>3792</v>
      </c>
      <c r="J50" s="10" t="s">
        <v>1774</v>
      </c>
      <c r="K50" s="10"/>
      <c r="L50" s="11"/>
    </row>
    <row r="51" spans="1:12" ht="29.1" customHeight="1">
      <c r="A51" s="10" t="s">
        <v>3793</v>
      </c>
      <c r="B51" s="10" t="s">
        <v>108</v>
      </c>
      <c r="C51" s="10" t="s">
        <v>109</v>
      </c>
      <c r="D51" s="10"/>
      <c r="E51" s="10" t="s">
        <v>3794</v>
      </c>
      <c r="F51" s="10">
        <v>1000</v>
      </c>
      <c r="G51" s="10" t="s">
        <v>2063</v>
      </c>
      <c r="H51" s="11" t="s">
        <v>1926</v>
      </c>
      <c r="I51" s="11" t="s">
        <v>3795</v>
      </c>
      <c r="J51" s="10" t="s">
        <v>1774</v>
      </c>
      <c r="K51" s="10"/>
      <c r="L51" s="11"/>
    </row>
    <row r="52" spans="1:12" ht="29.1" customHeight="1">
      <c r="A52" s="10" t="s">
        <v>3796</v>
      </c>
      <c r="B52" s="10" t="s">
        <v>124</v>
      </c>
      <c r="C52" s="10" t="s">
        <v>125</v>
      </c>
      <c r="D52" s="10"/>
      <c r="E52" s="10" t="s">
        <v>3797</v>
      </c>
      <c r="F52" s="10">
        <v>18</v>
      </c>
      <c r="G52" s="10" t="s">
        <v>1977</v>
      </c>
      <c r="H52" s="11" t="s">
        <v>3798</v>
      </c>
      <c r="I52" s="11" t="s">
        <v>3799</v>
      </c>
      <c r="J52" s="10" t="s">
        <v>1774</v>
      </c>
      <c r="K52" s="10"/>
      <c r="L52" s="11"/>
    </row>
    <row r="53" spans="1:12">
      <c r="A53" s="10" t="s">
        <v>3800</v>
      </c>
      <c r="B53" s="10" t="s">
        <v>124</v>
      </c>
      <c r="C53" s="10" t="s">
        <v>125</v>
      </c>
      <c r="D53" s="10"/>
      <c r="E53" s="10" t="s">
        <v>357</v>
      </c>
      <c r="F53" s="10">
        <v>12</v>
      </c>
      <c r="G53" s="10" t="s">
        <v>3801</v>
      </c>
      <c r="H53" s="11" t="s">
        <v>3802</v>
      </c>
      <c r="I53" s="11" t="s">
        <v>3803</v>
      </c>
      <c r="J53" s="10" t="s">
        <v>1774</v>
      </c>
      <c r="K53" s="10"/>
      <c r="L53" s="11"/>
    </row>
    <row r="54" spans="1:12">
      <c r="A54" s="10" t="s">
        <v>3804</v>
      </c>
      <c r="B54" s="10" t="s">
        <v>124</v>
      </c>
      <c r="C54" s="10" t="s">
        <v>125</v>
      </c>
      <c r="D54" s="10"/>
      <c r="E54" s="10" t="s">
        <v>3713</v>
      </c>
      <c r="F54" s="10">
        <v>40</v>
      </c>
      <c r="G54" s="10" t="s">
        <v>1977</v>
      </c>
      <c r="H54" s="11" t="s">
        <v>3805</v>
      </c>
      <c r="I54" s="11" t="s">
        <v>3806</v>
      </c>
      <c r="J54" s="10" t="s">
        <v>1774</v>
      </c>
      <c r="K54" s="10"/>
      <c r="L54" s="11"/>
    </row>
    <row r="55" spans="1:12">
      <c r="A55" s="10" t="s">
        <v>3807</v>
      </c>
      <c r="B55" s="10" t="s">
        <v>124</v>
      </c>
      <c r="C55" s="10" t="s">
        <v>125</v>
      </c>
      <c r="D55" s="10"/>
      <c r="E55" s="10" t="s">
        <v>3808</v>
      </c>
      <c r="F55" s="10">
        <v>150</v>
      </c>
      <c r="G55" s="10" t="s">
        <v>2017</v>
      </c>
      <c r="H55" s="11" t="s">
        <v>2113</v>
      </c>
      <c r="I55" s="11" t="s">
        <v>3809</v>
      </c>
      <c r="J55" s="10" t="s">
        <v>1774</v>
      </c>
      <c r="K55" s="10"/>
      <c r="L55" s="11"/>
    </row>
    <row r="56" spans="1:12" ht="29.1" customHeight="1">
      <c r="A56" s="10" t="s">
        <v>3810</v>
      </c>
      <c r="B56" s="10" t="s">
        <v>124</v>
      </c>
      <c r="C56" s="10" t="s">
        <v>125</v>
      </c>
      <c r="D56" s="10"/>
      <c r="E56" s="10" t="s">
        <v>3811</v>
      </c>
      <c r="F56" s="10">
        <v>565</v>
      </c>
      <c r="G56" s="10" t="s">
        <v>3812</v>
      </c>
      <c r="H56" s="11" t="s">
        <v>3813</v>
      </c>
      <c r="I56" s="11" t="s">
        <v>3814</v>
      </c>
      <c r="J56" s="10" t="s">
        <v>1774</v>
      </c>
      <c r="K56" s="10"/>
      <c r="L56" s="11"/>
    </row>
    <row r="57" spans="1:12" ht="29.1" customHeight="1">
      <c r="A57" s="10" t="s">
        <v>3815</v>
      </c>
      <c r="B57" s="10" t="s">
        <v>124</v>
      </c>
      <c r="C57" s="10" t="s">
        <v>125</v>
      </c>
      <c r="D57" s="10"/>
      <c r="E57" s="10" t="s">
        <v>3816</v>
      </c>
      <c r="F57" s="10">
        <v>180</v>
      </c>
      <c r="G57" s="10" t="s">
        <v>3812</v>
      </c>
      <c r="H57" s="11" t="s">
        <v>3817</v>
      </c>
      <c r="I57" s="11" t="s">
        <v>3818</v>
      </c>
      <c r="J57" s="10" t="s">
        <v>1774</v>
      </c>
      <c r="K57" s="10"/>
      <c r="L57" s="11"/>
    </row>
    <row r="58" spans="1:12">
      <c r="A58" s="10" t="s">
        <v>3819</v>
      </c>
      <c r="B58" s="10" t="s">
        <v>124</v>
      </c>
      <c r="C58" s="10" t="s">
        <v>125</v>
      </c>
      <c r="D58" s="10"/>
      <c r="E58" s="10" t="s">
        <v>358</v>
      </c>
      <c r="F58" s="10">
        <v>30</v>
      </c>
      <c r="G58" s="10" t="s">
        <v>3615</v>
      </c>
      <c r="H58" s="11" t="s">
        <v>3820</v>
      </c>
      <c r="I58" s="11" t="s">
        <v>3821</v>
      </c>
      <c r="J58" s="10" t="s">
        <v>1774</v>
      </c>
      <c r="K58" s="10"/>
      <c r="L58" s="11"/>
    </row>
    <row r="59" spans="1:12" ht="29.1" customHeight="1">
      <c r="A59" s="10" t="s">
        <v>3822</v>
      </c>
      <c r="B59" s="10" t="s">
        <v>124</v>
      </c>
      <c r="C59" s="10" t="s">
        <v>125</v>
      </c>
      <c r="D59" s="10"/>
      <c r="E59" s="10" t="s">
        <v>3823</v>
      </c>
      <c r="F59" s="10">
        <v>6500</v>
      </c>
      <c r="G59" s="10" t="s">
        <v>2063</v>
      </c>
      <c r="H59" s="11" t="s">
        <v>2109</v>
      </c>
      <c r="I59" s="11" t="s">
        <v>3824</v>
      </c>
      <c r="J59" s="10" t="s">
        <v>1774</v>
      </c>
      <c r="K59" s="10"/>
      <c r="L59" s="11"/>
    </row>
    <row r="60" spans="1:12">
      <c r="A60" s="10" t="s">
        <v>3825</v>
      </c>
      <c r="B60" s="10" t="s">
        <v>136</v>
      </c>
      <c r="C60" s="10" t="s">
        <v>137</v>
      </c>
      <c r="D60" s="10"/>
      <c r="E60" s="10" t="s">
        <v>3826</v>
      </c>
      <c r="F60" s="10">
        <v>90</v>
      </c>
      <c r="G60" s="10" t="s">
        <v>1977</v>
      </c>
      <c r="H60" s="11" t="s">
        <v>3827</v>
      </c>
      <c r="I60" s="11" t="s">
        <v>3828</v>
      </c>
      <c r="J60" s="10" t="s">
        <v>1774</v>
      </c>
      <c r="K60" s="10"/>
      <c r="L60" s="11"/>
    </row>
    <row r="61" spans="1:12">
      <c r="A61" s="10" t="s">
        <v>3829</v>
      </c>
      <c r="B61" s="10" t="s">
        <v>136</v>
      </c>
      <c r="C61" s="10" t="s">
        <v>137</v>
      </c>
      <c r="D61" s="10"/>
      <c r="E61" s="10" t="s">
        <v>3713</v>
      </c>
      <c r="F61" s="10">
        <v>45</v>
      </c>
      <c r="G61" s="10" t="s">
        <v>1977</v>
      </c>
      <c r="H61" s="11" t="s">
        <v>3830</v>
      </c>
      <c r="I61" s="11" t="s">
        <v>3831</v>
      </c>
      <c r="J61" s="10" t="s">
        <v>1774</v>
      </c>
      <c r="K61" s="10"/>
      <c r="L61" s="11"/>
    </row>
    <row r="62" spans="1:12">
      <c r="A62" s="10" t="s">
        <v>3832</v>
      </c>
      <c r="B62" s="10" t="s">
        <v>136</v>
      </c>
      <c r="C62" s="10" t="s">
        <v>137</v>
      </c>
      <c r="D62" s="10"/>
      <c r="E62" s="10" t="s">
        <v>3833</v>
      </c>
      <c r="F62" s="10">
        <v>80</v>
      </c>
      <c r="G62" s="10" t="s">
        <v>1977</v>
      </c>
      <c r="H62" s="11" t="s">
        <v>3834</v>
      </c>
      <c r="I62" s="11" t="s">
        <v>1332</v>
      </c>
      <c r="J62" s="10" t="s">
        <v>1774</v>
      </c>
      <c r="K62" s="10"/>
      <c r="L62" s="11"/>
    </row>
    <row r="63" spans="1:12">
      <c r="A63" s="10" t="s">
        <v>3835</v>
      </c>
      <c r="B63" s="10" t="s">
        <v>136</v>
      </c>
      <c r="C63" s="10" t="s">
        <v>137</v>
      </c>
      <c r="D63" s="10"/>
      <c r="E63" s="10" t="s">
        <v>358</v>
      </c>
      <c r="F63" s="10">
        <v>60</v>
      </c>
      <c r="G63" s="10" t="s">
        <v>3615</v>
      </c>
      <c r="H63" s="11" t="s">
        <v>3836</v>
      </c>
      <c r="I63" s="11" t="s">
        <v>3837</v>
      </c>
      <c r="J63" s="10" t="s">
        <v>1774</v>
      </c>
      <c r="K63" s="10"/>
      <c r="L63" s="11"/>
    </row>
    <row r="64" spans="1:12">
      <c r="A64" s="10" t="s">
        <v>3838</v>
      </c>
      <c r="B64" s="10" t="s">
        <v>136</v>
      </c>
      <c r="C64" s="10" t="s">
        <v>137</v>
      </c>
      <c r="D64" s="10"/>
      <c r="E64" s="10" t="s">
        <v>353</v>
      </c>
      <c r="F64" s="10">
        <v>80</v>
      </c>
      <c r="G64" s="10" t="s">
        <v>3839</v>
      </c>
      <c r="H64" s="11" t="s">
        <v>3840</v>
      </c>
      <c r="I64" s="11" t="s">
        <v>3841</v>
      </c>
      <c r="J64" s="10" t="s">
        <v>1774</v>
      </c>
      <c r="K64" s="10"/>
      <c r="L64" s="11"/>
    </row>
    <row r="65" spans="1:12">
      <c r="A65" s="10" t="s">
        <v>3842</v>
      </c>
      <c r="B65" s="10" t="s">
        <v>136</v>
      </c>
      <c r="C65" s="10" t="s">
        <v>137</v>
      </c>
      <c r="D65" s="10"/>
      <c r="E65" s="10" t="s">
        <v>326</v>
      </c>
      <c r="F65" s="10">
        <v>0</v>
      </c>
      <c r="G65" s="10" t="s">
        <v>3718</v>
      </c>
      <c r="H65" s="11" t="s">
        <v>3843</v>
      </c>
      <c r="I65" s="11" t="s">
        <v>3844</v>
      </c>
      <c r="J65" s="10" t="s">
        <v>1774</v>
      </c>
      <c r="K65" s="10"/>
      <c r="L65" s="11"/>
    </row>
    <row r="66" spans="1:12" ht="29.1" customHeight="1">
      <c r="A66" s="10" t="s">
        <v>3845</v>
      </c>
      <c r="B66" s="10" t="s">
        <v>136</v>
      </c>
      <c r="C66" s="10" t="s">
        <v>137</v>
      </c>
      <c r="D66" s="10"/>
      <c r="E66" s="10" t="s">
        <v>3846</v>
      </c>
      <c r="F66" s="10">
        <v>5000</v>
      </c>
      <c r="G66" s="10" t="s">
        <v>2063</v>
      </c>
      <c r="H66" s="11" t="s">
        <v>2124</v>
      </c>
      <c r="I66" s="11" t="s">
        <v>3847</v>
      </c>
      <c r="J66" s="10" t="s">
        <v>1774</v>
      </c>
      <c r="K66" s="10"/>
      <c r="L66" s="11"/>
    </row>
    <row r="67" spans="1:12">
      <c r="A67" s="10" t="s">
        <v>3848</v>
      </c>
      <c r="B67" s="10" t="s">
        <v>136</v>
      </c>
      <c r="C67" s="10" t="s">
        <v>137</v>
      </c>
      <c r="D67" s="10"/>
      <c r="E67" s="10" t="s">
        <v>3849</v>
      </c>
      <c r="F67" s="10">
        <v>700</v>
      </c>
      <c r="G67" s="10" t="s">
        <v>2063</v>
      </c>
      <c r="H67" s="11" t="s">
        <v>1900</v>
      </c>
      <c r="I67" s="11" t="s">
        <v>3850</v>
      </c>
      <c r="J67" s="10" t="s">
        <v>1774</v>
      </c>
      <c r="K67" s="10"/>
      <c r="L67" s="11"/>
    </row>
    <row r="68" spans="1:12">
      <c r="A68" s="10" t="s">
        <v>3851</v>
      </c>
      <c r="B68" s="10" t="s">
        <v>143</v>
      </c>
      <c r="C68" s="10" t="s">
        <v>144</v>
      </c>
      <c r="D68" s="10"/>
      <c r="E68" s="10" t="s">
        <v>3852</v>
      </c>
      <c r="F68" s="10">
        <v>32</v>
      </c>
      <c r="G68" s="10" t="s">
        <v>1977</v>
      </c>
      <c r="H68" s="11" t="s">
        <v>3853</v>
      </c>
      <c r="I68" s="11" t="s">
        <v>3854</v>
      </c>
      <c r="J68" s="10" t="s">
        <v>1774</v>
      </c>
      <c r="K68" s="10"/>
      <c r="L68" s="11"/>
    </row>
    <row r="69" spans="1:12">
      <c r="A69" s="10" t="s">
        <v>3855</v>
      </c>
      <c r="B69" s="10" t="s">
        <v>143</v>
      </c>
      <c r="C69" s="10" t="s">
        <v>144</v>
      </c>
      <c r="D69" s="10"/>
      <c r="E69" s="10" t="s">
        <v>3856</v>
      </c>
      <c r="F69" s="10">
        <v>80</v>
      </c>
      <c r="G69" s="10" t="s">
        <v>1977</v>
      </c>
      <c r="H69" s="11" t="s">
        <v>3857</v>
      </c>
      <c r="I69" s="11" t="s">
        <v>3858</v>
      </c>
      <c r="J69" s="10" t="s">
        <v>1774</v>
      </c>
      <c r="K69" s="10"/>
      <c r="L69" s="11"/>
    </row>
    <row r="70" spans="1:12" ht="29.1" customHeight="1">
      <c r="A70" s="10" t="s">
        <v>3859</v>
      </c>
      <c r="B70" s="10" t="s">
        <v>143</v>
      </c>
      <c r="C70" s="10" t="s">
        <v>144</v>
      </c>
      <c r="D70" s="10"/>
      <c r="E70" s="10" t="s">
        <v>3860</v>
      </c>
      <c r="F70" s="10">
        <v>130</v>
      </c>
      <c r="G70" s="10" t="s">
        <v>2017</v>
      </c>
      <c r="H70" s="11" t="s">
        <v>2140</v>
      </c>
      <c r="I70" s="11" t="s">
        <v>3861</v>
      </c>
      <c r="J70" s="10" t="s">
        <v>1774</v>
      </c>
      <c r="K70" s="10"/>
      <c r="L70" s="11"/>
    </row>
    <row r="71" spans="1:12" ht="29.1" customHeight="1">
      <c r="A71" s="10" t="s">
        <v>3862</v>
      </c>
      <c r="B71" s="10" t="s">
        <v>143</v>
      </c>
      <c r="C71" s="10" t="s">
        <v>144</v>
      </c>
      <c r="D71" s="10"/>
      <c r="E71" s="10" t="s">
        <v>3863</v>
      </c>
      <c r="F71" s="10">
        <v>70</v>
      </c>
      <c r="G71" s="10" t="s">
        <v>2378</v>
      </c>
      <c r="H71" s="11" t="s">
        <v>3864</v>
      </c>
      <c r="I71" s="11" t="s">
        <v>3865</v>
      </c>
      <c r="J71" s="10" t="s">
        <v>1774</v>
      </c>
      <c r="K71" s="10"/>
      <c r="L71" s="11"/>
    </row>
    <row r="72" spans="1:12">
      <c r="A72" s="10" t="s">
        <v>3866</v>
      </c>
      <c r="B72" s="10" t="s">
        <v>143</v>
      </c>
      <c r="C72" s="10" t="s">
        <v>144</v>
      </c>
      <c r="D72" s="10"/>
      <c r="E72" s="10" t="s">
        <v>3867</v>
      </c>
      <c r="F72" s="10">
        <v>1</v>
      </c>
      <c r="G72" s="10" t="s">
        <v>1977</v>
      </c>
      <c r="H72" s="11" t="s">
        <v>3868</v>
      </c>
      <c r="I72" s="11" t="s">
        <v>3869</v>
      </c>
      <c r="J72" s="10" t="s">
        <v>1774</v>
      </c>
      <c r="K72" s="10"/>
      <c r="L72" s="11"/>
    </row>
    <row r="73" spans="1:12">
      <c r="A73" s="10" t="s">
        <v>3870</v>
      </c>
      <c r="B73" s="10" t="s">
        <v>143</v>
      </c>
      <c r="C73" s="10" t="s">
        <v>144</v>
      </c>
      <c r="D73" s="10"/>
      <c r="E73" s="10" t="s">
        <v>3871</v>
      </c>
      <c r="F73" s="10">
        <v>92</v>
      </c>
      <c r="G73" s="10" t="s">
        <v>1977</v>
      </c>
      <c r="H73" s="11" t="s">
        <v>3762</v>
      </c>
      <c r="I73" s="11" t="s">
        <v>3872</v>
      </c>
      <c r="J73" s="10" t="s">
        <v>1774</v>
      </c>
      <c r="K73" s="10"/>
      <c r="L73" s="11"/>
    </row>
    <row r="74" spans="1:12">
      <c r="A74" s="10" t="s">
        <v>3873</v>
      </c>
      <c r="B74" s="10" t="s">
        <v>143</v>
      </c>
      <c r="C74" s="10" t="s">
        <v>144</v>
      </c>
      <c r="D74" s="10"/>
      <c r="E74" s="10" t="s">
        <v>3874</v>
      </c>
      <c r="F74" s="10">
        <v>97</v>
      </c>
      <c r="G74" s="10" t="s">
        <v>1977</v>
      </c>
      <c r="H74" s="11" t="s">
        <v>3875</v>
      </c>
      <c r="I74" s="11" t="s">
        <v>3876</v>
      </c>
      <c r="J74" s="10" t="s">
        <v>1774</v>
      </c>
      <c r="K74" s="10"/>
      <c r="L74" s="11"/>
    </row>
    <row r="75" spans="1:12">
      <c r="A75" s="10" t="s">
        <v>3877</v>
      </c>
      <c r="B75" s="10" t="s">
        <v>143</v>
      </c>
      <c r="C75" s="10" t="s">
        <v>144</v>
      </c>
      <c r="D75" s="10"/>
      <c r="E75" s="10" t="s">
        <v>3878</v>
      </c>
      <c r="F75" s="10">
        <v>4200</v>
      </c>
      <c r="G75" s="10" t="s">
        <v>2063</v>
      </c>
      <c r="H75" s="11" t="s">
        <v>2137</v>
      </c>
      <c r="I75" s="11" t="s">
        <v>3879</v>
      </c>
      <c r="J75" s="10" t="s">
        <v>1774</v>
      </c>
      <c r="K75" s="10"/>
      <c r="L75" s="11"/>
    </row>
    <row r="76" spans="1:12">
      <c r="A76" s="10" t="s">
        <v>3880</v>
      </c>
      <c r="B76" s="10" t="s">
        <v>150</v>
      </c>
      <c r="C76" s="10" t="s">
        <v>151</v>
      </c>
      <c r="D76" s="10"/>
      <c r="E76" s="10" t="s">
        <v>3713</v>
      </c>
      <c r="F76" s="10">
        <v>85</v>
      </c>
      <c r="G76" s="10" t="s">
        <v>1977</v>
      </c>
      <c r="H76" s="11" t="s">
        <v>3881</v>
      </c>
      <c r="I76" s="11" t="s">
        <v>3882</v>
      </c>
      <c r="J76" s="10" t="s">
        <v>1774</v>
      </c>
      <c r="K76" s="10"/>
      <c r="L76" s="11"/>
    </row>
    <row r="77" spans="1:12">
      <c r="A77" s="10" t="s">
        <v>3883</v>
      </c>
      <c r="B77" s="10" t="s">
        <v>150</v>
      </c>
      <c r="C77" s="10" t="s">
        <v>151</v>
      </c>
      <c r="D77" s="10"/>
      <c r="E77" s="10" t="s">
        <v>3884</v>
      </c>
      <c r="F77" s="10">
        <v>75</v>
      </c>
      <c r="G77" s="10" t="s">
        <v>2017</v>
      </c>
      <c r="H77" s="11" t="s">
        <v>2153</v>
      </c>
      <c r="I77" s="11" t="s">
        <v>3885</v>
      </c>
      <c r="J77" s="10" t="s">
        <v>1774</v>
      </c>
      <c r="K77" s="10"/>
      <c r="L77" s="11"/>
    </row>
    <row r="78" spans="1:12">
      <c r="A78" s="10" t="s">
        <v>3886</v>
      </c>
      <c r="B78" s="10" t="s">
        <v>150</v>
      </c>
      <c r="C78" s="10" t="s">
        <v>151</v>
      </c>
      <c r="D78" s="10"/>
      <c r="E78" s="10" t="s">
        <v>3887</v>
      </c>
      <c r="F78" s="10">
        <v>6000</v>
      </c>
      <c r="G78" s="10" t="s">
        <v>2063</v>
      </c>
      <c r="H78" s="11" t="s">
        <v>2149</v>
      </c>
      <c r="I78" s="11" t="s">
        <v>3879</v>
      </c>
      <c r="J78" s="10" t="s">
        <v>1774</v>
      </c>
      <c r="K78" s="10"/>
      <c r="L78" s="11"/>
    </row>
    <row r="79" spans="1:12">
      <c r="A79" s="10" t="s">
        <v>3888</v>
      </c>
      <c r="B79" s="10" t="s">
        <v>150</v>
      </c>
      <c r="C79" s="10" t="s">
        <v>151</v>
      </c>
      <c r="D79" s="10"/>
      <c r="E79" s="10" t="s">
        <v>3889</v>
      </c>
      <c r="F79" s="10">
        <v>9000</v>
      </c>
      <c r="G79" s="10" t="s">
        <v>2063</v>
      </c>
      <c r="H79" s="11" t="s">
        <v>2161</v>
      </c>
      <c r="I79" s="11" t="s">
        <v>3890</v>
      </c>
      <c r="J79" s="10" t="s">
        <v>1774</v>
      </c>
      <c r="K79" s="10"/>
      <c r="L79" s="11"/>
    </row>
    <row r="80" spans="1:12">
      <c r="A80" s="10" t="s">
        <v>3891</v>
      </c>
      <c r="B80" s="10" t="s">
        <v>150</v>
      </c>
      <c r="C80" s="10" t="s">
        <v>151</v>
      </c>
      <c r="D80" s="10"/>
      <c r="E80" s="10" t="s">
        <v>3620</v>
      </c>
      <c r="F80" s="10">
        <v>25</v>
      </c>
      <c r="G80" s="10" t="s">
        <v>2378</v>
      </c>
      <c r="H80" s="11" t="s">
        <v>3892</v>
      </c>
      <c r="I80" s="11" t="s">
        <v>3893</v>
      </c>
      <c r="J80" s="10" t="s">
        <v>1774</v>
      </c>
      <c r="K80" s="10"/>
      <c r="L80" s="11"/>
    </row>
    <row r="81" spans="1:12">
      <c r="A81" s="10" t="s">
        <v>3894</v>
      </c>
      <c r="B81" s="10" t="s">
        <v>150</v>
      </c>
      <c r="C81" s="10" t="s">
        <v>151</v>
      </c>
      <c r="D81" s="10"/>
      <c r="E81" s="10" t="s">
        <v>3895</v>
      </c>
      <c r="F81" s="10">
        <v>180</v>
      </c>
      <c r="G81" s="10" t="s">
        <v>3812</v>
      </c>
      <c r="H81" s="11" t="s">
        <v>3896</v>
      </c>
      <c r="I81" s="11" t="s">
        <v>3897</v>
      </c>
      <c r="J81" s="10" t="s">
        <v>1774</v>
      </c>
      <c r="K81" s="10"/>
      <c r="L81" s="11"/>
    </row>
    <row r="82" spans="1:12">
      <c r="A82" s="10" t="s">
        <v>3898</v>
      </c>
      <c r="B82" s="10" t="s">
        <v>150</v>
      </c>
      <c r="C82" s="10" t="s">
        <v>151</v>
      </c>
      <c r="D82" s="10"/>
      <c r="E82" s="10" t="s">
        <v>3899</v>
      </c>
      <c r="F82" s="10">
        <v>30</v>
      </c>
      <c r="G82" s="10" t="s">
        <v>3615</v>
      </c>
      <c r="H82" s="11" t="s">
        <v>2151</v>
      </c>
      <c r="I82" s="11" t="s">
        <v>3900</v>
      </c>
      <c r="J82" s="10" t="s">
        <v>1774</v>
      </c>
      <c r="K82" s="10"/>
      <c r="L82" s="11"/>
    </row>
    <row r="83" spans="1:12" ht="29.1" customHeight="1">
      <c r="A83" s="10" t="s">
        <v>3901</v>
      </c>
      <c r="B83" s="10" t="s">
        <v>150</v>
      </c>
      <c r="C83" s="10" t="s">
        <v>151</v>
      </c>
      <c r="D83" s="10"/>
      <c r="E83" s="10" t="s">
        <v>3902</v>
      </c>
      <c r="F83" s="10">
        <v>90</v>
      </c>
      <c r="G83" s="10" t="s">
        <v>3903</v>
      </c>
      <c r="H83" s="11" t="s">
        <v>3904</v>
      </c>
      <c r="I83" s="11" t="s">
        <v>3905</v>
      </c>
      <c r="J83" s="10" t="s">
        <v>1774</v>
      </c>
      <c r="K83" s="10"/>
      <c r="L83" s="11"/>
    </row>
    <row r="84" spans="1:12">
      <c r="A84" s="10" t="s">
        <v>3906</v>
      </c>
      <c r="B84" s="10" t="s">
        <v>155</v>
      </c>
      <c r="C84" s="10" t="s">
        <v>156</v>
      </c>
      <c r="D84" s="10"/>
      <c r="E84" s="10" t="s">
        <v>3713</v>
      </c>
      <c r="F84" s="10">
        <v>90</v>
      </c>
      <c r="G84" s="10" t="s">
        <v>1977</v>
      </c>
      <c r="H84" s="11" t="s">
        <v>3907</v>
      </c>
      <c r="I84" s="11" t="s">
        <v>3908</v>
      </c>
      <c r="J84" s="10" t="s">
        <v>1774</v>
      </c>
      <c r="K84" s="10"/>
      <c r="L84" s="11"/>
    </row>
    <row r="85" spans="1:12" ht="29.1" customHeight="1">
      <c r="A85" s="10" t="s">
        <v>3909</v>
      </c>
      <c r="B85" s="10" t="s">
        <v>155</v>
      </c>
      <c r="C85" s="10" t="s">
        <v>156</v>
      </c>
      <c r="D85" s="10"/>
      <c r="E85" s="10" t="s">
        <v>3910</v>
      </c>
      <c r="F85" s="10">
        <v>130</v>
      </c>
      <c r="G85" s="10" t="s">
        <v>2017</v>
      </c>
      <c r="H85" s="11" t="s">
        <v>2140</v>
      </c>
      <c r="I85" s="11" t="s">
        <v>3911</v>
      </c>
      <c r="J85" s="10" t="s">
        <v>1774</v>
      </c>
      <c r="K85" s="10"/>
      <c r="L85" s="11"/>
    </row>
    <row r="86" spans="1:12">
      <c r="A86" s="10" t="s">
        <v>3912</v>
      </c>
      <c r="B86" s="10" t="s">
        <v>155</v>
      </c>
      <c r="C86" s="10" t="s">
        <v>156</v>
      </c>
      <c r="D86" s="10"/>
      <c r="E86" s="10" t="s">
        <v>3913</v>
      </c>
      <c r="F86" s="10">
        <v>8500</v>
      </c>
      <c r="G86" s="10" t="s">
        <v>2063</v>
      </c>
      <c r="H86" s="11" t="s">
        <v>2161</v>
      </c>
      <c r="I86" s="11" t="s">
        <v>3914</v>
      </c>
      <c r="J86" s="10" t="s">
        <v>1774</v>
      </c>
      <c r="K86" s="10"/>
      <c r="L86" s="11"/>
    </row>
    <row r="87" spans="1:12">
      <c r="A87" s="10" t="s">
        <v>3915</v>
      </c>
      <c r="B87" s="10" t="s">
        <v>155</v>
      </c>
      <c r="C87" s="10" t="s">
        <v>156</v>
      </c>
      <c r="D87" s="10"/>
      <c r="E87" s="10" t="s">
        <v>3620</v>
      </c>
      <c r="F87" s="10">
        <v>12</v>
      </c>
      <c r="G87" s="10" t="s">
        <v>2378</v>
      </c>
      <c r="H87" s="11" t="s">
        <v>3916</v>
      </c>
      <c r="I87" s="11" t="s">
        <v>3917</v>
      </c>
      <c r="J87" s="10" t="s">
        <v>1774</v>
      </c>
      <c r="K87" s="10"/>
      <c r="L87" s="11"/>
    </row>
    <row r="88" spans="1:12">
      <c r="A88" s="10" t="s">
        <v>3918</v>
      </c>
      <c r="B88" s="10" t="s">
        <v>155</v>
      </c>
      <c r="C88" s="10" t="s">
        <v>156</v>
      </c>
      <c r="D88" s="10"/>
      <c r="E88" s="10" t="s">
        <v>3919</v>
      </c>
      <c r="F88" s="10">
        <v>60</v>
      </c>
      <c r="G88" s="10" t="s">
        <v>3615</v>
      </c>
      <c r="H88" s="11" t="s">
        <v>3920</v>
      </c>
      <c r="I88" s="11" t="s">
        <v>3921</v>
      </c>
      <c r="J88" s="10" t="s">
        <v>1774</v>
      </c>
      <c r="K88" s="10"/>
      <c r="L88" s="11"/>
    </row>
    <row r="89" spans="1:12">
      <c r="A89" s="10" t="s">
        <v>3922</v>
      </c>
      <c r="B89" s="10" t="s">
        <v>155</v>
      </c>
      <c r="C89" s="10" t="s">
        <v>156</v>
      </c>
      <c r="D89" s="10"/>
      <c r="E89" s="10" t="s">
        <v>3923</v>
      </c>
      <c r="F89" s="10">
        <v>9</v>
      </c>
      <c r="G89" s="10" t="s">
        <v>3615</v>
      </c>
      <c r="H89" s="11" t="s">
        <v>3924</v>
      </c>
      <c r="I89" s="11" t="s">
        <v>3925</v>
      </c>
      <c r="J89" s="10" t="s">
        <v>1774</v>
      </c>
      <c r="K89" s="10"/>
      <c r="L89" s="11"/>
    </row>
    <row r="90" spans="1:12">
      <c r="A90" s="10" t="s">
        <v>3926</v>
      </c>
      <c r="B90" s="10" t="s">
        <v>155</v>
      </c>
      <c r="C90" s="10" t="s">
        <v>156</v>
      </c>
      <c r="D90" s="10"/>
      <c r="E90" s="10" t="s">
        <v>3927</v>
      </c>
      <c r="F90" s="10">
        <v>33</v>
      </c>
      <c r="G90" s="10" t="s">
        <v>1977</v>
      </c>
      <c r="H90" s="11" t="s">
        <v>3928</v>
      </c>
      <c r="I90" s="11" t="s">
        <v>3929</v>
      </c>
      <c r="J90" s="10" t="s">
        <v>1774</v>
      </c>
      <c r="K90" s="10"/>
      <c r="L90" s="11"/>
    </row>
    <row r="91" spans="1:12" ht="29.1" customHeight="1">
      <c r="A91" s="10" t="s">
        <v>3930</v>
      </c>
      <c r="B91" s="10" t="s">
        <v>155</v>
      </c>
      <c r="C91" s="10" t="s">
        <v>156</v>
      </c>
      <c r="D91" s="10"/>
      <c r="E91" s="10" t="s">
        <v>3931</v>
      </c>
      <c r="F91" s="10">
        <v>300</v>
      </c>
      <c r="G91" s="10" t="s">
        <v>2024</v>
      </c>
      <c r="H91" s="11" t="s">
        <v>3932</v>
      </c>
      <c r="I91" s="11" t="s">
        <v>3933</v>
      </c>
      <c r="J91" s="10" t="s">
        <v>2598</v>
      </c>
      <c r="K91" s="10"/>
      <c r="L91" s="11"/>
    </row>
    <row r="92" spans="1:12">
      <c r="A92" s="10"/>
      <c r="B92" s="10"/>
      <c r="C92" s="10"/>
      <c r="D92" s="10"/>
      <c r="E92" s="10"/>
      <c r="F92" s="10"/>
      <c r="G92" s="10"/>
      <c r="H92" s="11"/>
      <c r="I92" s="11"/>
      <c r="J92" s="10"/>
      <c r="K92" s="10"/>
      <c r="L92" s="11"/>
    </row>
    <row r="93" spans="1:12">
      <c r="A93" s="10"/>
      <c r="B93" s="10"/>
      <c r="C93" s="10"/>
      <c r="D93" s="10"/>
      <c r="E93" s="10"/>
      <c r="F93" s="10"/>
      <c r="G93" s="10"/>
      <c r="H93" s="11"/>
      <c r="I93" s="11"/>
      <c r="J93" s="10"/>
      <c r="K93" s="10"/>
      <c r="L93" s="11"/>
    </row>
    <row r="94" spans="1:12">
      <c r="A94" s="10"/>
      <c r="B94" s="10"/>
      <c r="C94" s="10"/>
      <c r="D94" s="10"/>
      <c r="E94" s="10"/>
      <c r="F94" s="10"/>
      <c r="G94" s="10"/>
      <c r="H94" s="11"/>
      <c r="I94" s="11"/>
      <c r="J94" s="10"/>
      <c r="K94" s="10"/>
      <c r="L94" s="11"/>
    </row>
    <row r="95" spans="1:12">
      <c r="A95" s="10"/>
      <c r="B95" s="10"/>
      <c r="C95" s="10"/>
      <c r="D95" s="10"/>
      <c r="E95" s="10"/>
      <c r="F95" s="10"/>
      <c r="G95" s="10"/>
      <c r="H95" s="11"/>
      <c r="I95" s="11"/>
      <c r="J95" s="10"/>
      <c r="K95" s="10"/>
      <c r="L95" s="11"/>
    </row>
    <row r="96" spans="1:12">
      <c r="A96" s="10"/>
      <c r="B96" s="10"/>
      <c r="C96" s="10"/>
      <c r="D96" s="10"/>
      <c r="E96" s="10"/>
      <c r="F96" s="10"/>
      <c r="G96" s="10"/>
      <c r="H96" s="11"/>
      <c r="I96" s="11"/>
      <c r="J96" s="10"/>
      <c r="K96" s="10"/>
      <c r="L96" s="11"/>
    </row>
    <row r="97" spans="1:12">
      <c r="A97" s="10"/>
      <c r="B97" s="10"/>
      <c r="C97" s="10"/>
      <c r="D97" s="10"/>
      <c r="E97" s="10"/>
      <c r="F97" s="10"/>
      <c r="G97" s="10"/>
      <c r="H97" s="11"/>
      <c r="I97" s="11"/>
      <c r="J97" s="10"/>
      <c r="K97" s="10"/>
      <c r="L97" s="11"/>
    </row>
    <row r="98" spans="1:12">
      <c r="A98" s="10"/>
      <c r="B98" s="10"/>
      <c r="C98" s="10"/>
      <c r="D98" s="10"/>
      <c r="E98" s="10"/>
      <c r="F98" s="10"/>
      <c r="G98" s="10"/>
      <c r="H98" s="11"/>
      <c r="I98" s="11"/>
      <c r="J98" s="10"/>
      <c r="K98" s="10"/>
      <c r="L98" s="11"/>
    </row>
    <row r="99" spans="1:12">
      <c r="A99" s="10"/>
      <c r="B99" s="10"/>
      <c r="C99" s="10"/>
      <c r="D99" s="10"/>
      <c r="E99" s="10"/>
      <c r="F99" s="10"/>
      <c r="G99" s="10"/>
      <c r="H99" s="11"/>
      <c r="I99" s="11"/>
      <c r="J99" s="10"/>
      <c r="K99" s="10"/>
      <c r="L99" s="11"/>
    </row>
    <row r="100" spans="1:12">
      <c r="A100" s="10"/>
      <c r="B100" s="10"/>
      <c r="C100" s="10"/>
      <c r="D100" s="10"/>
      <c r="E100" s="10"/>
      <c r="F100" s="10"/>
      <c r="G100" s="10"/>
      <c r="H100" s="11"/>
      <c r="I100" s="11"/>
      <c r="J100" s="10"/>
      <c r="K100" s="10"/>
      <c r="L100" s="11"/>
    </row>
    <row r="101" spans="1:12">
      <c r="A101" s="10"/>
      <c r="B101" s="10"/>
      <c r="C101" s="10"/>
      <c r="D101" s="10"/>
      <c r="E101" s="10"/>
      <c r="F101" s="10"/>
      <c r="G101" s="10"/>
      <c r="H101" s="11"/>
      <c r="I101" s="11"/>
      <c r="J101" s="10"/>
      <c r="K101" s="10"/>
      <c r="L101" s="11"/>
    </row>
    <row r="102" spans="1:12">
      <c r="A102" s="10"/>
      <c r="B102" s="10"/>
      <c r="C102" s="10"/>
      <c r="D102" s="10"/>
      <c r="E102" s="10"/>
      <c r="F102" s="10"/>
      <c r="G102" s="10"/>
      <c r="H102" s="11"/>
      <c r="I102" s="11"/>
      <c r="J102" s="10"/>
      <c r="K102" s="10"/>
      <c r="L102" s="11"/>
    </row>
    <row r="103" spans="1:12">
      <c r="A103" s="10"/>
      <c r="B103" s="10"/>
      <c r="C103" s="10"/>
      <c r="D103" s="10"/>
      <c r="E103" s="10"/>
      <c r="F103" s="10"/>
      <c r="G103" s="10"/>
      <c r="H103" s="11"/>
      <c r="I103" s="11"/>
      <c r="J103" s="10"/>
      <c r="K103" s="10"/>
      <c r="L103" s="11"/>
    </row>
    <row r="104" spans="1:12">
      <c r="A104" s="10"/>
      <c r="B104" s="10"/>
      <c r="C104" s="10"/>
      <c r="D104" s="10"/>
      <c r="E104" s="10"/>
      <c r="F104" s="10"/>
      <c r="G104" s="10"/>
      <c r="H104" s="11"/>
      <c r="I104" s="11"/>
      <c r="J104" s="10"/>
      <c r="K104" s="10"/>
      <c r="L104" s="11"/>
    </row>
    <row r="105" spans="1:12">
      <c r="A105" s="10"/>
      <c r="B105" s="10"/>
      <c r="C105" s="10"/>
      <c r="D105" s="10"/>
      <c r="E105" s="10"/>
      <c r="F105" s="10"/>
      <c r="G105" s="10"/>
      <c r="H105" s="11"/>
      <c r="I105" s="11"/>
      <c r="J105" s="10"/>
      <c r="K105" s="10"/>
      <c r="L105" s="11"/>
    </row>
    <row r="106" spans="1:12">
      <c r="A106" s="10"/>
      <c r="B106" s="10"/>
      <c r="C106" s="10"/>
      <c r="D106" s="10"/>
      <c r="E106" s="10"/>
      <c r="F106" s="10"/>
      <c r="G106" s="10"/>
      <c r="H106" s="11"/>
      <c r="I106" s="11"/>
      <c r="J106" s="10"/>
      <c r="K106" s="10"/>
      <c r="L106" s="11"/>
    </row>
    <row r="107" spans="1:12">
      <c r="A107" s="10"/>
      <c r="B107" s="10"/>
      <c r="C107" s="10"/>
      <c r="D107" s="10"/>
      <c r="E107" s="10"/>
      <c r="F107" s="10"/>
      <c r="G107" s="10"/>
      <c r="H107" s="11"/>
      <c r="I107" s="11"/>
      <c r="J107" s="10"/>
      <c r="K107" s="10"/>
      <c r="L107" s="11"/>
    </row>
    <row r="108" spans="1:12">
      <c r="A108" s="10"/>
      <c r="B108" s="10"/>
      <c r="C108" s="10"/>
      <c r="D108" s="10"/>
      <c r="E108" s="10"/>
      <c r="F108" s="10"/>
      <c r="G108" s="10"/>
      <c r="H108" s="11"/>
      <c r="I108" s="11"/>
      <c r="J108" s="10"/>
      <c r="K108" s="10"/>
      <c r="L108" s="11"/>
    </row>
    <row r="109" spans="1:12">
      <c r="A109" s="10"/>
      <c r="B109" s="10"/>
      <c r="C109" s="10"/>
      <c r="D109" s="10"/>
      <c r="E109" s="10"/>
      <c r="F109" s="10"/>
      <c r="G109" s="10"/>
      <c r="H109" s="11"/>
      <c r="I109" s="11"/>
      <c r="J109" s="10"/>
      <c r="K109" s="10"/>
      <c r="L109" s="11"/>
    </row>
    <row r="110" spans="1:12">
      <c r="A110" s="10"/>
      <c r="B110" s="10"/>
      <c r="C110" s="10"/>
      <c r="D110" s="10"/>
      <c r="E110" s="10"/>
      <c r="F110" s="10"/>
      <c r="G110" s="10"/>
      <c r="H110" s="11"/>
      <c r="I110" s="11"/>
      <c r="J110" s="10"/>
      <c r="K110" s="10"/>
      <c r="L110" s="11"/>
    </row>
    <row r="111" spans="1:12">
      <c r="A111" s="10"/>
      <c r="B111" s="10"/>
      <c r="C111" s="10"/>
      <c r="D111" s="10"/>
      <c r="E111" s="10"/>
      <c r="F111" s="10"/>
      <c r="G111" s="10"/>
      <c r="H111" s="11"/>
      <c r="I111" s="11"/>
      <c r="J111" s="10"/>
      <c r="K111" s="10"/>
      <c r="L111" s="11"/>
    </row>
    <row r="112" spans="1:12">
      <c r="A112" s="10"/>
      <c r="B112" s="10"/>
      <c r="C112" s="10"/>
      <c r="D112" s="10"/>
      <c r="E112" s="10"/>
      <c r="F112" s="10"/>
      <c r="G112" s="10"/>
      <c r="H112" s="11"/>
      <c r="I112" s="11"/>
      <c r="J112" s="10"/>
      <c r="K112" s="10"/>
      <c r="L112" s="11"/>
    </row>
    <row r="113" spans="1:12">
      <c r="A113" s="10"/>
      <c r="B113" s="10"/>
      <c r="C113" s="10"/>
      <c r="D113" s="10"/>
      <c r="E113" s="10"/>
      <c r="F113" s="10"/>
      <c r="G113" s="10"/>
      <c r="H113" s="11"/>
      <c r="I113" s="11"/>
      <c r="J113" s="10"/>
      <c r="K113" s="10"/>
      <c r="L113" s="11"/>
    </row>
    <row r="114" spans="1:12">
      <c r="A114" s="10"/>
      <c r="B114" s="10"/>
      <c r="C114" s="10"/>
      <c r="D114" s="10"/>
      <c r="E114" s="10"/>
      <c r="F114" s="10"/>
      <c r="G114" s="10"/>
      <c r="H114" s="11"/>
      <c r="I114" s="11"/>
      <c r="J114" s="10"/>
      <c r="K114" s="10"/>
      <c r="L114" s="11"/>
    </row>
    <row r="115" spans="1:12">
      <c r="A115" s="10"/>
      <c r="B115" s="10"/>
      <c r="C115" s="10"/>
      <c r="D115" s="10"/>
      <c r="E115" s="10"/>
      <c r="F115" s="10"/>
      <c r="G115" s="10"/>
      <c r="H115" s="11"/>
      <c r="I115" s="11"/>
      <c r="J115" s="10"/>
      <c r="K115" s="10"/>
      <c r="L115" s="11"/>
    </row>
    <row r="116" spans="1:12">
      <c r="A116" s="10"/>
      <c r="B116" s="10"/>
      <c r="C116" s="10"/>
      <c r="D116" s="10"/>
      <c r="E116" s="10"/>
      <c r="F116" s="10"/>
      <c r="G116" s="10"/>
      <c r="H116" s="11"/>
      <c r="I116" s="11"/>
      <c r="J116" s="10"/>
      <c r="K116" s="10"/>
      <c r="L116" s="11"/>
    </row>
    <row r="117" spans="1:12">
      <c r="A117" s="10"/>
      <c r="B117" s="10"/>
      <c r="C117" s="10"/>
      <c r="D117" s="10"/>
      <c r="E117" s="10"/>
      <c r="F117" s="10"/>
      <c r="G117" s="10"/>
      <c r="H117" s="11"/>
      <c r="I117" s="11"/>
      <c r="J117" s="10"/>
      <c r="K117" s="10"/>
      <c r="L117" s="11"/>
    </row>
    <row r="118" spans="1:12">
      <c r="A118" s="10"/>
      <c r="B118" s="10"/>
      <c r="C118" s="10"/>
      <c r="D118" s="10"/>
      <c r="E118" s="10"/>
      <c r="F118" s="10"/>
      <c r="G118" s="10"/>
      <c r="H118" s="11"/>
      <c r="I118" s="11"/>
      <c r="J118" s="10"/>
      <c r="K118" s="10"/>
      <c r="L118" s="11"/>
    </row>
    <row r="119" spans="1:12">
      <c r="A119" s="10"/>
      <c r="B119" s="10"/>
      <c r="C119" s="10"/>
      <c r="D119" s="10"/>
      <c r="E119" s="10"/>
      <c r="F119" s="10"/>
      <c r="G119" s="10"/>
      <c r="H119" s="11"/>
      <c r="I119" s="11"/>
      <c r="J119" s="10"/>
      <c r="K119" s="10"/>
      <c r="L119" s="11"/>
    </row>
    <row r="120" spans="1:12">
      <c r="A120" s="10"/>
      <c r="B120" s="10"/>
      <c r="C120" s="10"/>
      <c r="D120" s="10"/>
      <c r="E120" s="10"/>
      <c r="F120" s="10"/>
      <c r="G120" s="10"/>
      <c r="H120" s="11"/>
      <c r="I120" s="11"/>
      <c r="J120" s="10"/>
      <c r="K120" s="10"/>
      <c r="L120" s="11"/>
    </row>
    <row r="121" spans="1:12">
      <c r="A121" s="10"/>
      <c r="B121" s="10"/>
      <c r="C121" s="10"/>
      <c r="D121" s="10"/>
      <c r="E121" s="10"/>
      <c r="F121" s="10"/>
      <c r="G121" s="10"/>
      <c r="H121" s="11"/>
      <c r="I121" s="11"/>
      <c r="J121" s="10"/>
      <c r="K121" s="10"/>
      <c r="L121" s="11"/>
    </row>
    <row r="122" spans="1:12">
      <c r="A122" s="10"/>
      <c r="B122" s="10"/>
      <c r="C122" s="10"/>
      <c r="D122" s="10"/>
      <c r="E122" s="10"/>
      <c r="F122" s="10"/>
      <c r="G122" s="10"/>
      <c r="H122" s="11"/>
      <c r="I122" s="11"/>
      <c r="J122" s="10"/>
      <c r="K122" s="10"/>
      <c r="L122" s="11"/>
    </row>
    <row r="123" spans="1:12">
      <c r="A123" s="10"/>
      <c r="B123" s="10"/>
      <c r="C123" s="10"/>
      <c r="D123" s="10"/>
      <c r="E123" s="10"/>
      <c r="F123" s="10"/>
      <c r="G123" s="10"/>
      <c r="H123" s="11"/>
      <c r="I123" s="11"/>
      <c r="J123" s="10"/>
      <c r="K123" s="10"/>
      <c r="L123" s="11"/>
    </row>
    <row r="124" spans="1:12">
      <c r="A124" s="10"/>
      <c r="B124" s="10"/>
      <c r="C124" s="10"/>
      <c r="D124" s="10"/>
      <c r="E124" s="10"/>
      <c r="F124" s="10"/>
      <c r="G124" s="10"/>
      <c r="H124" s="11"/>
      <c r="I124" s="11"/>
      <c r="J124" s="10"/>
      <c r="K124" s="10"/>
      <c r="L124" s="11"/>
    </row>
    <row r="125" spans="1:12">
      <c r="A125" s="10"/>
      <c r="B125" s="10"/>
      <c r="C125" s="10"/>
      <c r="D125" s="10"/>
      <c r="E125" s="10"/>
      <c r="F125" s="10"/>
      <c r="G125" s="10"/>
      <c r="H125" s="11"/>
      <c r="I125" s="11"/>
      <c r="J125" s="10"/>
      <c r="K125" s="10"/>
      <c r="L125" s="11"/>
    </row>
    <row r="126" spans="1:12">
      <c r="A126" s="10"/>
      <c r="B126" s="10"/>
      <c r="C126" s="10"/>
      <c r="D126" s="10"/>
      <c r="E126" s="10"/>
      <c r="F126" s="10"/>
      <c r="G126" s="10"/>
      <c r="H126" s="11"/>
      <c r="I126" s="11"/>
      <c r="J126" s="10"/>
      <c r="K126" s="10"/>
      <c r="L126" s="11"/>
    </row>
    <row r="127" spans="1:12">
      <c r="A127" s="10"/>
      <c r="B127" s="10"/>
      <c r="C127" s="10"/>
      <c r="D127" s="10"/>
      <c r="E127" s="10"/>
      <c r="F127" s="10"/>
      <c r="G127" s="10"/>
      <c r="H127" s="11"/>
      <c r="I127" s="11"/>
      <c r="J127" s="10"/>
      <c r="K127" s="10"/>
      <c r="L127" s="11"/>
    </row>
    <row r="128" spans="1:12">
      <c r="A128" s="10"/>
      <c r="B128" s="10"/>
      <c r="C128" s="10"/>
      <c r="D128" s="10"/>
      <c r="E128" s="10"/>
      <c r="F128" s="10"/>
      <c r="G128" s="10"/>
      <c r="H128" s="11"/>
      <c r="I128" s="11"/>
      <c r="J128" s="10"/>
      <c r="K128" s="10"/>
      <c r="L128" s="11"/>
    </row>
    <row r="129" spans="1:12">
      <c r="A129" s="10"/>
      <c r="B129" s="10"/>
      <c r="C129" s="10"/>
      <c r="D129" s="10"/>
      <c r="E129" s="10"/>
      <c r="F129" s="10"/>
      <c r="G129" s="10"/>
      <c r="H129" s="11"/>
      <c r="I129" s="11"/>
      <c r="J129" s="10"/>
      <c r="K129" s="10"/>
      <c r="L129" s="11"/>
    </row>
    <row r="130" spans="1:12">
      <c r="A130" s="10"/>
      <c r="B130" s="10"/>
      <c r="C130" s="10"/>
      <c r="D130" s="10"/>
      <c r="E130" s="10"/>
      <c r="F130" s="10"/>
      <c r="G130" s="10"/>
      <c r="H130" s="11"/>
      <c r="I130" s="11"/>
      <c r="J130" s="10"/>
      <c r="K130" s="10"/>
      <c r="L130" s="11"/>
    </row>
    <row r="131" spans="1:12">
      <c r="A131" s="10"/>
      <c r="B131" s="10"/>
      <c r="C131" s="10"/>
      <c r="D131" s="10"/>
      <c r="E131" s="10"/>
      <c r="F131" s="10"/>
      <c r="G131" s="10"/>
      <c r="H131" s="11"/>
      <c r="I131" s="11"/>
      <c r="J131" s="10"/>
      <c r="K131" s="10"/>
      <c r="L131" s="11"/>
    </row>
    <row r="132" spans="1:12">
      <c r="A132" s="10"/>
      <c r="B132" s="10"/>
      <c r="C132" s="10"/>
      <c r="D132" s="10"/>
      <c r="E132" s="10"/>
      <c r="F132" s="10"/>
      <c r="G132" s="10"/>
      <c r="H132" s="11"/>
      <c r="I132" s="11"/>
      <c r="J132" s="10"/>
      <c r="K132" s="10"/>
      <c r="L132" s="11"/>
    </row>
    <row r="133" spans="1:12">
      <c r="A133" s="10"/>
      <c r="B133" s="10"/>
      <c r="C133" s="10"/>
      <c r="D133" s="10"/>
      <c r="E133" s="10"/>
      <c r="F133" s="10"/>
      <c r="G133" s="10"/>
      <c r="H133" s="11"/>
      <c r="I133" s="11"/>
      <c r="J133" s="10"/>
      <c r="K133" s="10"/>
      <c r="L133" s="11"/>
    </row>
    <row r="134" spans="1:12">
      <c r="A134" s="10"/>
      <c r="B134" s="10"/>
      <c r="C134" s="10"/>
      <c r="D134" s="10"/>
      <c r="E134" s="10"/>
      <c r="F134" s="10"/>
      <c r="G134" s="10"/>
      <c r="H134" s="11"/>
      <c r="I134" s="11"/>
      <c r="J134" s="10"/>
      <c r="K134" s="10"/>
      <c r="L134" s="11"/>
    </row>
    <row r="135" spans="1:12">
      <c r="A135" s="10"/>
      <c r="B135" s="10"/>
      <c r="C135" s="10"/>
      <c r="D135" s="10"/>
      <c r="E135" s="10"/>
      <c r="F135" s="10"/>
      <c r="G135" s="10"/>
      <c r="H135" s="11"/>
      <c r="I135" s="11"/>
      <c r="J135" s="10"/>
      <c r="K135" s="10"/>
      <c r="L135" s="11"/>
    </row>
    <row r="136" spans="1:12">
      <c r="A136" s="10"/>
      <c r="B136" s="10"/>
      <c r="C136" s="10"/>
      <c r="D136" s="10"/>
      <c r="E136" s="10"/>
      <c r="F136" s="10"/>
      <c r="G136" s="10"/>
      <c r="H136" s="11"/>
      <c r="I136" s="11"/>
      <c r="J136" s="10"/>
      <c r="K136" s="10"/>
      <c r="L136" s="11"/>
    </row>
    <row r="137" spans="1:12">
      <c r="A137" s="10"/>
      <c r="B137" s="10"/>
      <c r="C137" s="10"/>
      <c r="D137" s="10"/>
      <c r="E137" s="10"/>
      <c r="F137" s="10"/>
      <c r="G137" s="10"/>
      <c r="H137" s="11"/>
      <c r="I137" s="11"/>
      <c r="J137" s="10"/>
      <c r="K137" s="10"/>
      <c r="L137" s="11"/>
    </row>
    <row r="138" spans="1:12">
      <c r="A138" s="10"/>
      <c r="B138" s="10"/>
      <c r="C138" s="10"/>
      <c r="D138" s="10"/>
      <c r="E138" s="10"/>
      <c r="F138" s="10"/>
      <c r="G138" s="10"/>
      <c r="H138" s="11"/>
      <c r="I138" s="11"/>
      <c r="J138" s="10"/>
      <c r="K138" s="10"/>
      <c r="L138" s="11"/>
    </row>
    <row r="139" spans="1:12">
      <c r="A139" s="10"/>
      <c r="B139" s="10"/>
      <c r="C139" s="10"/>
      <c r="D139" s="10"/>
      <c r="E139" s="10"/>
      <c r="F139" s="10"/>
      <c r="G139" s="10"/>
      <c r="H139" s="11"/>
      <c r="I139" s="11"/>
      <c r="J139" s="10"/>
      <c r="K139" s="10"/>
      <c r="L139" s="11"/>
    </row>
    <row r="140" spans="1:12">
      <c r="A140" s="10"/>
      <c r="B140" s="10"/>
      <c r="C140" s="10"/>
      <c r="D140" s="10"/>
      <c r="E140" s="10"/>
      <c r="F140" s="10"/>
      <c r="G140" s="10"/>
      <c r="H140" s="11"/>
      <c r="I140" s="11"/>
      <c r="J140" s="10"/>
      <c r="K140" s="10"/>
      <c r="L140" s="11"/>
    </row>
    <row r="141" spans="1:12">
      <c r="A141" s="10"/>
      <c r="B141" s="10"/>
      <c r="C141" s="10"/>
      <c r="D141" s="10"/>
      <c r="E141" s="10"/>
      <c r="F141" s="10"/>
      <c r="G141" s="10"/>
      <c r="H141" s="11"/>
      <c r="I141" s="11"/>
      <c r="J141" s="10"/>
      <c r="K141" s="10"/>
      <c r="L141" s="11"/>
    </row>
    <row r="142" spans="1:12">
      <c r="A142" s="10"/>
      <c r="B142" s="10"/>
      <c r="C142" s="10"/>
      <c r="D142" s="10"/>
      <c r="E142" s="10"/>
      <c r="F142" s="10"/>
      <c r="G142" s="10"/>
      <c r="H142" s="11"/>
      <c r="I142" s="11"/>
      <c r="J142" s="10"/>
      <c r="K142" s="10"/>
      <c r="L142" s="11"/>
    </row>
    <row r="143" spans="1:12">
      <c r="A143" s="10"/>
      <c r="B143" s="10"/>
      <c r="C143" s="10"/>
      <c r="D143" s="10"/>
      <c r="E143" s="10"/>
      <c r="F143" s="10"/>
      <c r="G143" s="10"/>
      <c r="H143" s="11"/>
      <c r="I143" s="11"/>
      <c r="J143" s="10"/>
      <c r="K143" s="10"/>
      <c r="L143" s="11"/>
    </row>
    <row r="144" spans="1:12">
      <c r="A144" s="10"/>
      <c r="B144" s="10"/>
      <c r="C144" s="10"/>
      <c r="D144" s="10"/>
      <c r="E144" s="10"/>
      <c r="F144" s="10"/>
      <c r="G144" s="10"/>
      <c r="H144" s="11"/>
      <c r="I144" s="11"/>
      <c r="J144" s="10"/>
      <c r="K144" s="10"/>
      <c r="L144" s="11"/>
    </row>
    <row r="145" spans="1:12">
      <c r="A145" s="10"/>
      <c r="B145" s="10"/>
      <c r="C145" s="10"/>
      <c r="D145" s="10"/>
      <c r="E145" s="10"/>
      <c r="F145" s="10"/>
      <c r="G145" s="10"/>
      <c r="H145" s="11"/>
      <c r="I145" s="11"/>
      <c r="J145" s="10"/>
      <c r="K145" s="10"/>
      <c r="L145" s="11"/>
    </row>
    <row r="146" spans="1:12">
      <c r="A146" s="10"/>
      <c r="B146" s="10"/>
      <c r="C146" s="10"/>
      <c r="D146" s="10"/>
      <c r="E146" s="10"/>
      <c r="F146" s="10"/>
      <c r="G146" s="10"/>
      <c r="H146" s="11"/>
      <c r="I146" s="11"/>
      <c r="J146" s="10"/>
      <c r="K146" s="10"/>
      <c r="L146" s="11"/>
    </row>
    <row r="147" spans="1:12">
      <c r="A147" s="10"/>
      <c r="B147" s="10"/>
      <c r="C147" s="10"/>
      <c r="D147" s="10"/>
      <c r="E147" s="10"/>
      <c r="F147" s="10"/>
      <c r="G147" s="10"/>
      <c r="H147" s="11"/>
      <c r="I147" s="11"/>
      <c r="J147" s="10"/>
      <c r="K147" s="10"/>
      <c r="L147" s="11"/>
    </row>
    <row r="148" spans="1:12">
      <c r="A148" s="10"/>
      <c r="B148" s="10"/>
      <c r="C148" s="10"/>
      <c r="D148" s="10"/>
      <c r="E148" s="10"/>
      <c r="F148" s="10"/>
      <c r="G148" s="10"/>
      <c r="H148" s="11"/>
      <c r="I148" s="11"/>
      <c r="J148" s="10"/>
      <c r="K148" s="10"/>
      <c r="L148" s="11"/>
    </row>
    <row r="149" spans="1:12">
      <c r="A149" s="10"/>
      <c r="B149" s="10"/>
      <c r="C149" s="10"/>
      <c r="D149" s="10"/>
      <c r="E149" s="10"/>
      <c r="F149" s="10"/>
      <c r="G149" s="10"/>
      <c r="H149" s="11"/>
      <c r="I149" s="11"/>
      <c r="J149" s="10"/>
      <c r="K149" s="10"/>
      <c r="L149" s="11"/>
    </row>
    <row r="150" spans="1:12">
      <c r="A150" s="10"/>
      <c r="B150" s="10"/>
      <c r="C150" s="10"/>
      <c r="D150" s="10"/>
      <c r="E150" s="10"/>
      <c r="F150" s="10"/>
      <c r="G150" s="10"/>
      <c r="H150" s="11"/>
      <c r="I150" s="11"/>
      <c r="J150" s="10"/>
      <c r="K150" s="10"/>
      <c r="L150" s="11"/>
    </row>
    <row r="151" spans="1:12">
      <c r="A151" s="10"/>
      <c r="B151" s="10"/>
      <c r="C151" s="10"/>
      <c r="D151" s="10"/>
      <c r="E151" s="10"/>
      <c r="F151" s="10"/>
      <c r="G151" s="10"/>
      <c r="H151" s="11"/>
      <c r="I151" s="11"/>
      <c r="J151" s="10"/>
      <c r="K151" s="10"/>
      <c r="L151" s="11"/>
    </row>
    <row r="152" spans="1:12">
      <c r="A152" s="10"/>
      <c r="B152" s="10"/>
      <c r="C152" s="10"/>
      <c r="D152" s="10"/>
      <c r="E152" s="10"/>
      <c r="F152" s="10"/>
      <c r="G152" s="10"/>
      <c r="H152" s="11"/>
      <c r="I152" s="11"/>
      <c r="J152" s="10"/>
      <c r="K152" s="10"/>
      <c r="L152" s="11"/>
    </row>
    <row r="153" spans="1:12">
      <c r="A153" s="10"/>
      <c r="B153" s="10"/>
      <c r="C153" s="10"/>
      <c r="D153" s="10"/>
      <c r="E153" s="10"/>
      <c r="F153" s="10"/>
      <c r="G153" s="10"/>
      <c r="H153" s="11"/>
      <c r="I153" s="11"/>
      <c r="J153" s="10"/>
      <c r="K153" s="10"/>
      <c r="L153" s="11"/>
    </row>
    <row r="154" spans="1:12">
      <c r="A154" s="10"/>
      <c r="B154" s="10"/>
      <c r="C154" s="10"/>
      <c r="D154" s="10"/>
      <c r="E154" s="10"/>
      <c r="F154" s="10"/>
      <c r="G154" s="10"/>
      <c r="H154" s="11"/>
      <c r="I154" s="11"/>
      <c r="J154" s="10"/>
      <c r="K154" s="10"/>
      <c r="L154" s="11"/>
    </row>
    <row r="155" spans="1:12">
      <c r="A155" s="10"/>
      <c r="B155" s="10"/>
      <c r="C155" s="10"/>
      <c r="D155" s="10"/>
      <c r="E155" s="10"/>
      <c r="F155" s="10"/>
      <c r="G155" s="10"/>
      <c r="H155" s="11"/>
      <c r="I155" s="11"/>
      <c r="J155" s="10"/>
      <c r="K155" s="10"/>
      <c r="L155" s="11"/>
    </row>
    <row r="156" spans="1:12">
      <c r="A156" s="10"/>
      <c r="B156" s="10"/>
      <c r="C156" s="10"/>
      <c r="D156" s="10"/>
      <c r="E156" s="10"/>
      <c r="F156" s="10"/>
      <c r="G156" s="10"/>
      <c r="H156" s="11"/>
      <c r="I156" s="11"/>
      <c r="J156" s="10"/>
      <c r="K156" s="10"/>
      <c r="L156" s="11"/>
    </row>
    <row r="157" spans="1:12">
      <c r="A157" s="10"/>
      <c r="B157" s="10"/>
      <c r="C157" s="10"/>
      <c r="D157" s="10"/>
      <c r="E157" s="10"/>
      <c r="F157" s="10"/>
      <c r="G157" s="10"/>
      <c r="H157" s="11"/>
      <c r="I157" s="11"/>
      <c r="J157" s="10"/>
      <c r="K157" s="10"/>
      <c r="L157" s="11"/>
    </row>
    <row r="158" spans="1:12">
      <c r="A158" s="10"/>
      <c r="B158" s="10"/>
      <c r="C158" s="10"/>
      <c r="D158" s="10"/>
      <c r="E158" s="10"/>
      <c r="F158" s="10"/>
      <c r="G158" s="10"/>
      <c r="H158" s="11"/>
      <c r="I158" s="11"/>
      <c r="J158" s="10"/>
      <c r="K158" s="10"/>
      <c r="L158" s="11"/>
    </row>
    <row r="159" spans="1:12">
      <c r="A159" s="10"/>
      <c r="B159" s="10"/>
      <c r="C159" s="10"/>
      <c r="D159" s="10"/>
      <c r="E159" s="10"/>
      <c r="F159" s="10"/>
      <c r="G159" s="10"/>
      <c r="H159" s="11"/>
      <c r="I159" s="11"/>
      <c r="J159" s="10"/>
      <c r="K159" s="10"/>
      <c r="L159" s="11"/>
    </row>
    <row r="160" spans="1:12">
      <c r="A160" s="10"/>
      <c r="B160" s="10"/>
      <c r="C160" s="10"/>
      <c r="D160" s="10"/>
      <c r="E160" s="10"/>
      <c r="F160" s="10"/>
      <c r="G160" s="10"/>
      <c r="H160" s="11"/>
      <c r="I160" s="11"/>
      <c r="J160" s="10"/>
      <c r="K160" s="10"/>
      <c r="L160" s="11"/>
    </row>
    <row r="161" spans="1:12">
      <c r="A161" s="10"/>
      <c r="B161" s="10"/>
      <c r="C161" s="10"/>
      <c r="D161" s="10"/>
      <c r="E161" s="10"/>
      <c r="F161" s="10"/>
      <c r="G161" s="10"/>
      <c r="H161" s="11"/>
      <c r="I161" s="11"/>
      <c r="J161" s="10"/>
      <c r="K161" s="10"/>
      <c r="L161" s="11"/>
    </row>
    <row r="162" spans="1:12">
      <c r="A162" s="10"/>
      <c r="B162" s="10"/>
      <c r="C162" s="10"/>
      <c r="D162" s="10"/>
      <c r="E162" s="10"/>
      <c r="F162" s="10"/>
      <c r="G162" s="10"/>
      <c r="H162" s="11"/>
      <c r="I162" s="11"/>
      <c r="J162" s="10"/>
      <c r="K162" s="10"/>
      <c r="L162" s="11"/>
    </row>
    <row r="163" spans="1:12">
      <c r="A163" s="10"/>
      <c r="B163" s="10"/>
      <c r="C163" s="10"/>
      <c r="D163" s="10"/>
      <c r="E163" s="10"/>
      <c r="F163" s="10"/>
      <c r="G163" s="10"/>
      <c r="H163" s="11"/>
      <c r="I163" s="11"/>
      <c r="J163" s="10"/>
      <c r="K163" s="10"/>
      <c r="L163" s="11"/>
    </row>
    <row r="164" spans="1:12">
      <c r="A164" s="10"/>
      <c r="B164" s="10"/>
      <c r="C164" s="10"/>
      <c r="D164" s="10"/>
      <c r="E164" s="10"/>
      <c r="F164" s="10"/>
      <c r="G164" s="10"/>
      <c r="H164" s="11"/>
      <c r="I164" s="11"/>
      <c r="J164" s="10"/>
      <c r="K164" s="10"/>
      <c r="L164" s="11"/>
    </row>
    <row r="165" spans="1:12">
      <c r="A165" s="10"/>
      <c r="B165" s="10"/>
      <c r="C165" s="10"/>
      <c r="D165" s="10"/>
      <c r="E165" s="10"/>
      <c r="F165" s="10"/>
      <c r="G165" s="10"/>
      <c r="H165" s="11"/>
      <c r="I165" s="11"/>
      <c r="J165" s="10"/>
      <c r="K165" s="10"/>
      <c r="L165" s="11"/>
    </row>
    <row r="166" spans="1:12">
      <c r="A166" s="10"/>
      <c r="B166" s="10"/>
      <c r="C166" s="10"/>
      <c r="D166" s="10"/>
      <c r="E166" s="10"/>
      <c r="F166" s="10"/>
      <c r="G166" s="10"/>
      <c r="H166" s="11"/>
      <c r="I166" s="11"/>
      <c r="J166" s="10"/>
      <c r="K166" s="10"/>
      <c r="L166" s="11"/>
    </row>
    <row r="167" spans="1:12">
      <c r="A167" s="10"/>
      <c r="B167" s="10"/>
      <c r="C167" s="10"/>
      <c r="D167" s="10"/>
      <c r="E167" s="10"/>
      <c r="F167" s="10"/>
      <c r="G167" s="10"/>
      <c r="H167" s="11"/>
      <c r="I167" s="11"/>
      <c r="J167" s="10"/>
      <c r="K167" s="10"/>
      <c r="L167" s="11"/>
    </row>
    <row r="168" spans="1:12">
      <c r="A168" s="10"/>
      <c r="B168" s="10"/>
      <c r="C168" s="10"/>
      <c r="D168" s="10"/>
      <c r="E168" s="10"/>
      <c r="F168" s="10"/>
      <c r="G168" s="10"/>
      <c r="H168" s="11"/>
      <c r="I168" s="11"/>
      <c r="J168" s="10"/>
      <c r="K168" s="10"/>
      <c r="L168" s="11"/>
    </row>
    <row r="169" spans="1:12">
      <c r="A169" s="10"/>
      <c r="B169" s="10"/>
      <c r="C169" s="10"/>
      <c r="D169" s="10"/>
      <c r="E169" s="10"/>
      <c r="F169" s="10"/>
      <c r="G169" s="10"/>
      <c r="H169" s="11"/>
      <c r="I169" s="11"/>
      <c r="J169" s="10"/>
      <c r="K169" s="10"/>
      <c r="L169" s="11"/>
    </row>
    <row r="170" spans="1:12">
      <c r="A170" s="10"/>
      <c r="B170" s="10"/>
      <c r="C170" s="10"/>
      <c r="D170" s="10"/>
      <c r="E170" s="10"/>
      <c r="F170" s="10"/>
      <c r="G170" s="10"/>
      <c r="H170" s="11"/>
      <c r="I170" s="11"/>
      <c r="J170" s="10"/>
      <c r="K170" s="10"/>
      <c r="L170" s="11"/>
    </row>
    <row r="171" spans="1:12">
      <c r="A171" s="10"/>
      <c r="B171" s="10"/>
      <c r="C171" s="10"/>
      <c r="D171" s="10"/>
      <c r="E171" s="10"/>
      <c r="F171" s="10"/>
      <c r="G171" s="10"/>
      <c r="H171" s="11"/>
      <c r="I171" s="11"/>
      <c r="J171" s="10"/>
      <c r="K171" s="10"/>
      <c r="L171" s="11"/>
    </row>
    <row r="172" spans="1:12">
      <c r="A172" s="10"/>
      <c r="B172" s="10"/>
      <c r="C172" s="10"/>
      <c r="D172" s="10"/>
      <c r="E172" s="10"/>
      <c r="F172" s="10"/>
      <c r="G172" s="10"/>
      <c r="H172" s="11"/>
      <c r="I172" s="11"/>
      <c r="J172" s="10"/>
      <c r="K172" s="10"/>
      <c r="L172" s="11"/>
    </row>
    <row r="173" spans="1:12">
      <c r="A173" s="10"/>
      <c r="B173" s="10"/>
      <c r="C173" s="10"/>
      <c r="D173" s="10"/>
      <c r="E173" s="10"/>
      <c r="F173" s="10"/>
      <c r="G173" s="10"/>
      <c r="H173" s="11"/>
      <c r="I173" s="11"/>
      <c r="J173" s="10"/>
      <c r="K173" s="10"/>
      <c r="L173" s="11"/>
    </row>
    <row r="174" spans="1:12">
      <c r="A174" s="10"/>
      <c r="B174" s="10"/>
      <c r="C174" s="10"/>
      <c r="D174" s="10"/>
      <c r="E174" s="10"/>
      <c r="F174" s="10"/>
      <c r="G174" s="10"/>
      <c r="H174" s="11"/>
      <c r="I174" s="11"/>
      <c r="J174" s="10"/>
      <c r="K174" s="10"/>
      <c r="L174" s="11"/>
    </row>
    <row r="175" spans="1:12">
      <c r="A175" s="10"/>
      <c r="B175" s="10"/>
      <c r="C175" s="10"/>
      <c r="D175" s="10"/>
      <c r="E175" s="10"/>
      <c r="F175" s="10"/>
      <c r="G175" s="10"/>
      <c r="H175" s="11"/>
      <c r="I175" s="11"/>
      <c r="J175" s="10"/>
      <c r="K175" s="10"/>
      <c r="L175" s="11"/>
    </row>
    <row r="176" spans="1:12">
      <c r="A176" s="10"/>
      <c r="B176" s="10"/>
      <c r="C176" s="10"/>
      <c r="D176" s="10"/>
      <c r="E176" s="10"/>
      <c r="F176" s="10"/>
      <c r="G176" s="10"/>
      <c r="H176" s="11"/>
      <c r="I176" s="11"/>
      <c r="J176" s="10"/>
      <c r="K176" s="10"/>
      <c r="L176" s="11"/>
    </row>
    <row r="177" spans="1:12">
      <c r="A177" s="10"/>
      <c r="B177" s="10"/>
      <c r="C177" s="10"/>
      <c r="D177" s="10"/>
      <c r="E177" s="10"/>
      <c r="F177" s="10"/>
      <c r="G177" s="10"/>
      <c r="H177" s="11"/>
      <c r="I177" s="11"/>
      <c r="J177" s="10"/>
      <c r="K177" s="10"/>
      <c r="L177" s="11"/>
    </row>
    <row r="178" spans="1:12">
      <c r="A178" s="10"/>
      <c r="B178" s="10"/>
      <c r="C178" s="10"/>
      <c r="D178" s="10"/>
      <c r="E178" s="10"/>
      <c r="F178" s="10"/>
      <c r="G178" s="10"/>
      <c r="H178" s="11"/>
      <c r="I178" s="11"/>
      <c r="J178" s="10"/>
      <c r="K178" s="10"/>
      <c r="L178" s="11"/>
    </row>
    <row r="179" spans="1:12">
      <c r="A179" s="10"/>
      <c r="B179" s="10"/>
      <c r="C179" s="10"/>
      <c r="D179" s="10"/>
      <c r="E179" s="10"/>
      <c r="F179" s="10"/>
      <c r="G179" s="10"/>
      <c r="H179" s="11"/>
      <c r="I179" s="11"/>
      <c r="J179" s="10"/>
      <c r="K179" s="10"/>
      <c r="L179" s="11"/>
    </row>
    <row r="180" spans="1:12">
      <c r="A180" s="10"/>
      <c r="B180" s="10"/>
      <c r="C180" s="10"/>
      <c r="D180" s="10"/>
      <c r="E180" s="10"/>
      <c r="F180" s="10"/>
      <c r="G180" s="10"/>
      <c r="H180" s="11"/>
      <c r="I180" s="11"/>
      <c r="J180" s="10"/>
      <c r="K180" s="10"/>
      <c r="L180" s="11"/>
    </row>
    <row r="181" spans="1:12">
      <c r="A181" s="10"/>
      <c r="B181" s="10"/>
      <c r="C181" s="10"/>
      <c r="D181" s="10"/>
      <c r="E181" s="10"/>
      <c r="F181" s="10"/>
      <c r="G181" s="10"/>
      <c r="H181" s="11"/>
      <c r="I181" s="11"/>
      <c r="J181" s="10"/>
      <c r="K181" s="10"/>
      <c r="L181" s="11"/>
    </row>
    <row r="182" spans="1:12">
      <c r="A182" s="10"/>
      <c r="B182" s="10"/>
      <c r="C182" s="10"/>
      <c r="D182" s="10"/>
      <c r="E182" s="10"/>
      <c r="F182" s="10"/>
      <c r="G182" s="10"/>
      <c r="H182" s="11"/>
      <c r="I182" s="11"/>
      <c r="J182" s="10"/>
      <c r="K182" s="10"/>
      <c r="L182" s="11"/>
    </row>
    <row r="183" spans="1:12">
      <c r="A183" s="10"/>
      <c r="B183" s="10"/>
      <c r="C183" s="10"/>
      <c r="D183" s="10"/>
      <c r="E183" s="10"/>
      <c r="F183" s="10"/>
      <c r="G183" s="10"/>
      <c r="H183" s="11"/>
      <c r="I183" s="11"/>
      <c r="J183" s="10"/>
      <c r="K183" s="10"/>
      <c r="L183" s="11"/>
    </row>
    <row r="184" spans="1:12">
      <c r="A184" s="10"/>
      <c r="B184" s="10"/>
      <c r="C184" s="10"/>
      <c r="D184" s="10"/>
      <c r="E184" s="10"/>
      <c r="F184" s="10"/>
      <c r="G184" s="10"/>
      <c r="H184" s="11"/>
      <c r="I184" s="11"/>
      <c r="J184" s="10"/>
      <c r="K184" s="10"/>
      <c r="L184" s="11"/>
    </row>
    <row r="185" spans="1:12">
      <c r="A185" s="10"/>
      <c r="B185" s="10"/>
      <c r="C185" s="10"/>
      <c r="D185" s="10"/>
      <c r="E185" s="10"/>
      <c r="F185" s="10"/>
      <c r="G185" s="10"/>
      <c r="H185" s="11"/>
      <c r="I185" s="11"/>
      <c r="J185" s="10"/>
      <c r="K185" s="10"/>
      <c r="L185" s="11"/>
    </row>
    <row r="186" spans="1:12">
      <c r="A186" s="10"/>
      <c r="B186" s="10"/>
      <c r="C186" s="10"/>
      <c r="D186" s="10"/>
      <c r="E186" s="10"/>
      <c r="F186" s="10"/>
      <c r="G186" s="10"/>
      <c r="H186" s="11"/>
      <c r="I186" s="11"/>
      <c r="J186" s="10"/>
      <c r="K186" s="10"/>
      <c r="L186" s="11"/>
    </row>
    <row r="187" spans="1:12">
      <c r="A187" s="10"/>
      <c r="B187" s="10"/>
      <c r="C187" s="10"/>
      <c r="D187" s="10"/>
      <c r="E187" s="10"/>
      <c r="F187" s="10"/>
      <c r="G187" s="10"/>
      <c r="H187" s="11"/>
      <c r="I187" s="11"/>
      <c r="J187" s="10"/>
      <c r="K187" s="10"/>
      <c r="L187" s="11"/>
    </row>
    <row r="188" spans="1:12">
      <c r="A188" s="10"/>
      <c r="B188" s="10"/>
      <c r="C188" s="10"/>
      <c r="D188" s="10"/>
      <c r="E188" s="10"/>
      <c r="F188" s="10"/>
      <c r="G188" s="10"/>
      <c r="H188" s="11"/>
      <c r="I188" s="11"/>
      <c r="J188" s="10"/>
      <c r="K188" s="10"/>
      <c r="L188" s="11"/>
    </row>
    <row r="189" spans="1:12">
      <c r="A189" s="10"/>
      <c r="B189" s="10"/>
      <c r="C189" s="10"/>
      <c r="D189" s="10"/>
      <c r="E189" s="10"/>
      <c r="F189" s="10"/>
      <c r="G189" s="10"/>
      <c r="H189" s="11"/>
      <c r="I189" s="11"/>
      <c r="J189" s="10"/>
      <c r="K189" s="10"/>
      <c r="L189" s="11"/>
    </row>
    <row r="190" spans="1:12">
      <c r="A190" s="10"/>
      <c r="B190" s="10"/>
      <c r="C190" s="10"/>
      <c r="D190" s="10"/>
      <c r="E190" s="10"/>
      <c r="F190" s="10"/>
      <c r="G190" s="10"/>
      <c r="H190" s="11"/>
      <c r="I190" s="11"/>
      <c r="J190" s="10"/>
      <c r="K190" s="10"/>
      <c r="L190" s="11"/>
    </row>
    <row r="191" spans="1:12">
      <c r="A191" s="10"/>
      <c r="B191" s="10"/>
      <c r="C191" s="10"/>
      <c r="D191" s="10"/>
      <c r="E191" s="10"/>
      <c r="F191" s="10"/>
      <c r="G191" s="10"/>
      <c r="H191" s="11"/>
      <c r="I191" s="11"/>
      <c r="J191" s="10"/>
      <c r="K191" s="10"/>
      <c r="L191" s="11"/>
    </row>
    <row r="192" spans="1:12">
      <c r="A192" s="10"/>
      <c r="B192" s="10"/>
      <c r="C192" s="10"/>
      <c r="D192" s="10"/>
      <c r="E192" s="10"/>
      <c r="F192" s="10"/>
      <c r="G192" s="10"/>
      <c r="H192" s="11"/>
      <c r="I192" s="11"/>
      <c r="J192" s="10"/>
      <c r="K192" s="10"/>
      <c r="L192" s="11"/>
    </row>
    <row r="193" spans="1:12">
      <c r="A193" s="10"/>
      <c r="B193" s="10"/>
      <c r="C193" s="10"/>
      <c r="D193" s="10"/>
      <c r="E193" s="10"/>
      <c r="F193" s="10"/>
      <c r="G193" s="10"/>
      <c r="H193" s="11"/>
      <c r="I193" s="11"/>
      <c r="J193" s="10"/>
      <c r="K193" s="10"/>
      <c r="L193" s="11"/>
    </row>
    <row r="194" spans="1:12">
      <c r="A194" s="10"/>
      <c r="B194" s="10"/>
      <c r="C194" s="10"/>
      <c r="D194" s="10"/>
      <c r="E194" s="10"/>
      <c r="F194" s="10"/>
      <c r="G194" s="10"/>
      <c r="H194" s="11"/>
      <c r="I194" s="11"/>
      <c r="J194" s="10"/>
      <c r="K194" s="10"/>
      <c r="L194" s="11"/>
    </row>
    <row r="195" spans="1:12">
      <c r="A195" s="10"/>
      <c r="B195" s="10"/>
      <c r="C195" s="10"/>
      <c r="D195" s="10"/>
      <c r="E195" s="10"/>
      <c r="F195" s="10"/>
      <c r="G195" s="10"/>
      <c r="H195" s="11"/>
      <c r="I195" s="11"/>
      <c r="J195" s="10"/>
      <c r="K195" s="10"/>
      <c r="L195" s="11"/>
    </row>
    <row r="196" spans="1:12">
      <c r="A196" s="10"/>
      <c r="B196" s="10"/>
      <c r="C196" s="10"/>
      <c r="D196" s="10"/>
      <c r="E196" s="10"/>
      <c r="F196" s="10"/>
      <c r="G196" s="10"/>
      <c r="H196" s="11"/>
      <c r="I196" s="11"/>
      <c r="J196" s="10"/>
      <c r="K196" s="10"/>
      <c r="L196" s="11"/>
    </row>
    <row r="197" spans="1:12">
      <c r="A197" s="10"/>
      <c r="B197" s="10"/>
      <c r="C197" s="10"/>
      <c r="D197" s="10"/>
      <c r="E197" s="10"/>
      <c r="F197" s="10"/>
      <c r="G197" s="10"/>
      <c r="H197" s="11"/>
      <c r="I197" s="11"/>
      <c r="J197" s="10"/>
      <c r="K197" s="10"/>
      <c r="L197" s="11"/>
    </row>
    <row r="198" spans="1:12">
      <c r="A198" s="10"/>
      <c r="B198" s="10"/>
      <c r="C198" s="10"/>
      <c r="D198" s="10"/>
      <c r="E198" s="10"/>
      <c r="F198" s="10"/>
      <c r="G198" s="10"/>
      <c r="H198" s="11"/>
      <c r="I198" s="11"/>
      <c r="J198" s="10"/>
      <c r="K198" s="10"/>
      <c r="L198" s="11"/>
    </row>
    <row r="199" spans="1:12">
      <c r="A199" s="10"/>
      <c r="B199" s="10"/>
      <c r="C199" s="10"/>
      <c r="D199" s="10"/>
      <c r="E199" s="10"/>
      <c r="F199" s="10"/>
      <c r="G199" s="10"/>
      <c r="H199" s="11"/>
      <c r="I199" s="11"/>
      <c r="J199" s="10"/>
      <c r="K199" s="10"/>
      <c r="L199" s="11"/>
    </row>
    <row r="200" spans="1:12">
      <c r="A200" s="10"/>
      <c r="B200" s="10"/>
      <c r="C200" s="10"/>
      <c r="D200" s="10"/>
      <c r="E200" s="10"/>
      <c r="F200" s="10"/>
      <c r="G200" s="10"/>
      <c r="H200" s="11"/>
      <c r="I200" s="11"/>
      <c r="J200" s="10"/>
      <c r="K200" s="10"/>
      <c r="L200" s="11"/>
    </row>
    <row r="201" spans="1:12">
      <c r="A201" s="10"/>
      <c r="B201" s="10"/>
      <c r="C201" s="10"/>
      <c r="D201" s="10"/>
      <c r="E201" s="10"/>
      <c r="F201" s="10"/>
      <c r="G201" s="10"/>
      <c r="H201" s="11"/>
      <c r="I201" s="11"/>
      <c r="J201" s="10"/>
      <c r="K201" s="10"/>
      <c r="L201" s="11"/>
    </row>
    <row r="202" spans="1:12">
      <c r="A202" s="10"/>
      <c r="B202" s="10"/>
      <c r="C202" s="10"/>
      <c r="D202" s="10"/>
      <c r="E202" s="10"/>
      <c r="F202" s="10"/>
      <c r="G202" s="10"/>
      <c r="H202" s="11"/>
      <c r="I202" s="11"/>
      <c r="J202" s="10"/>
      <c r="K202" s="10"/>
      <c r="L202" s="11"/>
    </row>
    <row r="203" spans="1:12">
      <c r="A203" s="10"/>
      <c r="B203" s="10"/>
      <c r="C203" s="10"/>
      <c r="D203" s="10"/>
      <c r="E203" s="10"/>
      <c r="F203" s="10"/>
      <c r="G203" s="10"/>
      <c r="H203" s="11"/>
      <c r="I203" s="11"/>
      <c r="J203" s="10"/>
      <c r="K203" s="10"/>
      <c r="L203" s="11"/>
    </row>
    <row r="204" spans="1:12">
      <c r="A204" s="10"/>
      <c r="B204" s="10"/>
      <c r="C204" s="10"/>
      <c r="D204" s="10"/>
      <c r="E204" s="10"/>
      <c r="F204" s="10"/>
      <c r="G204" s="10"/>
      <c r="H204" s="11"/>
      <c r="I204" s="11"/>
      <c r="J204" s="10"/>
      <c r="K204" s="10"/>
      <c r="L204" s="11"/>
    </row>
    <row r="205" spans="1:12">
      <c r="A205" s="10"/>
      <c r="B205" s="10"/>
      <c r="C205" s="10"/>
      <c r="D205" s="10"/>
      <c r="E205" s="10"/>
      <c r="F205" s="10"/>
      <c r="G205" s="10"/>
      <c r="H205" s="11"/>
      <c r="I205" s="11"/>
      <c r="J205" s="10"/>
      <c r="K205" s="10"/>
      <c r="L205" s="11"/>
    </row>
    <row r="206" spans="1:12">
      <c r="A206" s="10"/>
      <c r="B206" s="10"/>
      <c r="C206" s="10"/>
      <c r="D206" s="10"/>
      <c r="E206" s="10"/>
      <c r="F206" s="10"/>
      <c r="G206" s="10"/>
      <c r="H206" s="11"/>
      <c r="I206" s="11"/>
      <c r="J206" s="10"/>
      <c r="K206" s="10"/>
      <c r="L206" s="11"/>
    </row>
    <row r="207" spans="1:12">
      <c r="A207" s="10"/>
      <c r="B207" s="10"/>
      <c r="C207" s="10"/>
      <c r="D207" s="10"/>
      <c r="E207" s="10"/>
      <c r="F207" s="10"/>
      <c r="G207" s="10"/>
      <c r="H207" s="11"/>
      <c r="I207" s="11"/>
      <c r="J207" s="10"/>
      <c r="K207" s="10"/>
      <c r="L207" s="11"/>
    </row>
    <row r="208" spans="1:12">
      <c r="A208" s="10"/>
      <c r="B208" s="10"/>
      <c r="C208" s="10"/>
      <c r="D208" s="10"/>
      <c r="E208" s="10"/>
      <c r="F208" s="10"/>
      <c r="G208" s="10"/>
      <c r="H208" s="11"/>
      <c r="I208" s="11"/>
      <c r="J208" s="10"/>
      <c r="K208" s="10"/>
      <c r="L208" s="11"/>
    </row>
    <row r="209" spans="1:12">
      <c r="A209" s="10"/>
      <c r="B209" s="10"/>
      <c r="C209" s="10"/>
      <c r="D209" s="10"/>
      <c r="E209" s="10"/>
      <c r="F209" s="10"/>
      <c r="G209" s="10"/>
      <c r="H209" s="11"/>
      <c r="I209" s="11"/>
      <c r="J209" s="10"/>
      <c r="K209" s="10"/>
      <c r="L209" s="11"/>
    </row>
    <row r="210" spans="1:12">
      <c r="A210" s="10"/>
      <c r="B210" s="10"/>
      <c r="C210" s="10"/>
      <c r="D210" s="10"/>
      <c r="E210" s="10"/>
      <c r="F210" s="10"/>
      <c r="G210" s="10"/>
      <c r="H210" s="11"/>
      <c r="I210" s="11"/>
      <c r="J210" s="10"/>
      <c r="K210" s="10"/>
      <c r="L210" s="11"/>
    </row>
    <row r="211" spans="1:12">
      <c r="A211" s="10"/>
      <c r="B211" s="10"/>
      <c r="C211" s="10"/>
      <c r="D211" s="10"/>
      <c r="E211" s="10"/>
      <c r="F211" s="10"/>
      <c r="G211" s="10"/>
      <c r="H211" s="11"/>
      <c r="I211" s="11"/>
      <c r="J211" s="10"/>
      <c r="K211" s="10"/>
      <c r="L211" s="11"/>
    </row>
    <row r="212" spans="1:12">
      <c r="A212" s="10"/>
      <c r="B212" s="10"/>
      <c r="C212" s="10"/>
      <c r="D212" s="10"/>
      <c r="E212" s="10"/>
      <c r="F212" s="10"/>
      <c r="G212" s="10"/>
      <c r="H212" s="11"/>
      <c r="I212" s="11"/>
      <c r="J212" s="10"/>
      <c r="K212" s="10"/>
      <c r="L212" s="11"/>
    </row>
    <row r="213" spans="1:12">
      <c r="A213" s="10"/>
      <c r="B213" s="10"/>
      <c r="C213" s="10"/>
      <c r="D213" s="10"/>
      <c r="E213" s="10"/>
      <c r="F213" s="10"/>
      <c r="G213" s="10"/>
      <c r="H213" s="11"/>
      <c r="I213" s="11"/>
      <c r="J213" s="10"/>
      <c r="K213" s="10"/>
      <c r="L213" s="11"/>
    </row>
    <row r="214" spans="1:12">
      <c r="A214" s="10"/>
      <c r="B214" s="10"/>
      <c r="C214" s="10"/>
      <c r="D214" s="10"/>
      <c r="E214" s="10"/>
      <c r="F214" s="10"/>
      <c r="G214" s="10"/>
      <c r="H214" s="11"/>
      <c r="I214" s="11"/>
      <c r="J214" s="10"/>
      <c r="K214" s="10"/>
      <c r="L214" s="11"/>
    </row>
    <row r="215" spans="1:12">
      <c r="A215" s="10"/>
      <c r="B215" s="10"/>
      <c r="C215" s="10"/>
      <c r="D215" s="10"/>
      <c r="E215" s="10"/>
      <c r="F215" s="10"/>
      <c r="G215" s="10"/>
      <c r="H215" s="11"/>
      <c r="I215" s="11"/>
      <c r="J215" s="10"/>
      <c r="K215" s="10"/>
      <c r="L215" s="11"/>
    </row>
    <row r="216" spans="1:12">
      <c r="A216" s="10"/>
      <c r="B216" s="10"/>
      <c r="C216" s="10"/>
      <c r="D216" s="10"/>
      <c r="E216" s="10"/>
      <c r="F216" s="10"/>
      <c r="G216" s="10"/>
      <c r="H216" s="11"/>
      <c r="I216" s="11"/>
      <c r="J216" s="10"/>
      <c r="K216" s="10"/>
      <c r="L216" s="11"/>
    </row>
    <row r="217" spans="1:12">
      <c r="A217" s="10"/>
      <c r="B217" s="10"/>
      <c r="C217" s="10"/>
      <c r="D217" s="10"/>
      <c r="E217" s="10"/>
      <c r="F217" s="10"/>
      <c r="G217" s="10"/>
      <c r="H217" s="11"/>
      <c r="I217" s="11"/>
      <c r="J217" s="10"/>
      <c r="K217" s="10"/>
      <c r="L217" s="11"/>
    </row>
    <row r="218" spans="1:12">
      <c r="A218" s="10"/>
      <c r="B218" s="10"/>
      <c r="C218" s="10"/>
      <c r="D218" s="10"/>
      <c r="E218" s="10"/>
      <c r="F218" s="10"/>
      <c r="G218" s="10"/>
      <c r="H218" s="11"/>
      <c r="I218" s="11"/>
      <c r="J218" s="10"/>
      <c r="K218" s="10"/>
      <c r="L218" s="11"/>
    </row>
    <row r="219" spans="1:12">
      <c r="A219" s="10"/>
      <c r="B219" s="10"/>
      <c r="C219" s="10"/>
      <c r="D219" s="10"/>
      <c r="E219" s="10"/>
      <c r="F219" s="10"/>
      <c r="G219" s="10"/>
      <c r="H219" s="11"/>
      <c r="I219" s="11"/>
      <c r="J219" s="10"/>
      <c r="K219" s="10"/>
      <c r="L219" s="11"/>
    </row>
    <row r="220" spans="1:12">
      <c r="A220" s="10"/>
      <c r="B220" s="10"/>
      <c r="C220" s="10"/>
      <c r="D220" s="10"/>
      <c r="E220" s="10"/>
      <c r="F220" s="10"/>
      <c r="G220" s="10"/>
      <c r="H220" s="11"/>
      <c r="I220" s="11"/>
      <c r="J220" s="10"/>
      <c r="K220" s="10"/>
      <c r="L220" s="11"/>
    </row>
    <row r="221" spans="1:12">
      <c r="A221" s="10"/>
      <c r="B221" s="10"/>
      <c r="C221" s="10"/>
      <c r="D221" s="10"/>
      <c r="E221" s="10"/>
      <c r="F221" s="10"/>
      <c r="G221" s="10"/>
      <c r="H221" s="11"/>
      <c r="I221" s="11"/>
      <c r="J221" s="10"/>
      <c r="K221" s="10"/>
      <c r="L221" s="11"/>
    </row>
    <row r="222" spans="1:12">
      <c r="A222" s="10"/>
      <c r="B222" s="10"/>
      <c r="C222" s="10"/>
      <c r="D222" s="10"/>
      <c r="E222" s="10"/>
      <c r="F222" s="10"/>
      <c r="G222" s="10"/>
      <c r="H222" s="11"/>
      <c r="I222" s="11"/>
      <c r="J222" s="10"/>
      <c r="K222" s="10"/>
      <c r="L222" s="11"/>
    </row>
    <row r="223" spans="1:12">
      <c r="A223" s="10"/>
      <c r="B223" s="10"/>
      <c r="C223" s="10"/>
      <c r="D223" s="10"/>
      <c r="E223" s="10"/>
      <c r="F223" s="10"/>
      <c r="G223" s="10"/>
      <c r="H223" s="11"/>
      <c r="I223" s="11"/>
      <c r="J223" s="10"/>
      <c r="K223" s="10"/>
      <c r="L223" s="11"/>
    </row>
    <row r="224" spans="1:12">
      <c r="A224" s="10"/>
      <c r="B224" s="10"/>
      <c r="C224" s="10"/>
      <c r="D224" s="10"/>
      <c r="E224" s="10"/>
      <c r="F224" s="10"/>
      <c r="G224" s="10"/>
      <c r="H224" s="11"/>
      <c r="I224" s="11"/>
      <c r="J224" s="10"/>
      <c r="K224" s="10"/>
      <c r="L224" s="11"/>
    </row>
    <row r="225" spans="1:12">
      <c r="A225" s="10"/>
      <c r="B225" s="10"/>
      <c r="C225" s="10"/>
      <c r="D225" s="10"/>
      <c r="E225" s="10"/>
      <c r="F225" s="10"/>
      <c r="G225" s="10"/>
      <c r="H225" s="11"/>
      <c r="I225" s="11"/>
      <c r="J225" s="10"/>
      <c r="K225" s="10"/>
      <c r="L225" s="11"/>
    </row>
    <row r="226" spans="1:12">
      <c r="A226" s="10"/>
      <c r="B226" s="10"/>
      <c r="C226" s="10"/>
      <c r="D226" s="10"/>
      <c r="E226" s="10"/>
      <c r="F226" s="10"/>
      <c r="G226" s="10"/>
      <c r="H226" s="11"/>
      <c r="I226" s="11"/>
      <c r="J226" s="10"/>
      <c r="K226" s="10"/>
      <c r="L226" s="11"/>
    </row>
    <row r="227" spans="1:12">
      <c r="A227" s="10"/>
      <c r="B227" s="10"/>
      <c r="C227" s="10"/>
      <c r="D227" s="10"/>
      <c r="E227" s="10"/>
      <c r="F227" s="10"/>
      <c r="G227" s="10"/>
      <c r="H227" s="11"/>
      <c r="I227" s="11"/>
      <c r="J227" s="10"/>
      <c r="K227" s="10"/>
      <c r="L227" s="11"/>
    </row>
    <row r="228" spans="1:12">
      <c r="A228" s="10"/>
      <c r="B228" s="10"/>
      <c r="C228" s="10"/>
      <c r="D228" s="10"/>
      <c r="E228" s="10"/>
      <c r="F228" s="10"/>
      <c r="G228" s="10"/>
      <c r="H228" s="11"/>
      <c r="I228" s="11"/>
      <c r="J228" s="10"/>
      <c r="K228" s="10"/>
      <c r="L228" s="11"/>
    </row>
    <row r="229" spans="1:12">
      <c r="A229" s="10"/>
      <c r="B229" s="10"/>
      <c r="C229" s="10"/>
      <c r="D229" s="10"/>
      <c r="E229" s="10"/>
      <c r="F229" s="10"/>
      <c r="G229" s="10"/>
      <c r="H229" s="11"/>
      <c r="I229" s="11"/>
      <c r="J229" s="10"/>
      <c r="K229" s="10"/>
      <c r="L229" s="11"/>
    </row>
    <row r="230" spans="1:12">
      <c r="A230" s="10"/>
      <c r="B230" s="10"/>
      <c r="C230" s="10"/>
      <c r="D230" s="10"/>
      <c r="E230" s="10"/>
      <c r="F230" s="10"/>
      <c r="G230" s="10"/>
      <c r="H230" s="11"/>
      <c r="I230" s="11"/>
      <c r="J230" s="10"/>
      <c r="K230" s="10"/>
      <c r="L230" s="11"/>
    </row>
    <row r="231" spans="1:12">
      <c r="A231" s="10"/>
      <c r="B231" s="10"/>
      <c r="C231" s="10"/>
      <c r="D231" s="10"/>
      <c r="E231" s="10"/>
      <c r="F231" s="10"/>
      <c r="G231" s="10"/>
      <c r="H231" s="11"/>
      <c r="I231" s="11"/>
      <c r="J231" s="10"/>
      <c r="K231" s="10"/>
      <c r="L231" s="11"/>
    </row>
    <row r="232" spans="1:12">
      <c r="A232" s="10"/>
      <c r="B232" s="10"/>
      <c r="C232" s="10"/>
      <c r="D232" s="10"/>
      <c r="E232" s="10"/>
      <c r="F232" s="10"/>
      <c r="G232" s="10"/>
      <c r="H232" s="11"/>
      <c r="I232" s="11"/>
      <c r="J232" s="10"/>
      <c r="K232" s="10"/>
      <c r="L232" s="11"/>
    </row>
    <row r="233" spans="1:12">
      <c r="A233" s="10"/>
      <c r="B233" s="10"/>
      <c r="C233" s="10"/>
      <c r="D233" s="10"/>
      <c r="E233" s="10"/>
      <c r="F233" s="10"/>
      <c r="G233" s="10"/>
      <c r="H233" s="11"/>
      <c r="I233" s="11"/>
      <c r="J233" s="10"/>
      <c r="K233" s="10"/>
      <c r="L233" s="11"/>
    </row>
    <row r="234" spans="1:12">
      <c r="A234" s="10"/>
      <c r="B234" s="10"/>
      <c r="C234" s="10"/>
      <c r="D234" s="10"/>
      <c r="E234" s="10"/>
      <c r="F234" s="10"/>
      <c r="G234" s="10"/>
      <c r="H234" s="11"/>
      <c r="I234" s="11"/>
      <c r="J234" s="10"/>
      <c r="K234" s="10"/>
      <c r="L234" s="11"/>
    </row>
    <row r="235" spans="1:12">
      <c r="A235" s="10"/>
      <c r="B235" s="10"/>
      <c r="C235" s="10"/>
      <c r="D235" s="10"/>
      <c r="E235" s="10"/>
      <c r="F235" s="10"/>
      <c r="G235" s="10"/>
      <c r="H235" s="11"/>
      <c r="I235" s="11"/>
      <c r="J235" s="10"/>
      <c r="K235" s="10"/>
      <c r="L235" s="11"/>
    </row>
    <row r="236" spans="1:12">
      <c r="A236" s="10"/>
      <c r="B236" s="10"/>
      <c r="C236" s="10"/>
      <c r="D236" s="10"/>
      <c r="E236" s="10"/>
      <c r="F236" s="10"/>
      <c r="G236" s="10"/>
      <c r="H236" s="11"/>
      <c r="I236" s="11"/>
      <c r="J236" s="10"/>
      <c r="K236" s="10"/>
      <c r="L236" s="11"/>
    </row>
    <row r="237" spans="1:12">
      <c r="A237" s="10"/>
      <c r="B237" s="10"/>
      <c r="C237" s="10"/>
      <c r="D237" s="10"/>
      <c r="E237" s="10"/>
      <c r="F237" s="10"/>
      <c r="G237" s="10"/>
      <c r="H237" s="11"/>
      <c r="I237" s="11"/>
      <c r="J237" s="10"/>
      <c r="K237" s="10"/>
      <c r="L237" s="11"/>
    </row>
    <row r="238" spans="1:12">
      <c r="A238" s="10"/>
      <c r="B238" s="10"/>
      <c r="C238" s="10"/>
      <c r="D238" s="10"/>
      <c r="E238" s="10"/>
      <c r="F238" s="10"/>
      <c r="G238" s="10"/>
      <c r="H238" s="11"/>
      <c r="I238" s="11"/>
      <c r="J238" s="10"/>
      <c r="K238" s="10"/>
      <c r="L238" s="11"/>
    </row>
    <row r="239" spans="1:12">
      <c r="A239" s="10"/>
      <c r="B239" s="10"/>
      <c r="C239" s="10"/>
      <c r="D239" s="10"/>
      <c r="E239" s="10"/>
      <c r="F239" s="10"/>
      <c r="G239" s="10"/>
      <c r="H239" s="11"/>
      <c r="I239" s="11"/>
      <c r="J239" s="10"/>
      <c r="K239" s="10"/>
      <c r="L239" s="11"/>
    </row>
    <row r="240" spans="1:12">
      <c r="A240" s="10"/>
      <c r="B240" s="10"/>
      <c r="C240" s="10"/>
      <c r="D240" s="10"/>
      <c r="E240" s="10"/>
      <c r="F240" s="10"/>
      <c r="G240" s="10"/>
      <c r="H240" s="11"/>
      <c r="I240" s="11"/>
      <c r="J240" s="10"/>
      <c r="K240" s="10"/>
      <c r="L240" s="11"/>
    </row>
    <row r="241" spans="1:12">
      <c r="A241" s="10"/>
      <c r="B241" s="10"/>
      <c r="C241" s="10"/>
      <c r="D241" s="10"/>
      <c r="E241" s="10"/>
      <c r="F241" s="10"/>
      <c r="G241" s="10"/>
      <c r="H241" s="11"/>
      <c r="I241" s="11"/>
      <c r="J241" s="10"/>
      <c r="K241" s="10"/>
      <c r="L241" s="11"/>
    </row>
    <row r="242" spans="1:12">
      <c r="A242" s="10"/>
      <c r="B242" s="10"/>
      <c r="C242" s="10"/>
      <c r="D242" s="10"/>
      <c r="E242" s="10"/>
      <c r="F242" s="10"/>
      <c r="G242" s="10"/>
      <c r="H242" s="11"/>
      <c r="I242" s="11"/>
      <c r="J242" s="10"/>
      <c r="K242" s="10"/>
      <c r="L242" s="11"/>
    </row>
    <row r="243" spans="1:12">
      <c r="A243" s="10"/>
      <c r="B243" s="10"/>
      <c r="C243" s="10"/>
      <c r="D243" s="10"/>
      <c r="E243" s="10"/>
      <c r="F243" s="10"/>
      <c r="G243" s="10"/>
      <c r="H243" s="11"/>
      <c r="I243" s="11"/>
      <c r="J243" s="10"/>
      <c r="K243" s="10"/>
      <c r="L243" s="11"/>
    </row>
    <row r="244" spans="1:12">
      <c r="A244" s="10"/>
      <c r="B244" s="10"/>
      <c r="C244" s="10"/>
      <c r="D244" s="10"/>
      <c r="E244" s="10"/>
      <c r="F244" s="10"/>
      <c r="G244" s="10"/>
      <c r="H244" s="11"/>
      <c r="I244" s="11"/>
      <c r="J244" s="10"/>
      <c r="K244" s="10"/>
      <c r="L244" s="11"/>
    </row>
    <row r="245" spans="1:12">
      <c r="A245" s="10"/>
      <c r="B245" s="10"/>
      <c r="C245" s="10"/>
      <c r="D245" s="10"/>
      <c r="E245" s="10"/>
      <c r="F245" s="10"/>
      <c r="G245" s="10"/>
      <c r="H245" s="11"/>
      <c r="I245" s="11"/>
      <c r="J245" s="10"/>
      <c r="K245" s="10"/>
      <c r="L245" s="11"/>
    </row>
    <row r="246" spans="1:12">
      <c r="A246" s="10"/>
      <c r="B246" s="10"/>
      <c r="C246" s="10"/>
      <c r="D246" s="10"/>
      <c r="E246" s="10"/>
      <c r="F246" s="10"/>
      <c r="G246" s="10"/>
      <c r="H246" s="11"/>
      <c r="I246" s="11"/>
      <c r="J246" s="10"/>
      <c r="K246" s="10"/>
      <c r="L246" s="11"/>
    </row>
    <row r="247" spans="1:12">
      <c r="A247" s="10"/>
      <c r="B247" s="10"/>
      <c r="C247" s="10"/>
      <c r="D247" s="10"/>
      <c r="E247" s="10"/>
      <c r="F247" s="10"/>
      <c r="G247" s="10"/>
      <c r="H247" s="11"/>
      <c r="I247" s="11"/>
      <c r="J247" s="10"/>
      <c r="K247" s="10"/>
      <c r="L247" s="11"/>
    </row>
    <row r="248" spans="1:12">
      <c r="A248" s="10"/>
      <c r="B248" s="10"/>
      <c r="C248" s="10"/>
      <c r="D248" s="10"/>
      <c r="E248" s="10"/>
      <c r="F248" s="10"/>
      <c r="G248" s="10"/>
      <c r="H248" s="11"/>
      <c r="I248" s="11"/>
      <c r="J248" s="10"/>
      <c r="K248" s="10"/>
      <c r="L248" s="11"/>
    </row>
    <row r="249" spans="1:12">
      <c r="A249" s="10"/>
      <c r="B249" s="10"/>
      <c r="C249" s="10"/>
      <c r="D249" s="10"/>
      <c r="E249" s="10"/>
      <c r="F249" s="10"/>
      <c r="G249" s="10"/>
      <c r="H249" s="11"/>
      <c r="I249" s="11"/>
      <c r="J249" s="10"/>
      <c r="K249" s="10"/>
      <c r="L249" s="11"/>
    </row>
    <row r="250" spans="1:12">
      <c r="A250" s="10"/>
      <c r="B250" s="10"/>
      <c r="C250" s="10"/>
      <c r="D250" s="10"/>
      <c r="E250" s="10"/>
      <c r="F250" s="10"/>
      <c r="G250" s="10"/>
      <c r="H250" s="11"/>
      <c r="I250" s="11"/>
      <c r="J250" s="10"/>
      <c r="K250" s="10"/>
      <c r="L250" s="11"/>
    </row>
  </sheetData>
  <mergeCells count="2">
    <mergeCell ref="A2:L2"/>
    <mergeCell ref="A1:L1"/>
  </mergeCells>
  <conditionalFormatting sqref="B4:B250">
    <cfRule type="expression" dxfId="1" priority="1">
      <formula>LEN($B4)=0</formula>
    </cfRule>
  </conditionalFormatting>
  <dataValidations count="3">
    <dataValidation type="list" allowBlank="1" sqref="B4:B250" xr:uid="{00000000-0002-0000-1400-000000000000}">
      <formula1>TechIDs</formula1>
    </dataValidation>
    <dataValidation type="list" allowBlank="1" sqref="E4:E250" xr:uid="{00000000-0002-0000-1400-000001000000}">
      <formula1>KPI_Tecnici</formula1>
    </dataValidation>
    <dataValidation type="list" allowBlank="1" sqref="K4:K250" xr:uid="{00000000-0002-0000-1400-000002000000}">
      <formula1>SourceIDs</formula1>
    </dataValidation>
  </dataValidation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F766E"/>
  </sheetPr>
  <dimension ref="A1:L250"/>
  <sheetViews>
    <sheetView showGridLines="0" workbookViewId="0">
      <selection activeCell="I15" sqref="I15"/>
    </sheetView>
  </sheetViews>
  <sheetFormatPr defaultRowHeight="14.45"/>
  <cols>
    <col min="1" max="1" width="14" customWidth="1"/>
    <col min="2" max="2" width="10" customWidth="1"/>
    <col min="3" max="3" width="22" customWidth="1"/>
    <col min="4" max="4" width="16" customWidth="1"/>
    <col min="5" max="5" width="18" customWidth="1"/>
    <col min="6" max="6" width="28" customWidth="1"/>
    <col min="7" max="7" width="20" customWidth="1"/>
    <col min="8" max="8" width="16" customWidth="1"/>
    <col min="9" max="9" width="18" customWidth="1"/>
    <col min="10" max="10" width="14" customWidth="1"/>
    <col min="11" max="11" width="12" customWidth="1"/>
    <col min="12" max="12" width="24" customWidth="1"/>
  </cols>
  <sheetData>
    <row r="1" spans="1:12" ht="24" customHeight="1">
      <c r="A1" s="28" t="s">
        <v>3934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36" customHeight="1">
      <c r="A2" s="29" t="s">
        <v>3935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27.95" customHeight="1">
      <c r="A3" s="9" t="s">
        <v>203</v>
      </c>
      <c r="B3" s="9" t="s">
        <v>64</v>
      </c>
      <c r="C3" s="9" t="s">
        <v>23</v>
      </c>
      <c r="D3" s="9" t="s">
        <v>199</v>
      </c>
      <c r="E3" s="9" t="s">
        <v>30</v>
      </c>
      <c r="F3" s="9" t="s">
        <v>3936</v>
      </c>
      <c r="G3" s="9" t="s">
        <v>3937</v>
      </c>
      <c r="H3" s="9" t="s">
        <v>3938</v>
      </c>
      <c r="I3" s="9" t="s">
        <v>2177</v>
      </c>
      <c r="J3" s="9" t="s">
        <v>3939</v>
      </c>
      <c r="K3" s="9" t="s">
        <v>1061</v>
      </c>
      <c r="L3" s="9" t="s">
        <v>1062</v>
      </c>
    </row>
    <row r="4" spans="1:12" ht="57.95" customHeight="1">
      <c r="A4" s="10"/>
      <c r="B4" s="10"/>
      <c r="C4" s="10"/>
      <c r="D4" s="10"/>
      <c r="E4" s="10"/>
      <c r="F4" s="11"/>
      <c r="G4" s="11"/>
      <c r="H4" s="10"/>
      <c r="I4" s="10"/>
      <c r="J4" s="10"/>
      <c r="K4" s="10"/>
      <c r="L4" s="11"/>
    </row>
    <row r="5" spans="1:12" ht="43.5" customHeight="1">
      <c r="A5" s="10"/>
      <c r="B5" s="10"/>
      <c r="C5" s="10"/>
      <c r="D5" s="10"/>
      <c r="E5" s="10"/>
      <c r="F5" s="11"/>
      <c r="G5" s="11"/>
      <c r="H5" s="10"/>
      <c r="I5" s="10"/>
      <c r="J5" s="10"/>
      <c r="K5" s="10"/>
      <c r="L5" s="11"/>
    </row>
    <row r="6" spans="1:12" ht="43.5" customHeight="1">
      <c r="A6" s="10"/>
      <c r="B6" s="10"/>
      <c r="C6" s="10"/>
      <c r="D6" s="10"/>
      <c r="E6" s="10"/>
      <c r="F6" s="11"/>
      <c r="G6" s="11"/>
      <c r="H6" s="10"/>
      <c r="I6" s="10"/>
      <c r="J6" s="10"/>
      <c r="K6" s="10"/>
      <c r="L6" s="11"/>
    </row>
    <row r="7" spans="1:12" ht="43.5" customHeight="1">
      <c r="A7" s="10"/>
      <c r="B7" s="10"/>
      <c r="C7" s="10"/>
      <c r="D7" s="10"/>
      <c r="E7" s="10"/>
      <c r="F7" s="11"/>
      <c r="G7" s="11"/>
      <c r="H7" s="10"/>
      <c r="I7" s="10"/>
      <c r="J7" s="10"/>
      <c r="K7" s="10"/>
      <c r="L7" s="11"/>
    </row>
    <row r="8" spans="1:12" ht="43.5" customHeight="1">
      <c r="A8" s="10"/>
      <c r="B8" s="10"/>
      <c r="C8" s="10"/>
      <c r="D8" s="10"/>
      <c r="E8" s="10"/>
      <c r="F8" s="11"/>
      <c r="G8" s="11"/>
      <c r="H8" s="10"/>
      <c r="I8" s="10"/>
      <c r="J8" s="10"/>
      <c r="K8" s="10"/>
      <c r="L8" s="11"/>
    </row>
    <row r="9" spans="1:12" ht="43.5" customHeight="1">
      <c r="A9" s="10"/>
      <c r="B9" s="10"/>
      <c r="C9" s="10"/>
      <c r="D9" s="10"/>
      <c r="E9" s="10"/>
      <c r="F9" s="11"/>
      <c r="G9" s="11"/>
      <c r="H9" s="10"/>
      <c r="I9" s="10"/>
      <c r="J9" s="10"/>
      <c r="K9" s="10"/>
      <c r="L9" s="11"/>
    </row>
    <row r="10" spans="1:12" ht="43.5" customHeight="1">
      <c r="A10" s="10"/>
      <c r="B10" s="10"/>
      <c r="C10" s="10"/>
      <c r="D10" s="10"/>
      <c r="E10" s="10"/>
      <c r="F10" s="11"/>
      <c r="G10" s="11"/>
      <c r="H10" s="10"/>
      <c r="I10" s="10"/>
      <c r="J10" s="10"/>
      <c r="K10" s="10"/>
      <c r="L10" s="11"/>
    </row>
    <row r="11" spans="1:12" ht="57.95" customHeight="1">
      <c r="A11" s="10"/>
      <c r="B11" s="10"/>
      <c r="C11" s="10"/>
      <c r="D11" s="10"/>
      <c r="E11" s="10"/>
      <c r="F11" s="11"/>
      <c r="G11" s="11"/>
      <c r="H11" s="10"/>
      <c r="I11" s="10"/>
      <c r="J11" s="10"/>
      <c r="K11" s="10"/>
      <c r="L11" s="11"/>
    </row>
    <row r="12" spans="1:12" ht="43.5" customHeight="1">
      <c r="A12" s="10"/>
      <c r="B12" s="10"/>
      <c r="C12" s="10"/>
      <c r="D12" s="10"/>
      <c r="E12" s="10"/>
      <c r="F12" s="11"/>
      <c r="G12" s="11"/>
      <c r="H12" s="10"/>
      <c r="I12" s="10"/>
      <c r="J12" s="10"/>
      <c r="K12" s="10"/>
      <c r="L12" s="11"/>
    </row>
    <row r="13" spans="1:12" ht="43.5" customHeight="1">
      <c r="A13" s="10"/>
      <c r="B13" s="10"/>
      <c r="C13" s="10"/>
      <c r="D13" s="10"/>
      <c r="E13" s="10"/>
      <c r="F13" s="11"/>
      <c r="G13" s="11"/>
      <c r="H13" s="10"/>
      <c r="I13" s="10"/>
      <c r="J13" s="10"/>
      <c r="K13" s="10"/>
      <c r="L13" s="11"/>
    </row>
    <row r="14" spans="1:12" ht="43.5" customHeight="1">
      <c r="A14" s="10"/>
      <c r="B14" s="10"/>
      <c r="C14" s="10"/>
      <c r="D14" s="10"/>
      <c r="E14" s="10"/>
      <c r="F14" s="11"/>
      <c r="G14" s="11"/>
      <c r="H14" s="10"/>
      <c r="I14" s="10"/>
      <c r="J14" s="10"/>
      <c r="K14" s="10"/>
      <c r="L14" s="11"/>
    </row>
    <row r="15" spans="1:12" ht="57.95" customHeight="1">
      <c r="A15" s="10"/>
      <c r="B15" s="10"/>
      <c r="C15" s="10"/>
      <c r="D15" s="10"/>
      <c r="E15" s="10"/>
      <c r="F15" s="11"/>
      <c r="G15" s="11"/>
      <c r="H15" s="10"/>
      <c r="I15" s="10"/>
      <c r="J15" s="10"/>
      <c r="K15" s="10"/>
      <c r="L15" s="11"/>
    </row>
    <row r="16" spans="1:12" ht="29.1" customHeight="1">
      <c r="A16" s="10"/>
      <c r="B16" s="10"/>
      <c r="C16" s="10"/>
      <c r="D16" s="10"/>
      <c r="E16" s="10"/>
      <c r="F16" s="11"/>
      <c r="G16" s="11"/>
      <c r="H16" s="10"/>
      <c r="I16" s="10"/>
      <c r="J16" s="10"/>
      <c r="K16" s="10"/>
      <c r="L16" s="11"/>
    </row>
    <row r="17" spans="1:12" ht="43.5" customHeight="1">
      <c r="A17" s="10"/>
      <c r="B17" s="10"/>
      <c r="C17" s="10"/>
      <c r="D17" s="10"/>
      <c r="E17" s="10"/>
      <c r="F17" s="11"/>
      <c r="G17" s="11"/>
      <c r="H17" s="10"/>
      <c r="I17" s="10"/>
      <c r="J17" s="10"/>
      <c r="K17" s="10"/>
      <c r="L17" s="11"/>
    </row>
    <row r="18" spans="1:12" ht="29.1" customHeight="1">
      <c r="A18" s="10"/>
      <c r="B18" s="10"/>
      <c r="C18" s="10"/>
      <c r="D18" s="10"/>
      <c r="E18" s="10"/>
      <c r="F18" s="11"/>
      <c r="G18" s="11"/>
      <c r="H18" s="10"/>
      <c r="I18" s="10"/>
      <c r="J18" s="10"/>
      <c r="K18" s="10"/>
      <c r="L18" s="11"/>
    </row>
    <row r="19" spans="1:12" ht="43.5" customHeight="1">
      <c r="A19" s="10"/>
      <c r="B19" s="10"/>
      <c r="C19" s="10"/>
      <c r="D19" s="10"/>
      <c r="E19" s="10"/>
      <c r="F19" s="11"/>
      <c r="G19" s="11"/>
      <c r="H19" s="10"/>
      <c r="I19" s="10"/>
      <c r="J19" s="10"/>
      <c r="K19" s="10"/>
      <c r="L19" s="11"/>
    </row>
    <row r="20" spans="1:12" ht="29.1" customHeight="1">
      <c r="A20" s="10"/>
      <c r="B20" s="10"/>
      <c r="C20" s="10"/>
      <c r="D20" s="10"/>
      <c r="E20" s="10"/>
      <c r="F20" s="11"/>
      <c r="G20" s="11"/>
      <c r="H20" s="10"/>
      <c r="I20" s="10"/>
      <c r="J20" s="10"/>
      <c r="K20" s="10"/>
      <c r="L20" s="11"/>
    </row>
    <row r="21" spans="1:12" ht="43.5" customHeight="1">
      <c r="A21" s="10"/>
      <c r="B21" s="10"/>
      <c r="C21" s="10"/>
      <c r="D21" s="10"/>
      <c r="E21" s="10"/>
      <c r="F21" s="11"/>
      <c r="G21" s="11"/>
      <c r="H21" s="10"/>
      <c r="I21" s="10"/>
      <c r="J21" s="10"/>
      <c r="K21" s="10"/>
      <c r="L21" s="11"/>
    </row>
    <row r="22" spans="1:12">
      <c r="A22" s="10"/>
      <c r="B22" s="10"/>
      <c r="C22" s="10"/>
      <c r="D22" s="10"/>
      <c r="E22" s="10"/>
      <c r="F22" s="11"/>
      <c r="G22" s="11"/>
      <c r="H22" s="10"/>
      <c r="I22" s="10"/>
      <c r="J22" s="10"/>
      <c r="K22" s="10"/>
      <c r="L22" s="11"/>
    </row>
    <row r="23" spans="1:12">
      <c r="A23" s="10"/>
      <c r="B23" s="10"/>
      <c r="C23" s="10"/>
      <c r="D23" s="10"/>
      <c r="E23" s="10"/>
      <c r="F23" s="11"/>
      <c r="G23" s="11"/>
      <c r="H23" s="10"/>
      <c r="I23" s="10"/>
      <c r="J23" s="10"/>
      <c r="K23" s="10"/>
      <c r="L23" s="11"/>
    </row>
    <row r="24" spans="1:12">
      <c r="A24" s="10"/>
      <c r="B24" s="10"/>
      <c r="C24" s="10"/>
      <c r="D24" s="10"/>
      <c r="E24" s="10"/>
      <c r="F24" s="11"/>
      <c r="G24" s="11"/>
      <c r="H24" s="10"/>
      <c r="I24" s="10"/>
      <c r="J24" s="10"/>
      <c r="K24" s="10"/>
      <c r="L24" s="11"/>
    </row>
    <row r="25" spans="1:12">
      <c r="A25" s="10"/>
      <c r="B25" s="10"/>
      <c r="C25" s="10"/>
      <c r="D25" s="10"/>
      <c r="E25" s="10"/>
      <c r="F25" s="11"/>
      <c r="G25" s="11"/>
      <c r="H25" s="10"/>
      <c r="I25" s="10"/>
      <c r="J25" s="10"/>
      <c r="K25" s="10"/>
      <c r="L25" s="11"/>
    </row>
    <row r="26" spans="1:12">
      <c r="A26" s="10"/>
      <c r="B26" s="10"/>
      <c r="C26" s="10"/>
      <c r="D26" s="10"/>
      <c r="E26" s="10"/>
      <c r="F26" s="11"/>
      <c r="G26" s="11"/>
      <c r="H26" s="10"/>
      <c r="I26" s="10"/>
      <c r="J26" s="10"/>
      <c r="K26" s="10"/>
      <c r="L26" s="11"/>
    </row>
    <row r="27" spans="1:12">
      <c r="A27" s="10"/>
      <c r="B27" s="10"/>
      <c r="C27" s="10"/>
      <c r="D27" s="10"/>
      <c r="E27" s="10"/>
      <c r="F27" s="11"/>
      <c r="G27" s="11"/>
      <c r="H27" s="10"/>
      <c r="I27" s="10"/>
      <c r="J27" s="10"/>
      <c r="K27" s="10"/>
      <c r="L27" s="11"/>
    </row>
    <row r="28" spans="1:12">
      <c r="A28" s="10"/>
      <c r="B28" s="10"/>
      <c r="C28" s="10"/>
      <c r="D28" s="10"/>
      <c r="E28" s="10"/>
      <c r="F28" s="11"/>
      <c r="G28" s="11"/>
      <c r="H28" s="10"/>
      <c r="I28" s="10"/>
      <c r="J28" s="10"/>
      <c r="K28" s="10"/>
      <c r="L28" s="11"/>
    </row>
    <row r="29" spans="1:12">
      <c r="A29" s="10"/>
      <c r="B29" s="10"/>
      <c r="C29" s="10"/>
      <c r="D29" s="10"/>
      <c r="E29" s="10"/>
      <c r="F29" s="11"/>
      <c r="G29" s="11"/>
      <c r="H29" s="10"/>
      <c r="I29" s="10"/>
      <c r="J29" s="10"/>
      <c r="K29" s="10"/>
      <c r="L29" s="11"/>
    </row>
    <row r="30" spans="1:12">
      <c r="A30" s="10"/>
      <c r="B30" s="10"/>
      <c r="C30" s="10"/>
      <c r="D30" s="10"/>
      <c r="E30" s="10"/>
      <c r="F30" s="11"/>
      <c r="G30" s="11"/>
      <c r="H30" s="10"/>
      <c r="I30" s="10"/>
      <c r="J30" s="10"/>
      <c r="K30" s="10"/>
      <c r="L30" s="11"/>
    </row>
    <row r="31" spans="1:12">
      <c r="A31" s="10"/>
      <c r="B31" s="10"/>
      <c r="C31" s="10"/>
      <c r="D31" s="10"/>
      <c r="E31" s="10"/>
      <c r="F31" s="11"/>
      <c r="G31" s="11"/>
      <c r="H31" s="10"/>
      <c r="I31" s="10"/>
      <c r="J31" s="10"/>
      <c r="K31" s="10"/>
      <c r="L31" s="11"/>
    </row>
    <row r="32" spans="1:12">
      <c r="A32" s="10"/>
      <c r="B32" s="10"/>
      <c r="C32" s="10"/>
      <c r="D32" s="10"/>
      <c r="E32" s="10"/>
      <c r="F32" s="11"/>
      <c r="G32" s="11"/>
      <c r="H32" s="10"/>
      <c r="I32" s="10"/>
      <c r="J32" s="10"/>
      <c r="K32" s="10"/>
      <c r="L32" s="11"/>
    </row>
    <row r="33" spans="1:12">
      <c r="A33" s="10"/>
      <c r="B33" s="10"/>
      <c r="C33" s="10"/>
      <c r="D33" s="10"/>
      <c r="E33" s="10"/>
      <c r="F33" s="11"/>
      <c r="G33" s="11"/>
      <c r="H33" s="10"/>
      <c r="I33" s="10"/>
      <c r="J33" s="10"/>
      <c r="K33" s="10"/>
      <c r="L33" s="11"/>
    </row>
    <row r="34" spans="1:12">
      <c r="A34" s="10"/>
      <c r="B34" s="10"/>
      <c r="C34" s="10"/>
      <c r="D34" s="10"/>
      <c r="E34" s="10"/>
      <c r="F34" s="11"/>
      <c r="G34" s="11"/>
      <c r="H34" s="10"/>
      <c r="I34" s="10"/>
      <c r="J34" s="10"/>
      <c r="K34" s="10"/>
      <c r="L34" s="11"/>
    </row>
    <row r="35" spans="1:12">
      <c r="A35" s="10"/>
      <c r="B35" s="10"/>
      <c r="C35" s="10"/>
      <c r="D35" s="10"/>
      <c r="E35" s="10"/>
      <c r="F35" s="11"/>
      <c r="G35" s="11"/>
      <c r="H35" s="10"/>
      <c r="I35" s="10"/>
      <c r="J35" s="10"/>
      <c r="K35" s="10"/>
      <c r="L35" s="11"/>
    </row>
    <row r="36" spans="1:12">
      <c r="A36" s="10"/>
      <c r="B36" s="10"/>
      <c r="C36" s="10"/>
      <c r="D36" s="10"/>
      <c r="E36" s="10"/>
      <c r="F36" s="11"/>
      <c r="G36" s="11"/>
      <c r="H36" s="10"/>
      <c r="I36" s="10"/>
      <c r="J36" s="10"/>
      <c r="K36" s="10"/>
      <c r="L36" s="11"/>
    </row>
    <row r="37" spans="1:12">
      <c r="A37" s="10"/>
      <c r="B37" s="10"/>
      <c r="C37" s="10"/>
      <c r="D37" s="10"/>
      <c r="E37" s="10"/>
      <c r="F37" s="11"/>
      <c r="G37" s="11"/>
      <c r="H37" s="10"/>
      <c r="I37" s="10"/>
      <c r="J37" s="10"/>
      <c r="K37" s="10"/>
      <c r="L37" s="11"/>
    </row>
    <row r="38" spans="1:12">
      <c r="A38" s="10"/>
      <c r="B38" s="10"/>
      <c r="C38" s="10"/>
      <c r="D38" s="10"/>
      <c r="E38" s="10"/>
      <c r="F38" s="11"/>
      <c r="G38" s="11"/>
      <c r="H38" s="10"/>
      <c r="I38" s="10"/>
      <c r="J38" s="10"/>
      <c r="K38" s="10"/>
      <c r="L38" s="11"/>
    </row>
    <row r="39" spans="1:12">
      <c r="A39" s="10"/>
      <c r="B39" s="10"/>
      <c r="C39" s="10"/>
      <c r="D39" s="10"/>
      <c r="E39" s="10"/>
      <c r="F39" s="11"/>
      <c r="G39" s="11"/>
      <c r="H39" s="10"/>
      <c r="I39" s="10"/>
      <c r="J39" s="10"/>
      <c r="K39" s="10"/>
      <c r="L39" s="11"/>
    </row>
    <row r="40" spans="1:12">
      <c r="A40" s="10"/>
      <c r="B40" s="10"/>
      <c r="C40" s="10"/>
      <c r="D40" s="10"/>
      <c r="E40" s="10"/>
      <c r="F40" s="11"/>
      <c r="G40" s="11"/>
      <c r="H40" s="10"/>
      <c r="I40" s="10"/>
      <c r="J40" s="10"/>
      <c r="K40" s="10"/>
      <c r="L40" s="11"/>
    </row>
    <row r="41" spans="1:12">
      <c r="A41" s="10"/>
      <c r="B41" s="10"/>
      <c r="C41" s="10"/>
      <c r="D41" s="10"/>
      <c r="E41" s="10"/>
      <c r="F41" s="11"/>
      <c r="G41" s="11"/>
      <c r="H41" s="10"/>
      <c r="I41" s="10"/>
      <c r="J41" s="10"/>
      <c r="K41" s="10"/>
      <c r="L41" s="11"/>
    </row>
    <row r="42" spans="1:12">
      <c r="A42" s="10"/>
      <c r="B42" s="10"/>
      <c r="C42" s="10"/>
      <c r="D42" s="10"/>
      <c r="E42" s="10"/>
      <c r="F42" s="11"/>
      <c r="G42" s="11"/>
      <c r="H42" s="10"/>
      <c r="I42" s="10"/>
      <c r="J42" s="10"/>
      <c r="K42" s="10"/>
      <c r="L42" s="11"/>
    </row>
    <row r="43" spans="1:12">
      <c r="A43" s="10"/>
      <c r="B43" s="10"/>
      <c r="C43" s="10"/>
      <c r="D43" s="10"/>
      <c r="E43" s="10"/>
      <c r="F43" s="11"/>
      <c r="G43" s="11"/>
      <c r="H43" s="10"/>
      <c r="I43" s="10"/>
      <c r="J43" s="10"/>
      <c r="K43" s="10"/>
      <c r="L43" s="11"/>
    </row>
    <row r="44" spans="1:12">
      <c r="A44" s="10"/>
      <c r="B44" s="10"/>
      <c r="C44" s="10"/>
      <c r="D44" s="10"/>
      <c r="E44" s="10"/>
      <c r="F44" s="11"/>
      <c r="G44" s="11"/>
      <c r="H44" s="10"/>
      <c r="I44" s="10"/>
      <c r="J44" s="10"/>
      <c r="K44" s="10"/>
      <c r="L44" s="11"/>
    </row>
    <row r="45" spans="1:12">
      <c r="A45" s="10"/>
      <c r="B45" s="10"/>
      <c r="C45" s="10"/>
      <c r="D45" s="10"/>
      <c r="E45" s="10"/>
      <c r="F45" s="11"/>
      <c r="G45" s="11"/>
      <c r="H45" s="10"/>
      <c r="I45" s="10"/>
      <c r="J45" s="10"/>
      <c r="K45" s="10"/>
      <c r="L45" s="11"/>
    </row>
    <row r="46" spans="1:12">
      <c r="A46" s="10"/>
      <c r="B46" s="10"/>
      <c r="C46" s="10"/>
      <c r="D46" s="10"/>
      <c r="E46" s="10"/>
      <c r="F46" s="11"/>
      <c r="G46" s="11"/>
      <c r="H46" s="10"/>
      <c r="I46" s="10"/>
      <c r="J46" s="10"/>
      <c r="K46" s="10"/>
      <c r="L46" s="11"/>
    </row>
    <row r="47" spans="1:12">
      <c r="A47" s="10"/>
      <c r="B47" s="10"/>
      <c r="C47" s="10"/>
      <c r="D47" s="10"/>
      <c r="E47" s="10"/>
      <c r="F47" s="11"/>
      <c r="G47" s="11"/>
      <c r="H47" s="10"/>
      <c r="I47" s="10"/>
      <c r="J47" s="10"/>
      <c r="K47" s="10"/>
      <c r="L47" s="11"/>
    </row>
    <row r="48" spans="1:12">
      <c r="A48" s="10"/>
      <c r="B48" s="10"/>
      <c r="C48" s="10"/>
      <c r="D48" s="10"/>
      <c r="E48" s="10"/>
      <c r="F48" s="11"/>
      <c r="G48" s="11"/>
      <c r="H48" s="10"/>
      <c r="I48" s="10"/>
      <c r="J48" s="10"/>
      <c r="K48" s="10"/>
      <c r="L48" s="11"/>
    </row>
    <row r="49" spans="1:12">
      <c r="A49" s="10"/>
      <c r="B49" s="10"/>
      <c r="C49" s="10"/>
      <c r="D49" s="10"/>
      <c r="E49" s="10"/>
      <c r="F49" s="11"/>
      <c r="G49" s="11"/>
      <c r="H49" s="10"/>
      <c r="I49" s="10"/>
      <c r="J49" s="10"/>
      <c r="K49" s="10"/>
      <c r="L49" s="11"/>
    </row>
    <row r="50" spans="1:12">
      <c r="A50" s="10"/>
      <c r="B50" s="10"/>
      <c r="C50" s="10"/>
      <c r="D50" s="10"/>
      <c r="E50" s="10"/>
      <c r="F50" s="11"/>
      <c r="G50" s="11"/>
      <c r="H50" s="10"/>
      <c r="I50" s="10"/>
      <c r="J50" s="10"/>
      <c r="K50" s="10"/>
      <c r="L50" s="11"/>
    </row>
    <row r="51" spans="1:12">
      <c r="A51" s="10"/>
      <c r="B51" s="10"/>
      <c r="C51" s="10"/>
      <c r="D51" s="10"/>
      <c r="E51" s="10"/>
      <c r="F51" s="11"/>
      <c r="G51" s="11"/>
      <c r="H51" s="10"/>
      <c r="I51" s="10"/>
      <c r="J51" s="10"/>
      <c r="K51" s="10"/>
      <c r="L51" s="11"/>
    </row>
    <row r="52" spans="1:12">
      <c r="A52" s="10"/>
      <c r="B52" s="10"/>
      <c r="C52" s="10"/>
      <c r="D52" s="10"/>
      <c r="E52" s="10"/>
      <c r="F52" s="11"/>
      <c r="G52" s="11"/>
      <c r="H52" s="10"/>
      <c r="I52" s="10"/>
      <c r="J52" s="10"/>
      <c r="K52" s="10"/>
      <c r="L52" s="11"/>
    </row>
    <row r="53" spans="1:12">
      <c r="A53" s="10"/>
      <c r="B53" s="10"/>
      <c r="C53" s="10"/>
      <c r="D53" s="10"/>
      <c r="E53" s="10"/>
      <c r="F53" s="11"/>
      <c r="G53" s="11"/>
      <c r="H53" s="10"/>
      <c r="I53" s="10"/>
      <c r="J53" s="10"/>
      <c r="K53" s="10"/>
      <c r="L53" s="11"/>
    </row>
    <row r="54" spans="1:12">
      <c r="A54" s="10"/>
      <c r="B54" s="10"/>
      <c r="C54" s="10"/>
      <c r="D54" s="10"/>
      <c r="E54" s="10"/>
      <c r="F54" s="11"/>
      <c r="G54" s="11"/>
      <c r="H54" s="10"/>
      <c r="I54" s="10"/>
      <c r="J54" s="10"/>
      <c r="K54" s="10"/>
      <c r="L54" s="11"/>
    </row>
    <row r="55" spans="1:12">
      <c r="A55" s="10"/>
      <c r="B55" s="10"/>
      <c r="C55" s="10"/>
      <c r="D55" s="10"/>
      <c r="E55" s="10"/>
      <c r="F55" s="11"/>
      <c r="G55" s="11"/>
      <c r="H55" s="10"/>
      <c r="I55" s="10"/>
      <c r="J55" s="10"/>
      <c r="K55" s="10"/>
      <c r="L55" s="11"/>
    </row>
    <row r="56" spans="1:12">
      <c r="A56" s="10"/>
      <c r="B56" s="10"/>
      <c r="C56" s="10"/>
      <c r="D56" s="10"/>
      <c r="E56" s="10"/>
      <c r="F56" s="11"/>
      <c r="G56" s="11"/>
      <c r="H56" s="10"/>
      <c r="I56" s="10"/>
      <c r="J56" s="10"/>
      <c r="K56" s="10"/>
      <c r="L56" s="11"/>
    </row>
    <row r="57" spans="1:12">
      <c r="A57" s="10"/>
      <c r="B57" s="10"/>
      <c r="C57" s="10"/>
      <c r="D57" s="10"/>
      <c r="E57" s="10"/>
      <c r="F57" s="11"/>
      <c r="G57" s="11"/>
      <c r="H57" s="10"/>
      <c r="I57" s="10"/>
      <c r="J57" s="10"/>
      <c r="K57" s="10"/>
      <c r="L57" s="11"/>
    </row>
    <row r="58" spans="1:12">
      <c r="A58" s="10"/>
      <c r="B58" s="10"/>
      <c r="C58" s="10"/>
      <c r="D58" s="10"/>
      <c r="E58" s="10"/>
      <c r="F58" s="11"/>
      <c r="G58" s="11"/>
      <c r="H58" s="10"/>
      <c r="I58" s="10"/>
      <c r="J58" s="10"/>
      <c r="K58" s="10"/>
      <c r="L58" s="11"/>
    </row>
    <row r="59" spans="1:12">
      <c r="A59" s="10"/>
      <c r="B59" s="10"/>
      <c r="C59" s="10"/>
      <c r="D59" s="10"/>
      <c r="E59" s="10"/>
      <c r="F59" s="11"/>
      <c r="G59" s="11"/>
      <c r="H59" s="10"/>
      <c r="I59" s="10"/>
      <c r="J59" s="10"/>
      <c r="K59" s="10"/>
      <c r="L59" s="11"/>
    </row>
    <row r="60" spans="1:12">
      <c r="A60" s="10"/>
      <c r="B60" s="10"/>
      <c r="C60" s="10"/>
      <c r="D60" s="10"/>
      <c r="E60" s="10"/>
      <c r="F60" s="11"/>
      <c r="G60" s="11"/>
      <c r="H60" s="10"/>
      <c r="I60" s="10"/>
      <c r="J60" s="10"/>
      <c r="K60" s="10"/>
      <c r="L60" s="11"/>
    </row>
    <row r="61" spans="1:12">
      <c r="A61" s="10"/>
      <c r="B61" s="10"/>
      <c r="C61" s="10"/>
      <c r="D61" s="10"/>
      <c r="E61" s="10"/>
      <c r="F61" s="11"/>
      <c r="G61" s="11"/>
      <c r="H61" s="10"/>
      <c r="I61" s="10"/>
      <c r="J61" s="10"/>
      <c r="K61" s="10"/>
      <c r="L61" s="11"/>
    </row>
    <row r="62" spans="1:12">
      <c r="A62" s="10"/>
      <c r="B62" s="10"/>
      <c r="C62" s="10"/>
      <c r="D62" s="10"/>
      <c r="E62" s="10"/>
      <c r="F62" s="11"/>
      <c r="G62" s="11"/>
      <c r="H62" s="10"/>
      <c r="I62" s="10"/>
      <c r="J62" s="10"/>
      <c r="K62" s="10"/>
      <c r="L62" s="11"/>
    </row>
    <row r="63" spans="1:12">
      <c r="A63" s="10"/>
      <c r="B63" s="10"/>
      <c r="C63" s="10"/>
      <c r="D63" s="10"/>
      <c r="E63" s="10"/>
      <c r="F63" s="11"/>
      <c r="G63" s="11"/>
      <c r="H63" s="10"/>
      <c r="I63" s="10"/>
      <c r="J63" s="10"/>
      <c r="K63" s="10"/>
      <c r="L63" s="11"/>
    </row>
    <row r="64" spans="1:12">
      <c r="A64" s="10"/>
      <c r="B64" s="10"/>
      <c r="C64" s="10"/>
      <c r="D64" s="10"/>
      <c r="E64" s="10"/>
      <c r="F64" s="11"/>
      <c r="G64" s="11"/>
      <c r="H64" s="10"/>
      <c r="I64" s="10"/>
      <c r="J64" s="10"/>
      <c r="K64" s="10"/>
      <c r="L64" s="11"/>
    </row>
    <row r="65" spans="1:12">
      <c r="A65" s="10"/>
      <c r="B65" s="10"/>
      <c r="C65" s="10"/>
      <c r="D65" s="10"/>
      <c r="E65" s="10"/>
      <c r="F65" s="11"/>
      <c r="G65" s="11"/>
      <c r="H65" s="10"/>
      <c r="I65" s="10"/>
      <c r="J65" s="10"/>
      <c r="K65" s="10"/>
      <c r="L65" s="11"/>
    </row>
    <row r="66" spans="1:12">
      <c r="A66" s="10"/>
      <c r="B66" s="10"/>
      <c r="C66" s="10"/>
      <c r="D66" s="10"/>
      <c r="E66" s="10"/>
      <c r="F66" s="11"/>
      <c r="G66" s="11"/>
      <c r="H66" s="10"/>
      <c r="I66" s="10"/>
      <c r="J66" s="10"/>
      <c r="K66" s="10"/>
      <c r="L66" s="11"/>
    </row>
    <row r="67" spans="1:12">
      <c r="A67" s="10"/>
      <c r="B67" s="10"/>
      <c r="C67" s="10"/>
      <c r="D67" s="10"/>
      <c r="E67" s="10"/>
      <c r="F67" s="11"/>
      <c r="G67" s="11"/>
      <c r="H67" s="10"/>
      <c r="I67" s="10"/>
      <c r="J67" s="10"/>
      <c r="K67" s="10"/>
      <c r="L67" s="11"/>
    </row>
    <row r="68" spans="1:12">
      <c r="A68" s="10"/>
      <c r="B68" s="10"/>
      <c r="C68" s="10"/>
      <c r="D68" s="10"/>
      <c r="E68" s="10"/>
      <c r="F68" s="11"/>
      <c r="G68" s="11"/>
      <c r="H68" s="10"/>
      <c r="I68" s="10"/>
      <c r="J68" s="10"/>
      <c r="K68" s="10"/>
      <c r="L68" s="11"/>
    </row>
    <row r="69" spans="1:12">
      <c r="A69" s="10"/>
      <c r="B69" s="10"/>
      <c r="C69" s="10"/>
      <c r="D69" s="10"/>
      <c r="E69" s="10"/>
      <c r="F69" s="11"/>
      <c r="G69" s="11"/>
      <c r="H69" s="10"/>
      <c r="I69" s="10"/>
      <c r="J69" s="10"/>
      <c r="K69" s="10"/>
      <c r="L69" s="11"/>
    </row>
    <row r="70" spans="1:12">
      <c r="A70" s="10"/>
      <c r="B70" s="10"/>
      <c r="C70" s="10"/>
      <c r="D70" s="10"/>
      <c r="E70" s="10"/>
      <c r="F70" s="11"/>
      <c r="G70" s="11"/>
      <c r="H70" s="10"/>
      <c r="I70" s="10"/>
      <c r="J70" s="10"/>
      <c r="K70" s="10"/>
      <c r="L70" s="11"/>
    </row>
    <row r="71" spans="1:12">
      <c r="A71" s="10"/>
      <c r="B71" s="10"/>
      <c r="C71" s="10"/>
      <c r="D71" s="10"/>
      <c r="E71" s="10"/>
      <c r="F71" s="11"/>
      <c r="G71" s="11"/>
      <c r="H71" s="10"/>
      <c r="I71" s="10"/>
      <c r="J71" s="10"/>
      <c r="K71" s="10"/>
      <c r="L71" s="11"/>
    </row>
    <row r="72" spans="1:12">
      <c r="A72" s="10"/>
      <c r="B72" s="10"/>
      <c r="C72" s="10"/>
      <c r="D72" s="10"/>
      <c r="E72" s="10"/>
      <c r="F72" s="11"/>
      <c r="G72" s="11"/>
      <c r="H72" s="10"/>
      <c r="I72" s="10"/>
      <c r="J72" s="10"/>
      <c r="K72" s="10"/>
      <c r="L72" s="11"/>
    </row>
    <row r="73" spans="1:12">
      <c r="A73" s="10"/>
      <c r="B73" s="10"/>
      <c r="C73" s="10"/>
      <c r="D73" s="10"/>
      <c r="E73" s="10"/>
      <c r="F73" s="11"/>
      <c r="G73" s="11"/>
      <c r="H73" s="10"/>
      <c r="I73" s="10"/>
      <c r="J73" s="10"/>
      <c r="K73" s="10"/>
      <c r="L73" s="11"/>
    </row>
    <row r="74" spans="1:12">
      <c r="A74" s="10"/>
      <c r="B74" s="10"/>
      <c r="C74" s="10"/>
      <c r="D74" s="10"/>
      <c r="E74" s="10"/>
      <c r="F74" s="11"/>
      <c r="G74" s="11"/>
      <c r="H74" s="10"/>
      <c r="I74" s="10"/>
      <c r="J74" s="10"/>
      <c r="K74" s="10"/>
      <c r="L74" s="11"/>
    </row>
    <row r="75" spans="1:12">
      <c r="A75" s="10"/>
      <c r="B75" s="10"/>
      <c r="C75" s="10"/>
      <c r="D75" s="10"/>
      <c r="E75" s="10"/>
      <c r="F75" s="11"/>
      <c r="G75" s="11"/>
      <c r="H75" s="10"/>
      <c r="I75" s="10"/>
      <c r="J75" s="10"/>
      <c r="K75" s="10"/>
      <c r="L75" s="11"/>
    </row>
    <row r="76" spans="1:12">
      <c r="A76" s="10"/>
      <c r="B76" s="10"/>
      <c r="C76" s="10"/>
      <c r="D76" s="10"/>
      <c r="E76" s="10"/>
      <c r="F76" s="11"/>
      <c r="G76" s="11"/>
      <c r="H76" s="10"/>
      <c r="I76" s="10"/>
      <c r="J76" s="10"/>
      <c r="K76" s="10"/>
      <c r="L76" s="11"/>
    </row>
    <row r="77" spans="1:12">
      <c r="A77" s="10"/>
      <c r="B77" s="10"/>
      <c r="C77" s="10"/>
      <c r="D77" s="10"/>
      <c r="E77" s="10"/>
      <c r="F77" s="11"/>
      <c r="G77" s="11"/>
      <c r="H77" s="10"/>
      <c r="I77" s="10"/>
      <c r="J77" s="10"/>
      <c r="K77" s="10"/>
      <c r="L77" s="11"/>
    </row>
    <row r="78" spans="1:12">
      <c r="A78" s="10"/>
      <c r="B78" s="10"/>
      <c r="C78" s="10"/>
      <c r="D78" s="10"/>
      <c r="E78" s="10"/>
      <c r="F78" s="11"/>
      <c r="G78" s="11"/>
      <c r="H78" s="10"/>
      <c r="I78" s="10"/>
      <c r="J78" s="10"/>
      <c r="K78" s="10"/>
      <c r="L78" s="11"/>
    </row>
    <row r="79" spans="1:12">
      <c r="A79" s="10"/>
      <c r="B79" s="10"/>
      <c r="C79" s="10"/>
      <c r="D79" s="10"/>
      <c r="E79" s="10"/>
      <c r="F79" s="11"/>
      <c r="G79" s="11"/>
      <c r="H79" s="10"/>
      <c r="I79" s="10"/>
      <c r="J79" s="10"/>
      <c r="K79" s="10"/>
      <c r="L79" s="11"/>
    </row>
    <row r="80" spans="1:12">
      <c r="A80" s="10"/>
      <c r="B80" s="10"/>
      <c r="C80" s="10"/>
      <c r="D80" s="10"/>
      <c r="E80" s="10"/>
      <c r="F80" s="11"/>
      <c r="G80" s="11"/>
      <c r="H80" s="10"/>
      <c r="I80" s="10"/>
      <c r="J80" s="10"/>
      <c r="K80" s="10"/>
      <c r="L80" s="11"/>
    </row>
    <row r="81" spans="1:12">
      <c r="A81" s="10"/>
      <c r="B81" s="10"/>
      <c r="C81" s="10"/>
      <c r="D81" s="10"/>
      <c r="E81" s="10"/>
      <c r="F81" s="11"/>
      <c r="G81" s="11"/>
      <c r="H81" s="10"/>
      <c r="I81" s="10"/>
      <c r="J81" s="10"/>
      <c r="K81" s="10"/>
      <c r="L81" s="11"/>
    </row>
    <row r="82" spans="1:12">
      <c r="A82" s="10"/>
      <c r="B82" s="10"/>
      <c r="C82" s="10"/>
      <c r="D82" s="10"/>
      <c r="E82" s="10"/>
      <c r="F82" s="11"/>
      <c r="G82" s="11"/>
      <c r="H82" s="10"/>
      <c r="I82" s="10"/>
      <c r="J82" s="10"/>
      <c r="K82" s="10"/>
      <c r="L82" s="11"/>
    </row>
    <row r="83" spans="1:12">
      <c r="A83" s="10"/>
      <c r="B83" s="10"/>
      <c r="C83" s="10"/>
      <c r="D83" s="10"/>
      <c r="E83" s="10"/>
      <c r="F83" s="11"/>
      <c r="G83" s="11"/>
      <c r="H83" s="10"/>
      <c r="I83" s="10"/>
      <c r="J83" s="10"/>
      <c r="K83" s="10"/>
      <c r="L83" s="11"/>
    </row>
    <row r="84" spans="1:12">
      <c r="A84" s="10"/>
      <c r="B84" s="10"/>
      <c r="C84" s="10"/>
      <c r="D84" s="10"/>
      <c r="E84" s="10"/>
      <c r="F84" s="11"/>
      <c r="G84" s="11"/>
      <c r="H84" s="10"/>
      <c r="I84" s="10"/>
      <c r="J84" s="10"/>
      <c r="K84" s="10"/>
      <c r="L84" s="11"/>
    </row>
    <row r="85" spans="1:12">
      <c r="A85" s="10"/>
      <c r="B85" s="10"/>
      <c r="C85" s="10"/>
      <c r="D85" s="10"/>
      <c r="E85" s="10"/>
      <c r="F85" s="11"/>
      <c r="G85" s="11"/>
      <c r="H85" s="10"/>
      <c r="I85" s="10"/>
      <c r="J85" s="10"/>
      <c r="K85" s="10"/>
      <c r="L85" s="11"/>
    </row>
    <row r="86" spans="1:12">
      <c r="A86" s="10"/>
      <c r="B86" s="10"/>
      <c r="C86" s="10"/>
      <c r="D86" s="10"/>
      <c r="E86" s="10"/>
      <c r="F86" s="11"/>
      <c r="G86" s="11"/>
      <c r="H86" s="10"/>
      <c r="I86" s="10"/>
      <c r="J86" s="10"/>
      <c r="K86" s="10"/>
      <c r="L86" s="11"/>
    </row>
    <row r="87" spans="1:12">
      <c r="A87" s="10"/>
      <c r="B87" s="10"/>
      <c r="C87" s="10"/>
      <c r="D87" s="10"/>
      <c r="E87" s="10"/>
      <c r="F87" s="11"/>
      <c r="G87" s="11"/>
      <c r="H87" s="10"/>
      <c r="I87" s="10"/>
      <c r="J87" s="10"/>
      <c r="K87" s="10"/>
      <c r="L87" s="11"/>
    </row>
    <row r="88" spans="1:12">
      <c r="A88" s="10"/>
      <c r="B88" s="10"/>
      <c r="C88" s="10"/>
      <c r="D88" s="10"/>
      <c r="E88" s="10"/>
      <c r="F88" s="11"/>
      <c r="G88" s="11"/>
      <c r="H88" s="10"/>
      <c r="I88" s="10"/>
      <c r="J88" s="10"/>
      <c r="K88" s="10"/>
      <c r="L88" s="11"/>
    </row>
    <row r="89" spans="1:12">
      <c r="A89" s="10"/>
      <c r="B89" s="10"/>
      <c r="C89" s="10"/>
      <c r="D89" s="10"/>
      <c r="E89" s="10"/>
      <c r="F89" s="11"/>
      <c r="G89" s="11"/>
      <c r="H89" s="10"/>
      <c r="I89" s="10"/>
      <c r="J89" s="10"/>
      <c r="K89" s="10"/>
      <c r="L89" s="11"/>
    </row>
    <row r="90" spans="1:12">
      <c r="A90" s="10"/>
      <c r="B90" s="10"/>
      <c r="C90" s="10"/>
      <c r="D90" s="10"/>
      <c r="E90" s="10"/>
      <c r="F90" s="11"/>
      <c r="G90" s="11"/>
      <c r="H90" s="10"/>
      <c r="I90" s="10"/>
      <c r="J90" s="10"/>
      <c r="K90" s="10"/>
      <c r="L90" s="11"/>
    </row>
    <row r="91" spans="1:12">
      <c r="A91" s="10"/>
      <c r="B91" s="10"/>
      <c r="C91" s="10"/>
      <c r="D91" s="10"/>
      <c r="E91" s="10"/>
      <c r="F91" s="11"/>
      <c r="G91" s="11"/>
      <c r="H91" s="10"/>
      <c r="I91" s="10"/>
      <c r="J91" s="10"/>
      <c r="K91" s="10"/>
      <c r="L91" s="11"/>
    </row>
    <row r="92" spans="1:12">
      <c r="A92" s="10"/>
      <c r="B92" s="10"/>
      <c r="C92" s="10"/>
      <c r="D92" s="10"/>
      <c r="E92" s="10"/>
      <c r="F92" s="11"/>
      <c r="G92" s="11"/>
      <c r="H92" s="10"/>
      <c r="I92" s="10"/>
      <c r="J92" s="10"/>
      <c r="K92" s="10"/>
      <c r="L92" s="11"/>
    </row>
    <row r="93" spans="1:12">
      <c r="A93" s="10"/>
      <c r="B93" s="10"/>
      <c r="C93" s="10"/>
      <c r="D93" s="10"/>
      <c r="E93" s="10"/>
      <c r="F93" s="11"/>
      <c r="G93" s="11"/>
      <c r="H93" s="10"/>
      <c r="I93" s="10"/>
      <c r="J93" s="10"/>
      <c r="K93" s="10"/>
      <c r="L93" s="11"/>
    </row>
    <row r="94" spans="1:12">
      <c r="A94" s="10"/>
      <c r="B94" s="10"/>
      <c r="C94" s="10"/>
      <c r="D94" s="10"/>
      <c r="E94" s="10"/>
      <c r="F94" s="11"/>
      <c r="G94" s="11"/>
      <c r="H94" s="10"/>
      <c r="I94" s="10"/>
      <c r="J94" s="10"/>
      <c r="K94" s="10"/>
      <c r="L94" s="11"/>
    </row>
    <row r="95" spans="1:12">
      <c r="A95" s="10"/>
      <c r="B95" s="10"/>
      <c r="C95" s="10"/>
      <c r="D95" s="10"/>
      <c r="E95" s="10"/>
      <c r="F95" s="11"/>
      <c r="G95" s="11"/>
      <c r="H95" s="10"/>
      <c r="I95" s="10"/>
      <c r="J95" s="10"/>
      <c r="K95" s="10"/>
      <c r="L95" s="11"/>
    </row>
    <row r="96" spans="1:12">
      <c r="A96" s="10"/>
      <c r="B96" s="10"/>
      <c r="C96" s="10"/>
      <c r="D96" s="10"/>
      <c r="E96" s="10"/>
      <c r="F96" s="11"/>
      <c r="G96" s="11"/>
      <c r="H96" s="10"/>
      <c r="I96" s="10"/>
      <c r="J96" s="10"/>
      <c r="K96" s="10"/>
      <c r="L96" s="11"/>
    </row>
    <row r="97" spans="1:12">
      <c r="A97" s="10"/>
      <c r="B97" s="10"/>
      <c r="C97" s="10"/>
      <c r="D97" s="10"/>
      <c r="E97" s="10"/>
      <c r="F97" s="11"/>
      <c r="G97" s="11"/>
      <c r="H97" s="10"/>
      <c r="I97" s="10"/>
      <c r="J97" s="10"/>
      <c r="K97" s="10"/>
      <c r="L97" s="11"/>
    </row>
    <row r="98" spans="1:12">
      <c r="A98" s="10"/>
      <c r="B98" s="10"/>
      <c r="C98" s="10"/>
      <c r="D98" s="10"/>
      <c r="E98" s="10"/>
      <c r="F98" s="11"/>
      <c r="G98" s="11"/>
      <c r="H98" s="10"/>
      <c r="I98" s="10"/>
      <c r="J98" s="10"/>
      <c r="K98" s="10"/>
      <c r="L98" s="11"/>
    </row>
    <row r="99" spans="1:12">
      <c r="A99" s="10"/>
      <c r="B99" s="10"/>
      <c r="C99" s="10"/>
      <c r="D99" s="10"/>
      <c r="E99" s="10"/>
      <c r="F99" s="11"/>
      <c r="G99" s="11"/>
      <c r="H99" s="10"/>
      <c r="I99" s="10"/>
      <c r="J99" s="10"/>
      <c r="K99" s="10"/>
      <c r="L99" s="11"/>
    </row>
    <row r="100" spans="1:12">
      <c r="A100" s="10"/>
      <c r="B100" s="10"/>
      <c r="C100" s="10"/>
      <c r="D100" s="10"/>
      <c r="E100" s="10"/>
      <c r="F100" s="11"/>
      <c r="G100" s="11"/>
      <c r="H100" s="10"/>
      <c r="I100" s="10"/>
      <c r="J100" s="10"/>
      <c r="K100" s="10"/>
      <c r="L100" s="11"/>
    </row>
    <row r="101" spans="1:12">
      <c r="A101" s="10"/>
      <c r="B101" s="10"/>
      <c r="C101" s="10"/>
      <c r="D101" s="10"/>
      <c r="E101" s="10"/>
      <c r="F101" s="11"/>
      <c r="G101" s="11"/>
      <c r="H101" s="10"/>
      <c r="I101" s="10"/>
      <c r="J101" s="10"/>
      <c r="K101" s="10"/>
      <c r="L101" s="11"/>
    </row>
    <row r="102" spans="1:12">
      <c r="A102" s="10"/>
      <c r="B102" s="10"/>
      <c r="C102" s="10"/>
      <c r="D102" s="10"/>
      <c r="E102" s="10"/>
      <c r="F102" s="11"/>
      <c r="G102" s="11"/>
      <c r="H102" s="10"/>
      <c r="I102" s="10"/>
      <c r="J102" s="10"/>
      <c r="K102" s="10"/>
      <c r="L102" s="11"/>
    </row>
    <row r="103" spans="1:12">
      <c r="A103" s="10"/>
      <c r="B103" s="10"/>
      <c r="C103" s="10"/>
      <c r="D103" s="10"/>
      <c r="E103" s="10"/>
      <c r="F103" s="11"/>
      <c r="G103" s="11"/>
      <c r="H103" s="10"/>
      <c r="I103" s="10"/>
      <c r="J103" s="10"/>
      <c r="K103" s="10"/>
      <c r="L103" s="11"/>
    </row>
    <row r="104" spans="1:12">
      <c r="A104" s="10"/>
      <c r="B104" s="10"/>
      <c r="C104" s="10"/>
      <c r="D104" s="10"/>
      <c r="E104" s="10"/>
      <c r="F104" s="11"/>
      <c r="G104" s="11"/>
      <c r="H104" s="10"/>
      <c r="I104" s="10"/>
      <c r="J104" s="10"/>
      <c r="K104" s="10"/>
      <c r="L104" s="11"/>
    </row>
    <row r="105" spans="1:12">
      <c r="A105" s="10"/>
      <c r="B105" s="10"/>
      <c r="C105" s="10"/>
      <c r="D105" s="10"/>
      <c r="E105" s="10"/>
      <c r="F105" s="11"/>
      <c r="G105" s="11"/>
      <c r="H105" s="10"/>
      <c r="I105" s="10"/>
      <c r="J105" s="10"/>
      <c r="K105" s="10"/>
      <c r="L105" s="11"/>
    </row>
    <row r="106" spans="1:12">
      <c r="A106" s="10"/>
      <c r="B106" s="10"/>
      <c r="C106" s="10"/>
      <c r="D106" s="10"/>
      <c r="E106" s="10"/>
      <c r="F106" s="11"/>
      <c r="G106" s="11"/>
      <c r="H106" s="10"/>
      <c r="I106" s="10"/>
      <c r="J106" s="10"/>
      <c r="K106" s="10"/>
      <c r="L106" s="11"/>
    </row>
    <row r="107" spans="1:12">
      <c r="A107" s="10"/>
      <c r="B107" s="10"/>
      <c r="C107" s="10"/>
      <c r="D107" s="10"/>
      <c r="E107" s="10"/>
      <c r="F107" s="11"/>
      <c r="G107" s="11"/>
      <c r="H107" s="10"/>
      <c r="I107" s="10"/>
      <c r="J107" s="10"/>
      <c r="K107" s="10"/>
      <c r="L107" s="11"/>
    </row>
    <row r="108" spans="1:12">
      <c r="A108" s="10"/>
      <c r="B108" s="10"/>
      <c r="C108" s="10"/>
      <c r="D108" s="10"/>
      <c r="E108" s="10"/>
      <c r="F108" s="11"/>
      <c r="G108" s="11"/>
      <c r="H108" s="10"/>
      <c r="I108" s="10"/>
      <c r="J108" s="10"/>
      <c r="K108" s="10"/>
      <c r="L108" s="11"/>
    </row>
    <row r="109" spans="1:12">
      <c r="A109" s="10"/>
      <c r="B109" s="10"/>
      <c r="C109" s="10"/>
      <c r="D109" s="10"/>
      <c r="E109" s="10"/>
      <c r="F109" s="11"/>
      <c r="G109" s="11"/>
      <c r="H109" s="10"/>
      <c r="I109" s="10"/>
      <c r="J109" s="10"/>
      <c r="K109" s="10"/>
      <c r="L109" s="11"/>
    </row>
    <row r="110" spans="1:12">
      <c r="A110" s="10"/>
      <c r="B110" s="10"/>
      <c r="C110" s="10"/>
      <c r="D110" s="10"/>
      <c r="E110" s="10"/>
      <c r="F110" s="11"/>
      <c r="G110" s="11"/>
      <c r="H110" s="10"/>
      <c r="I110" s="10"/>
      <c r="J110" s="10"/>
      <c r="K110" s="10"/>
      <c r="L110" s="11"/>
    </row>
    <row r="111" spans="1:12">
      <c r="A111" s="10"/>
      <c r="B111" s="10"/>
      <c r="C111" s="10"/>
      <c r="D111" s="10"/>
      <c r="E111" s="10"/>
      <c r="F111" s="11"/>
      <c r="G111" s="11"/>
      <c r="H111" s="10"/>
      <c r="I111" s="10"/>
      <c r="J111" s="10"/>
      <c r="K111" s="10"/>
      <c r="L111" s="11"/>
    </row>
    <row r="112" spans="1:12">
      <c r="A112" s="10"/>
      <c r="B112" s="10"/>
      <c r="C112" s="10"/>
      <c r="D112" s="10"/>
      <c r="E112" s="10"/>
      <c r="F112" s="11"/>
      <c r="G112" s="11"/>
      <c r="H112" s="10"/>
      <c r="I112" s="10"/>
      <c r="J112" s="10"/>
      <c r="K112" s="10"/>
      <c r="L112" s="11"/>
    </row>
    <row r="113" spans="1:12">
      <c r="A113" s="10"/>
      <c r="B113" s="10"/>
      <c r="C113" s="10"/>
      <c r="D113" s="10"/>
      <c r="E113" s="10"/>
      <c r="F113" s="11"/>
      <c r="G113" s="11"/>
      <c r="H113" s="10"/>
      <c r="I113" s="10"/>
      <c r="J113" s="10"/>
      <c r="K113" s="10"/>
      <c r="L113" s="11"/>
    </row>
    <row r="114" spans="1:12">
      <c r="A114" s="10"/>
      <c r="B114" s="10"/>
      <c r="C114" s="10"/>
      <c r="D114" s="10"/>
      <c r="E114" s="10"/>
      <c r="F114" s="11"/>
      <c r="G114" s="11"/>
      <c r="H114" s="10"/>
      <c r="I114" s="10"/>
      <c r="J114" s="10"/>
      <c r="K114" s="10"/>
      <c r="L114" s="11"/>
    </row>
    <row r="115" spans="1:12">
      <c r="A115" s="10"/>
      <c r="B115" s="10"/>
      <c r="C115" s="10"/>
      <c r="D115" s="10"/>
      <c r="E115" s="10"/>
      <c r="F115" s="11"/>
      <c r="G115" s="11"/>
      <c r="H115" s="10"/>
      <c r="I115" s="10"/>
      <c r="J115" s="10"/>
      <c r="K115" s="10"/>
      <c r="L115" s="11"/>
    </row>
    <row r="116" spans="1:12">
      <c r="A116" s="10"/>
      <c r="B116" s="10"/>
      <c r="C116" s="10"/>
      <c r="D116" s="10"/>
      <c r="E116" s="10"/>
      <c r="F116" s="11"/>
      <c r="G116" s="11"/>
      <c r="H116" s="10"/>
      <c r="I116" s="10"/>
      <c r="J116" s="10"/>
      <c r="K116" s="10"/>
      <c r="L116" s="11"/>
    </row>
    <row r="117" spans="1:12">
      <c r="A117" s="10"/>
      <c r="B117" s="10"/>
      <c r="C117" s="10"/>
      <c r="D117" s="10"/>
      <c r="E117" s="10"/>
      <c r="F117" s="11"/>
      <c r="G117" s="11"/>
      <c r="H117" s="10"/>
      <c r="I117" s="10"/>
      <c r="J117" s="10"/>
      <c r="K117" s="10"/>
      <c r="L117" s="11"/>
    </row>
    <row r="118" spans="1:12">
      <c r="A118" s="10"/>
      <c r="B118" s="10"/>
      <c r="C118" s="10"/>
      <c r="D118" s="10"/>
      <c r="E118" s="10"/>
      <c r="F118" s="11"/>
      <c r="G118" s="11"/>
      <c r="H118" s="10"/>
      <c r="I118" s="10"/>
      <c r="J118" s="10"/>
      <c r="K118" s="10"/>
      <c r="L118" s="11"/>
    </row>
    <row r="119" spans="1:12">
      <c r="A119" s="10"/>
      <c r="B119" s="10"/>
      <c r="C119" s="10"/>
      <c r="D119" s="10"/>
      <c r="E119" s="10"/>
      <c r="F119" s="11"/>
      <c r="G119" s="11"/>
      <c r="H119" s="10"/>
      <c r="I119" s="10"/>
      <c r="J119" s="10"/>
      <c r="K119" s="10"/>
      <c r="L119" s="11"/>
    </row>
    <row r="120" spans="1:12">
      <c r="A120" s="10"/>
      <c r="B120" s="10"/>
      <c r="C120" s="10"/>
      <c r="D120" s="10"/>
      <c r="E120" s="10"/>
      <c r="F120" s="11"/>
      <c r="G120" s="11"/>
      <c r="H120" s="10"/>
      <c r="I120" s="10"/>
      <c r="J120" s="10"/>
      <c r="K120" s="10"/>
      <c r="L120" s="11"/>
    </row>
    <row r="121" spans="1:12">
      <c r="A121" s="10"/>
      <c r="B121" s="10"/>
      <c r="C121" s="10"/>
      <c r="D121" s="10"/>
      <c r="E121" s="10"/>
      <c r="F121" s="11"/>
      <c r="G121" s="11"/>
      <c r="H121" s="10"/>
      <c r="I121" s="10"/>
      <c r="J121" s="10"/>
      <c r="K121" s="10"/>
      <c r="L121" s="11"/>
    </row>
    <row r="122" spans="1:12">
      <c r="A122" s="10"/>
      <c r="B122" s="10"/>
      <c r="C122" s="10"/>
      <c r="D122" s="10"/>
      <c r="E122" s="10"/>
      <c r="F122" s="11"/>
      <c r="G122" s="11"/>
      <c r="H122" s="10"/>
      <c r="I122" s="10"/>
      <c r="J122" s="10"/>
      <c r="K122" s="10"/>
      <c r="L122" s="11"/>
    </row>
    <row r="123" spans="1:12">
      <c r="A123" s="10"/>
      <c r="B123" s="10"/>
      <c r="C123" s="10"/>
      <c r="D123" s="10"/>
      <c r="E123" s="10"/>
      <c r="F123" s="11"/>
      <c r="G123" s="11"/>
      <c r="H123" s="10"/>
      <c r="I123" s="10"/>
      <c r="J123" s="10"/>
      <c r="K123" s="10"/>
      <c r="L123" s="11"/>
    </row>
    <row r="124" spans="1:12">
      <c r="A124" s="10"/>
      <c r="B124" s="10"/>
      <c r="C124" s="10"/>
      <c r="D124" s="10"/>
      <c r="E124" s="10"/>
      <c r="F124" s="11"/>
      <c r="G124" s="11"/>
      <c r="H124" s="10"/>
      <c r="I124" s="10"/>
      <c r="J124" s="10"/>
      <c r="K124" s="10"/>
      <c r="L124" s="11"/>
    </row>
    <row r="125" spans="1:12">
      <c r="A125" s="10"/>
      <c r="B125" s="10"/>
      <c r="C125" s="10"/>
      <c r="D125" s="10"/>
      <c r="E125" s="10"/>
      <c r="F125" s="11"/>
      <c r="G125" s="11"/>
      <c r="H125" s="10"/>
      <c r="I125" s="10"/>
      <c r="J125" s="10"/>
      <c r="K125" s="10"/>
      <c r="L125" s="11"/>
    </row>
    <row r="126" spans="1:12">
      <c r="A126" s="10"/>
      <c r="B126" s="10"/>
      <c r="C126" s="10"/>
      <c r="D126" s="10"/>
      <c r="E126" s="10"/>
      <c r="F126" s="11"/>
      <c r="G126" s="11"/>
      <c r="H126" s="10"/>
      <c r="I126" s="10"/>
      <c r="J126" s="10"/>
      <c r="K126" s="10"/>
      <c r="L126" s="11"/>
    </row>
    <row r="127" spans="1:12">
      <c r="A127" s="10"/>
      <c r="B127" s="10"/>
      <c r="C127" s="10"/>
      <c r="D127" s="10"/>
      <c r="E127" s="10"/>
      <c r="F127" s="11"/>
      <c r="G127" s="11"/>
      <c r="H127" s="10"/>
      <c r="I127" s="10"/>
      <c r="J127" s="10"/>
      <c r="K127" s="10"/>
      <c r="L127" s="11"/>
    </row>
    <row r="128" spans="1:12">
      <c r="A128" s="10"/>
      <c r="B128" s="10"/>
      <c r="C128" s="10"/>
      <c r="D128" s="10"/>
      <c r="E128" s="10"/>
      <c r="F128" s="11"/>
      <c r="G128" s="11"/>
      <c r="H128" s="10"/>
      <c r="I128" s="10"/>
      <c r="J128" s="10"/>
      <c r="K128" s="10"/>
      <c r="L128" s="11"/>
    </row>
    <row r="129" spans="1:12">
      <c r="A129" s="10"/>
      <c r="B129" s="10"/>
      <c r="C129" s="10"/>
      <c r="D129" s="10"/>
      <c r="E129" s="10"/>
      <c r="F129" s="11"/>
      <c r="G129" s="11"/>
      <c r="H129" s="10"/>
      <c r="I129" s="10"/>
      <c r="J129" s="10"/>
      <c r="K129" s="10"/>
      <c r="L129" s="11"/>
    </row>
    <row r="130" spans="1:12">
      <c r="A130" s="10"/>
      <c r="B130" s="10"/>
      <c r="C130" s="10"/>
      <c r="D130" s="10"/>
      <c r="E130" s="10"/>
      <c r="F130" s="11"/>
      <c r="G130" s="11"/>
      <c r="H130" s="10"/>
      <c r="I130" s="10"/>
      <c r="J130" s="10"/>
      <c r="K130" s="10"/>
      <c r="L130" s="11"/>
    </row>
    <row r="131" spans="1:12">
      <c r="A131" s="10"/>
      <c r="B131" s="10"/>
      <c r="C131" s="10"/>
      <c r="D131" s="10"/>
      <c r="E131" s="10"/>
      <c r="F131" s="11"/>
      <c r="G131" s="11"/>
      <c r="H131" s="10"/>
      <c r="I131" s="10"/>
      <c r="J131" s="10"/>
      <c r="K131" s="10"/>
      <c r="L131" s="11"/>
    </row>
    <row r="132" spans="1:12">
      <c r="A132" s="10"/>
      <c r="B132" s="10"/>
      <c r="C132" s="10"/>
      <c r="D132" s="10"/>
      <c r="E132" s="10"/>
      <c r="F132" s="11"/>
      <c r="G132" s="11"/>
      <c r="H132" s="10"/>
      <c r="I132" s="10"/>
      <c r="J132" s="10"/>
      <c r="K132" s="10"/>
      <c r="L132" s="11"/>
    </row>
    <row r="133" spans="1:12">
      <c r="A133" s="10"/>
      <c r="B133" s="10"/>
      <c r="C133" s="10"/>
      <c r="D133" s="10"/>
      <c r="E133" s="10"/>
      <c r="F133" s="11"/>
      <c r="G133" s="11"/>
      <c r="H133" s="10"/>
      <c r="I133" s="10"/>
      <c r="J133" s="10"/>
      <c r="K133" s="10"/>
      <c r="L133" s="11"/>
    </row>
    <row r="134" spans="1:12">
      <c r="A134" s="10"/>
      <c r="B134" s="10"/>
      <c r="C134" s="10"/>
      <c r="D134" s="10"/>
      <c r="E134" s="10"/>
      <c r="F134" s="11"/>
      <c r="G134" s="11"/>
      <c r="H134" s="10"/>
      <c r="I134" s="10"/>
      <c r="J134" s="10"/>
      <c r="K134" s="10"/>
      <c r="L134" s="11"/>
    </row>
    <row r="135" spans="1:12">
      <c r="A135" s="10"/>
      <c r="B135" s="10"/>
      <c r="C135" s="10"/>
      <c r="D135" s="10"/>
      <c r="E135" s="10"/>
      <c r="F135" s="11"/>
      <c r="G135" s="11"/>
      <c r="H135" s="10"/>
      <c r="I135" s="10"/>
      <c r="J135" s="10"/>
      <c r="K135" s="10"/>
      <c r="L135" s="11"/>
    </row>
    <row r="136" spans="1:12">
      <c r="A136" s="10"/>
      <c r="B136" s="10"/>
      <c r="C136" s="10"/>
      <c r="D136" s="10"/>
      <c r="E136" s="10"/>
      <c r="F136" s="11"/>
      <c r="G136" s="11"/>
      <c r="H136" s="10"/>
      <c r="I136" s="10"/>
      <c r="J136" s="10"/>
      <c r="K136" s="10"/>
      <c r="L136" s="11"/>
    </row>
    <row r="137" spans="1:12">
      <c r="A137" s="10"/>
      <c r="B137" s="10"/>
      <c r="C137" s="10"/>
      <c r="D137" s="10"/>
      <c r="E137" s="10"/>
      <c r="F137" s="11"/>
      <c r="G137" s="11"/>
      <c r="H137" s="10"/>
      <c r="I137" s="10"/>
      <c r="J137" s="10"/>
      <c r="K137" s="10"/>
      <c r="L137" s="11"/>
    </row>
    <row r="138" spans="1:12">
      <c r="A138" s="10"/>
      <c r="B138" s="10"/>
      <c r="C138" s="10"/>
      <c r="D138" s="10"/>
      <c r="E138" s="10"/>
      <c r="F138" s="11"/>
      <c r="G138" s="11"/>
      <c r="H138" s="10"/>
      <c r="I138" s="10"/>
      <c r="J138" s="10"/>
      <c r="K138" s="10"/>
      <c r="L138" s="11"/>
    </row>
    <row r="139" spans="1:12">
      <c r="A139" s="10"/>
      <c r="B139" s="10"/>
      <c r="C139" s="10"/>
      <c r="D139" s="10"/>
      <c r="E139" s="10"/>
      <c r="F139" s="11"/>
      <c r="G139" s="11"/>
      <c r="H139" s="10"/>
      <c r="I139" s="10"/>
      <c r="J139" s="10"/>
      <c r="K139" s="10"/>
      <c r="L139" s="11"/>
    </row>
    <row r="140" spans="1:12">
      <c r="A140" s="10"/>
      <c r="B140" s="10"/>
      <c r="C140" s="10"/>
      <c r="D140" s="10"/>
      <c r="E140" s="10"/>
      <c r="F140" s="11"/>
      <c r="G140" s="11"/>
      <c r="H140" s="10"/>
      <c r="I140" s="10"/>
      <c r="J140" s="10"/>
      <c r="K140" s="10"/>
      <c r="L140" s="11"/>
    </row>
    <row r="141" spans="1:12">
      <c r="A141" s="10"/>
      <c r="B141" s="10"/>
      <c r="C141" s="10"/>
      <c r="D141" s="10"/>
      <c r="E141" s="10"/>
      <c r="F141" s="11"/>
      <c r="G141" s="11"/>
      <c r="H141" s="10"/>
      <c r="I141" s="10"/>
      <c r="J141" s="10"/>
      <c r="K141" s="10"/>
      <c r="L141" s="11"/>
    </row>
    <row r="142" spans="1:12">
      <c r="A142" s="10"/>
      <c r="B142" s="10"/>
      <c r="C142" s="10"/>
      <c r="D142" s="10"/>
      <c r="E142" s="10"/>
      <c r="F142" s="11"/>
      <c r="G142" s="11"/>
      <c r="H142" s="10"/>
      <c r="I142" s="10"/>
      <c r="J142" s="10"/>
      <c r="K142" s="10"/>
      <c r="L142" s="11"/>
    </row>
    <row r="143" spans="1:12">
      <c r="A143" s="10"/>
      <c r="B143" s="10"/>
      <c r="C143" s="10"/>
      <c r="D143" s="10"/>
      <c r="E143" s="10"/>
      <c r="F143" s="11"/>
      <c r="G143" s="11"/>
      <c r="H143" s="10"/>
      <c r="I143" s="10"/>
      <c r="J143" s="10"/>
      <c r="K143" s="10"/>
      <c r="L143" s="11"/>
    </row>
    <row r="144" spans="1:12">
      <c r="A144" s="10"/>
      <c r="B144" s="10"/>
      <c r="C144" s="10"/>
      <c r="D144" s="10"/>
      <c r="E144" s="10"/>
      <c r="F144" s="11"/>
      <c r="G144" s="11"/>
      <c r="H144" s="10"/>
      <c r="I144" s="10"/>
      <c r="J144" s="10"/>
      <c r="K144" s="10"/>
      <c r="L144" s="11"/>
    </row>
    <row r="145" spans="1:12">
      <c r="A145" s="10"/>
      <c r="B145" s="10"/>
      <c r="C145" s="10"/>
      <c r="D145" s="10"/>
      <c r="E145" s="10"/>
      <c r="F145" s="11"/>
      <c r="G145" s="11"/>
      <c r="H145" s="10"/>
      <c r="I145" s="10"/>
      <c r="J145" s="10"/>
      <c r="K145" s="10"/>
      <c r="L145" s="11"/>
    </row>
    <row r="146" spans="1:12">
      <c r="A146" s="10"/>
      <c r="B146" s="10"/>
      <c r="C146" s="10"/>
      <c r="D146" s="10"/>
      <c r="E146" s="10"/>
      <c r="F146" s="11"/>
      <c r="G146" s="11"/>
      <c r="H146" s="10"/>
      <c r="I146" s="10"/>
      <c r="J146" s="10"/>
      <c r="K146" s="10"/>
      <c r="L146" s="11"/>
    </row>
    <row r="147" spans="1:12">
      <c r="A147" s="10"/>
      <c r="B147" s="10"/>
      <c r="C147" s="10"/>
      <c r="D147" s="10"/>
      <c r="E147" s="10"/>
      <c r="F147" s="11"/>
      <c r="G147" s="11"/>
      <c r="H147" s="10"/>
      <c r="I147" s="10"/>
      <c r="J147" s="10"/>
      <c r="K147" s="10"/>
      <c r="L147" s="11"/>
    </row>
    <row r="148" spans="1:12">
      <c r="A148" s="10"/>
      <c r="B148" s="10"/>
      <c r="C148" s="10"/>
      <c r="D148" s="10"/>
      <c r="E148" s="10"/>
      <c r="F148" s="11"/>
      <c r="G148" s="11"/>
      <c r="H148" s="10"/>
      <c r="I148" s="10"/>
      <c r="J148" s="10"/>
      <c r="K148" s="10"/>
      <c r="L148" s="11"/>
    </row>
    <row r="149" spans="1:12">
      <c r="A149" s="10"/>
      <c r="B149" s="10"/>
      <c r="C149" s="10"/>
      <c r="D149" s="10"/>
      <c r="E149" s="10"/>
      <c r="F149" s="11"/>
      <c r="G149" s="11"/>
      <c r="H149" s="10"/>
      <c r="I149" s="10"/>
      <c r="J149" s="10"/>
      <c r="K149" s="10"/>
      <c r="L149" s="11"/>
    </row>
    <row r="150" spans="1:12">
      <c r="A150" s="10"/>
      <c r="B150" s="10"/>
      <c r="C150" s="10"/>
      <c r="D150" s="10"/>
      <c r="E150" s="10"/>
      <c r="F150" s="11"/>
      <c r="G150" s="11"/>
      <c r="H150" s="10"/>
      <c r="I150" s="10"/>
      <c r="J150" s="10"/>
      <c r="K150" s="10"/>
      <c r="L150" s="11"/>
    </row>
    <row r="151" spans="1:12">
      <c r="A151" s="10"/>
      <c r="B151" s="10"/>
      <c r="C151" s="10"/>
      <c r="D151" s="10"/>
      <c r="E151" s="10"/>
      <c r="F151" s="11"/>
      <c r="G151" s="11"/>
      <c r="H151" s="10"/>
      <c r="I151" s="10"/>
      <c r="J151" s="10"/>
      <c r="K151" s="10"/>
      <c r="L151" s="11"/>
    </row>
    <row r="152" spans="1:12">
      <c r="A152" s="10"/>
      <c r="B152" s="10"/>
      <c r="C152" s="10"/>
      <c r="D152" s="10"/>
      <c r="E152" s="10"/>
      <c r="F152" s="11"/>
      <c r="G152" s="11"/>
      <c r="H152" s="10"/>
      <c r="I152" s="10"/>
      <c r="J152" s="10"/>
      <c r="K152" s="10"/>
      <c r="L152" s="11"/>
    </row>
    <row r="153" spans="1:12">
      <c r="A153" s="10"/>
      <c r="B153" s="10"/>
      <c r="C153" s="10"/>
      <c r="D153" s="10"/>
      <c r="E153" s="10"/>
      <c r="F153" s="11"/>
      <c r="G153" s="11"/>
      <c r="H153" s="10"/>
      <c r="I153" s="10"/>
      <c r="J153" s="10"/>
      <c r="K153" s="10"/>
      <c r="L153" s="11"/>
    </row>
    <row r="154" spans="1:12">
      <c r="A154" s="10"/>
      <c r="B154" s="10"/>
      <c r="C154" s="10"/>
      <c r="D154" s="10"/>
      <c r="E154" s="10"/>
      <c r="F154" s="11"/>
      <c r="G154" s="11"/>
      <c r="H154" s="10"/>
      <c r="I154" s="10"/>
      <c r="J154" s="10"/>
      <c r="K154" s="10"/>
      <c r="L154" s="11"/>
    </row>
    <row r="155" spans="1:12">
      <c r="A155" s="10"/>
      <c r="B155" s="10"/>
      <c r="C155" s="10"/>
      <c r="D155" s="10"/>
      <c r="E155" s="10"/>
      <c r="F155" s="11"/>
      <c r="G155" s="11"/>
      <c r="H155" s="10"/>
      <c r="I155" s="10"/>
      <c r="J155" s="10"/>
      <c r="K155" s="10"/>
      <c r="L155" s="11"/>
    </row>
    <row r="156" spans="1:12">
      <c r="A156" s="10"/>
      <c r="B156" s="10"/>
      <c r="C156" s="10"/>
      <c r="D156" s="10"/>
      <c r="E156" s="10"/>
      <c r="F156" s="11"/>
      <c r="G156" s="11"/>
      <c r="H156" s="10"/>
      <c r="I156" s="10"/>
      <c r="J156" s="10"/>
      <c r="K156" s="10"/>
      <c r="L156" s="11"/>
    </row>
    <row r="157" spans="1:12">
      <c r="A157" s="10"/>
      <c r="B157" s="10"/>
      <c r="C157" s="10"/>
      <c r="D157" s="10"/>
      <c r="E157" s="10"/>
      <c r="F157" s="11"/>
      <c r="G157" s="11"/>
      <c r="H157" s="10"/>
      <c r="I157" s="10"/>
      <c r="J157" s="10"/>
      <c r="K157" s="10"/>
      <c r="L157" s="11"/>
    </row>
    <row r="158" spans="1:12">
      <c r="A158" s="10"/>
      <c r="B158" s="10"/>
      <c r="C158" s="10"/>
      <c r="D158" s="10"/>
      <c r="E158" s="10"/>
      <c r="F158" s="11"/>
      <c r="G158" s="11"/>
      <c r="H158" s="10"/>
      <c r="I158" s="10"/>
      <c r="J158" s="10"/>
      <c r="K158" s="10"/>
      <c r="L158" s="11"/>
    </row>
    <row r="159" spans="1:12">
      <c r="A159" s="10"/>
      <c r="B159" s="10"/>
      <c r="C159" s="10"/>
      <c r="D159" s="10"/>
      <c r="E159" s="10"/>
      <c r="F159" s="11"/>
      <c r="G159" s="11"/>
      <c r="H159" s="10"/>
      <c r="I159" s="10"/>
      <c r="J159" s="10"/>
      <c r="K159" s="10"/>
      <c r="L159" s="11"/>
    </row>
    <row r="160" spans="1:12">
      <c r="A160" s="10"/>
      <c r="B160" s="10"/>
      <c r="C160" s="10"/>
      <c r="D160" s="10"/>
      <c r="E160" s="10"/>
      <c r="F160" s="11"/>
      <c r="G160" s="11"/>
      <c r="H160" s="10"/>
      <c r="I160" s="10"/>
      <c r="J160" s="10"/>
      <c r="K160" s="10"/>
      <c r="L160" s="11"/>
    </row>
    <row r="161" spans="1:12">
      <c r="A161" s="10"/>
      <c r="B161" s="10"/>
      <c r="C161" s="10"/>
      <c r="D161" s="10"/>
      <c r="E161" s="10"/>
      <c r="F161" s="11"/>
      <c r="G161" s="11"/>
      <c r="H161" s="10"/>
      <c r="I161" s="10"/>
      <c r="J161" s="10"/>
      <c r="K161" s="10"/>
      <c r="L161" s="11"/>
    </row>
    <row r="162" spans="1:12">
      <c r="A162" s="10"/>
      <c r="B162" s="10"/>
      <c r="C162" s="10"/>
      <c r="D162" s="10"/>
      <c r="E162" s="10"/>
      <c r="F162" s="11"/>
      <c r="G162" s="11"/>
      <c r="H162" s="10"/>
      <c r="I162" s="10"/>
      <c r="J162" s="10"/>
      <c r="K162" s="10"/>
      <c r="L162" s="11"/>
    </row>
    <row r="163" spans="1:12">
      <c r="A163" s="10"/>
      <c r="B163" s="10"/>
      <c r="C163" s="10"/>
      <c r="D163" s="10"/>
      <c r="E163" s="10"/>
      <c r="F163" s="11"/>
      <c r="G163" s="11"/>
      <c r="H163" s="10"/>
      <c r="I163" s="10"/>
      <c r="J163" s="10"/>
      <c r="K163" s="10"/>
      <c r="L163" s="11"/>
    </row>
    <row r="164" spans="1:12">
      <c r="A164" s="10"/>
      <c r="B164" s="10"/>
      <c r="C164" s="10"/>
      <c r="D164" s="10"/>
      <c r="E164" s="10"/>
      <c r="F164" s="11"/>
      <c r="G164" s="11"/>
      <c r="H164" s="10"/>
      <c r="I164" s="10"/>
      <c r="J164" s="10"/>
      <c r="K164" s="10"/>
      <c r="L164" s="11"/>
    </row>
    <row r="165" spans="1:12">
      <c r="A165" s="10"/>
      <c r="B165" s="10"/>
      <c r="C165" s="10"/>
      <c r="D165" s="10"/>
      <c r="E165" s="10"/>
      <c r="F165" s="11"/>
      <c r="G165" s="11"/>
      <c r="H165" s="10"/>
      <c r="I165" s="10"/>
      <c r="J165" s="10"/>
      <c r="K165" s="10"/>
      <c r="L165" s="11"/>
    </row>
    <row r="166" spans="1:12">
      <c r="A166" s="10"/>
      <c r="B166" s="10"/>
      <c r="C166" s="10"/>
      <c r="D166" s="10"/>
      <c r="E166" s="10"/>
      <c r="F166" s="11"/>
      <c r="G166" s="11"/>
      <c r="H166" s="10"/>
      <c r="I166" s="10"/>
      <c r="J166" s="10"/>
      <c r="K166" s="10"/>
      <c r="L166" s="11"/>
    </row>
    <row r="167" spans="1:12">
      <c r="A167" s="10"/>
      <c r="B167" s="10"/>
      <c r="C167" s="10"/>
      <c r="D167" s="10"/>
      <c r="E167" s="10"/>
      <c r="F167" s="11"/>
      <c r="G167" s="11"/>
      <c r="H167" s="10"/>
      <c r="I167" s="10"/>
      <c r="J167" s="10"/>
      <c r="K167" s="10"/>
      <c r="L167" s="11"/>
    </row>
    <row r="168" spans="1:12">
      <c r="A168" s="10"/>
      <c r="B168" s="10"/>
      <c r="C168" s="10"/>
      <c r="D168" s="10"/>
      <c r="E168" s="10"/>
      <c r="F168" s="11"/>
      <c r="G168" s="11"/>
      <c r="H168" s="10"/>
      <c r="I168" s="10"/>
      <c r="J168" s="10"/>
      <c r="K168" s="10"/>
      <c r="L168" s="11"/>
    </row>
    <row r="169" spans="1:12">
      <c r="A169" s="10"/>
      <c r="B169" s="10"/>
      <c r="C169" s="10"/>
      <c r="D169" s="10"/>
      <c r="E169" s="10"/>
      <c r="F169" s="11"/>
      <c r="G169" s="11"/>
      <c r="H169" s="10"/>
      <c r="I169" s="10"/>
      <c r="J169" s="10"/>
      <c r="K169" s="10"/>
      <c r="L169" s="11"/>
    </row>
    <row r="170" spans="1:12">
      <c r="A170" s="10"/>
      <c r="B170" s="10"/>
      <c r="C170" s="10"/>
      <c r="D170" s="10"/>
      <c r="E170" s="10"/>
      <c r="F170" s="11"/>
      <c r="G170" s="11"/>
      <c r="H170" s="10"/>
      <c r="I170" s="10"/>
      <c r="J170" s="10"/>
      <c r="K170" s="10"/>
      <c r="L170" s="11"/>
    </row>
    <row r="171" spans="1:12">
      <c r="A171" s="10"/>
      <c r="B171" s="10"/>
      <c r="C171" s="10"/>
      <c r="D171" s="10"/>
      <c r="E171" s="10"/>
      <c r="F171" s="11"/>
      <c r="G171" s="11"/>
      <c r="H171" s="10"/>
      <c r="I171" s="10"/>
      <c r="J171" s="10"/>
      <c r="K171" s="10"/>
      <c r="L171" s="11"/>
    </row>
    <row r="172" spans="1:12">
      <c r="A172" s="10"/>
      <c r="B172" s="10"/>
      <c r="C172" s="10"/>
      <c r="D172" s="10"/>
      <c r="E172" s="10"/>
      <c r="F172" s="11"/>
      <c r="G172" s="11"/>
      <c r="H172" s="10"/>
      <c r="I172" s="10"/>
      <c r="J172" s="10"/>
      <c r="K172" s="10"/>
      <c r="L172" s="11"/>
    </row>
    <row r="173" spans="1:12">
      <c r="A173" s="10"/>
      <c r="B173" s="10"/>
      <c r="C173" s="10"/>
      <c r="D173" s="10"/>
      <c r="E173" s="10"/>
      <c r="F173" s="11"/>
      <c r="G173" s="11"/>
      <c r="H173" s="10"/>
      <c r="I173" s="10"/>
      <c r="J173" s="10"/>
      <c r="K173" s="10"/>
      <c r="L173" s="11"/>
    </row>
    <row r="174" spans="1:12">
      <c r="A174" s="10"/>
      <c r="B174" s="10"/>
      <c r="C174" s="10"/>
      <c r="D174" s="10"/>
      <c r="E174" s="10"/>
      <c r="F174" s="11"/>
      <c r="G174" s="11"/>
      <c r="H174" s="10"/>
      <c r="I174" s="10"/>
      <c r="J174" s="10"/>
      <c r="K174" s="10"/>
      <c r="L174" s="11"/>
    </row>
    <row r="175" spans="1:12">
      <c r="A175" s="10"/>
      <c r="B175" s="10"/>
      <c r="C175" s="10"/>
      <c r="D175" s="10"/>
      <c r="E175" s="10"/>
      <c r="F175" s="11"/>
      <c r="G175" s="11"/>
      <c r="H175" s="10"/>
      <c r="I175" s="10"/>
      <c r="J175" s="10"/>
      <c r="K175" s="10"/>
      <c r="L175" s="11"/>
    </row>
    <row r="176" spans="1:12">
      <c r="A176" s="10"/>
      <c r="B176" s="10"/>
      <c r="C176" s="10"/>
      <c r="D176" s="10"/>
      <c r="E176" s="10"/>
      <c r="F176" s="11"/>
      <c r="G176" s="11"/>
      <c r="H176" s="10"/>
      <c r="I176" s="10"/>
      <c r="J176" s="10"/>
      <c r="K176" s="10"/>
      <c r="L176" s="11"/>
    </row>
    <row r="177" spans="1:12">
      <c r="A177" s="10"/>
      <c r="B177" s="10"/>
      <c r="C177" s="10"/>
      <c r="D177" s="10"/>
      <c r="E177" s="10"/>
      <c r="F177" s="11"/>
      <c r="G177" s="11"/>
      <c r="H177" s="10"/>
      <c r="I177" s="10"/>
      <c r="J177" s="10"/>
      <c r="K177" s="10"/>
      <c r="L177" s="11"/>
    </row>
    <row r="178" spans="1:12">
      <c r="A178" s="10"/>
      <c r="B178" s="10"/>
      <c r="C178" s="10"/>
      <c r="D178" s="10"/>
      <c r="E178" s="10"/>
      <c r="F178" s="11"/>
      <c r="G178" s="11"/>
      <c r="H178" s="10"/>
      <c r="I178" s="10"/>
      <c r="J178" s="10"/>
      <c r="K178" s="10"/>
      <c r="L178" s="11"/>
    </row>
    <row r="179" spans="1:12">
      <c r="A179" s="10"/>
      <c r="B179" s="10"/>
      <c r="C179" s="10"/>
      <c r="D179" s="10"/>
      <c r="E179" s="10"/>
      <c r="F179" s="11"/>
      <c r="G179" s="11"/>
      <c r="H179" s="10"/>
      <c r="I179" s="10"/>
      <c r="J179" s="10"/>
      <c r="K179" s="10"/>
      <c r="L179" s="11"/>
    </row>
    <row r="180" spans="1:12">
      <c r="A180" s="10"/>
      <c r="B180" s="10"/>
      <c r="C180" s="10"/>
      <c r="D180" s="10"/>
      <c r="E180" s="10"/>
      <c r="F180" s="11"/>
      <c r="G180" s="11"/>
      <c r="H180" s="10"/>
      <c r="I180" s="10"/>
      <c r="J180" s="10"/>
      <c r="K180" s="10"/>
      <c r="L180" s="11"/>
    </row>
    <row r="181" spans="1:12">
      <c r="A181" s="10"/>
      <c r="B181" s="10"/>
      <c r="C181" s="10"/>
      <c r="D181" s="10"/>
      <c r="E181" s="10"/>
      <c r="F181" s="11"/>
      <c r="G181" s="11"/>
      <c r="H181" s="10"/>
      <c r="I181" s="10"/>
      <c r="J181" s="10"/>
      <c r="K181" s="10"/>
      <c r="L181" s="11"/>
    </row>
    <row r="182" spans="1:12">
      <c r="A182" s="10"/>
      <c r="B182" s="10"/>
      <c r="C182" s="10"/>
      <c r="D182" s="10"/>
      <c r="E182" s="10"/>
      <c r="F182" s="11"/>
      <c r="G182" s="11"/>
      <c r="H182" s="10"/>
      <c r="I182" s="10"/>
      <c r="J182" s="10"/>
      <c r="K182" s="10"/>
      <c r="L182" s="11"/>
    </row>
    <row r="183" spans="1:12">
      <c r="A183" s="10"/>
      <c r="B183" s="10"/>
      <c r="C183" s="10"/>
      <c r="D183" s="10"/>
      <c r="E183" s="10"/>
      <c r="F183" s="11"/>
      <c r="G183" s="11"/>
      <c r="H183" s="10"/>
      <c r="I183" s="10"/>
      <c r="J183" s="10"/>
      <c r="K183" s="10"/>
      <c r="L183" s="11"/>
    </row>
    <row r="184" spans="1:12">
      <c r="A184" s="10"/>
      <c r="B184" s="10"/>
      <c r="C184" s="10"/>
      <c r="D184" s="10"/>
      <c r="E184" s="10"/>
      <c r="F184" s="11"/>
      <c r="G184" s="11"/>
      <c r="H184" s="10"/>
      <c r="I184" s="10"/>
      <c r="J184" s="10"/>
      <c r="K184" s="10"/>
      <c r="L184" s="11"/>
    </row>
    <row r="185" spans="1:12">
      <c r="A185" s="10"/>
      <c r="B185" s="10"/>
      <c r="C185" s="10"/>
      <c r="D185" s="10"/>
      <c r="E185" s="10"/>
      <c r="F185" s="11"/>
      <c r="G185" s="11"/>
      <c r="H185" s="10"/>
      <c r="I185" s="10"/>
      <c r="J185" s="10"/>
      <c r="K185" s="10"/>
      <c r="L185" s="11"/>
    </row>
    <row r="186" spans="1:12">
      <c r="A186" s="10"/>
      <c r="B186" s="10"/>
      <c r="C186" s="10"/>
      <c r="D186" s="10"/>
      <c r="E186" s="10"/>
      <c r="F186" s="11"/>
      <c r="G186" s="11"/>
      <c r="H186" s="10"/>
      <c r="I186" s="10"/>
      <c r="J186" s="10"/>
      <c r="K186" s="10"/>
      <c r="L186" s="11"/>
    </row>
    <row r="187" spans="1:12">
      <c r="A187" s="10"/>
      <c r="B187" s="10"/>
      <c r="C187" s="10"/>
      <c r="D187" s="10"/>
      <c r="E187" s="10"/>
      <c r="F187" s="11"/>
      <c r="G187" s="11"/>
      <c r="H187" s="10"/>
      <c r="I187" s="10"/>
      <c r="J187" s="10"/>
      <c r="K187" s="10"/>
      <c r="L187" s="11"/>
    </row>
    <row r="188" spans="1:12">
      <c r="A188" s="10"/>
      <c r="B188" s="10"/>
      <c r="C188" s="10"/>
      <c r="D188" s="10"/>
      <c r="E188" s="10"/>
      <c r="F188" s="11"/>
      <c r="G188" s="11"/>
      <c r="H188" s="10"/>
      <c r="I188" s="10"/>
      <c r="J188" s="10"/>
      <c r="K188" s="10"/>
      <c r="L188" s="11"/>
    </row>
    <row r="189" spans="1:12">
      <c r="A189" s="10"/>
      <c r="B189" s="10"/>
      <c r="C189" s="10"/>
      <c r="D189" s="10"/>
      <c r="E189" s="10"/>
      <c r="F189" s="11"/>
      <c r="G189" s="11"/>
      <c r="H189" s="10"/>
      <c r="I189" s="10"/>
      <c r="J189" s="10"/>
      <c r="K189" s="10"/>
      <c r="L189" s="11"/>
    </row>
    <row r="190" spans="1:12">
      <c r="A190" s="10"/>
      <c r="B190" s="10"/>
      <c r="C190" s="10"/>
      <c r="D190" s="10"/>
      <c r="E190" s="10"/>
      <c r="F190" s="11"/>
      <c r="G190" s="11"/>
      <c r="H190" s="10"/>
      <c r="I190" s="10"/>
      <c r="J190" s="10"/>
      <c r="K190" s="10"/>
      <c r="L190" s="11"/>
    </row>
    <row r="191" spans="1:12">
      <c r="A191" s="10"/>
      <c r="B191" s="10"/>
      <c r="C191" s="10"/>
      <c r="D191" s="10"/>
      <c r="E191" s="10"/>
      <c r="F191" s="11"/>
      <c r="G191" s="11"/>
      <c r="H191" s="10"/>
      <c r="I191" s="10"/>
      <c r="J191" s="10"/>
      <c r="K191" s="10"/>
      <c r="L191" s="11"/>
    </row>
    <row r="192" spans="1:12">
      <c r="A192" s="10"/>
      <c r="B192" s="10"/>
      <c r="C192" s="10"/>
      <c r="D192" s="10"/>
      <c r="E192" s="10"/>
      <c r="F192" s="11"/>
      <c r="G192" s="11"/>
      <c r="H192" s="10"/>
      <c r="I192" s="10"/>
      <c r="J192" s="10"/>
      <c r="K192" s="10"/>
      <c r="L192" s="11"/>
    </row>
    <row r="193" spans="1:12">
      <c r="A193" s="10"/>
      <c r="B193" s="10"/>
      <c r="C193" s="10"/>
      <c r="D193" s="10"/>
      <c r="E193" s="10"/>
      <c r="F193" s="11"/>
      <c r="G193" s="11"/>
      <c r="H193" s="10"/>
      <c r="I193" s="10"/>
      <c r="J193" s="10"/>
      <c r="K193" s="10"/>
      <c r="L193" s="11"/>
    </row>
    <row r="194" spans="1:12">
      <c r="A194" s="10"/>
      <c r="B194" s="10"/>
      <c r="C194" s="10"/>
      <c r="D194" s="10"/>
      <c r="E194" s="10"/>
      <c r="F194" s="11"/>
      <c r="G194" s="11"/>
      <c r="H194" s="10"/>
      <c r="I194" s="10"/>
      <c r="J194" s="10"/>
      <c r="K194" s="10"/>
      <c r="L194" s="11"/>
    </row>
    <row r="195" spans="1:12">
      <c r="A195" s="10"/>
      <c r="B195" s="10"/>
      <c r="C195" s="10"/>
      <c r="D195" s="10"/>
      <c r="E195" s="10"/>
      <c r="F195" s="11"/>
      <c r="G195" s="11"/>
      <c r="H195" s="10"/>
      <c r="I195" s="10"/>
      <c r="J195" s="10"/>
      <c r="K195" s="10"/>
      <c r="L195" s="11"/>
    </row>
    <row r="196" spans="1:12">
      <c r="A196" s="10"/>
      <c r="B196" s="10"/>
      <c r="C196" s="10"/>
      <c r="D196" s="10"/>
      <c r="E196" s="10"/>
      <c r="F196" s="11"/>
      <c r="G196" s="11"/>
      <c r="H196" s="10"/>
      <c r="I196" s="10"/>
      <c r="J196" s="10"/>
      <c r="K196" s="10"/>
      <c r="L196" s="11"/>
    </row>
    <row r="197" spans="1:12">
      <c r="A197" s="10"/>
      <c r="B197" s="10"/>
      <c r="C197" s="10"/>
      <c r="D197" s="10"/>
      <c r="E197" s="10"/>
      <c r="F197" s="11"/>
      <c r="G197" s="11"/>
      <c r="H197" s="10"/>
      <c r="I197" s="10"/>
      <c r="J197" s="10"/>
      <c r="K197" s="10"/>
      <c r="L197" s="11"/>
    </row>
    <row r="198" spans="1:12">
      <c r="A198" s="10"/>
      <c r="B198" s="10"/>
      <c r="C198" s="10"/>
      <c r="D198" s="10"/>
      <c r="E198" s="10"/>
      <c r="F198" s="11"/>
      <c r="G198" s="11"/>
      <c r="H198" s="10"/>
      <c r="I198" s="10"/>
      <c r="J198" s="10"/>
      <c r="K198" s="10"/>
      <c r="L198" s="11"/>
    </row>
    <row r="199" spans="1:12">
      <c r="A199" s="10"/>
      <c r="B199" s="10"/>
      <c r="C199" s="10"/>
      <c r="D199" s="10"/>
      <c r="E199" s="10"/>
      <c r="F199" s="11"/>
      <c r="G199" s="11"/>
      <c r="H199" s="10"/>
      <c r="I199" s="10"/>
      <c r="J199" s="10"/>
      <c r="K199" s="10"/>
      <c r="L199" s="11"/>
    </row>
    <row r="200" spans="1:12">
      <c r="A200" s="10"/>
      <c r="B200" s="10"/>
      <c r="C200" s="10"/>
      <c r="D200" s="10"/>
      <c r="E200" s="10"/>
      <c r="F200" s="11"/>
      <c r="G200" s="11"/>
      <c r="H200" s="10"/>
      <c r="I200" s="10"/>
      <c r="J200" s="10"/>
      <c r="K200" s="10"/>
      <c r="L200" s="11"/>
    </row>
    <row r="201" spans="1:12">
      <c r="A201" s="10"/>
      <c r="B201" s="10"/>
      <c r="C201" s="10"/>
      <c r="D201" s="10"/>
      <c r="E201" s="10"/>
      <c r="F201" s="11"/>
      <c r="G201" s="11"/>
      <c r="H201" s="10"/>
      <c r="I201" s="10"/>
      <c r="J201" s="10"/>
      <c r="K201" s="10"/>
      <c r="L201" s="11"/>
    </row>
    <row r="202" spans="1:12">
      <c r="A202" s="10"/>
      <c r="B202" s="10"/>
      <c r="C202" s="10"/>
      <c r="D202" s="10"/>
      <c r="E202" s="10"/>
      <c r="F202" s="11"/>
      <c r="G202" s="11"/>
      <c r="H202" s="10"/>
      <c r="I202" s="10"/>
      <c r="J202" s="10"/>
      <c r="K202" s="10"/>
      <c r="L202" s="11"/>
    </row>
    <row r="203" spans="1:12">
      <c r="A203" s="10"/>
      <c r="B203" s="10"/>
      <c r="C203" s="10"/>
      <c r="D203" s="10"/>
      <c r="E203" s="10"/>
      <c r="F203" s="11"/>
      <c r="G203" s="11"/>
      <c r="H203" s="10"/>
      <c r="I203" s="10"/>
      <c r="J203" s="10"/>
      <c r="K203" s="10"/>
      <c r="L203" s="11"/>
    </row>
    <row r="204" spans="1:12">
      <c r="A204" s="10"/>
      <c r="B204" s="10"/>
      <c r="C204" s="10"/>
      <c r="D204" s="10"/>
      <c r="E204" s="10"/>
      <c r="F204" s="11"/>
      <c r="G204" s="11"/>
      <c r="H204" s="10"/>
      <c r="I204" s="10"/>
      <c r="J204" s="10"/>
      <c r="K204" s="10"/>
      <c r="L204" s="11"/>
    </row>
    <row r="205" spans="1:12">
      <c r="A205" s="10"/>
      <c r="B205" s="10"/>
      <c r="C205" s="10"/>
      <c r="D205" s="10"/>
      <c r="E205" s="10"/>
      <c r="F205" s="11"/>
      <c r="G205" s="11"/>
      <c r="H205" s="10"/>
      <c r="I205" s="10"/>
      <c r="J205" s="10"/>
      <c r="K205" s="10"/>
      <c r="L205" s="11"/>
    </row>
    <row r="206" spans="1:12">
      <c r="A206" s="10"/>
      <c r="B206" s="10"/>
      <c r="C206" s="10"/>
      <c r="D206" s="10"/>
      <c r="E206" s="10"/>
      <c r="F206" s="11"/>
      <c r="G206" s="11"/>
      <c r="H206" s="10"/>
      <c r="I206" s="10"/>
      <c r="J206" s="10"/>
      <c r="K206" s="10"/>
      <c r="L206" s="11"/>
    </row>
    <row r="207" spans="1:12">
      <c r="A207" s="10"/>
      <c r="B207" s="10"/>
      <c r="C207" s="10"/>
      <c r="D207" s="10"/>
      <c r="E207" s="10"/>
      <c r="F207" s="11"/>
      <c r="G207" s="11"/>
      <c r="H207" s="10"/>
      <c r="I207" s="10"/>
      <c r="J207" s="10"/>
      <c r="K207" s="10"/>
      <c r="L207" s="11"/>
    </row>
    <row r="208" spans="1:12">
      <c r="A208" s="10"/>
      <c r="B208" s="10"/>
      <c r="C208" s="10"/>
      <c r="D208" s="10"/>
      <c r="E208" s="10"/>
      <c r="F208" s="11"/>
      <c r="G208" s="11"/>
      <c r="H208" s="10"/>
      <c r="I208" s="10"/>
      <c r="J208" s="10"/>
      <c r="K208" s="10"/>
      <c r="L208" s="11"/>
    </row>
    <row r="209" spans="1:12">
      <c r="A209" s="10"/>
      <c r="B209" s="10"/>
      <c r="C209" s="10"/>
      <c r="D209" s="10"/>
      <c r="E209" s="10"/>
      <c r="F209" s="11"/>
      <c r="G209" s="11"/>
      <c r="H209" s="10"/>
      <c r="I209" s="10"/>
      <c r="J209" s="10"/>
      <c r="K209" s="10"/>
      <c r="L209" s="11"/>
    </row>
    <row r="210" spans="1:12">
      <c r="A210" s="10"/>
      <c r="B210" s="10"/>
      <c r="C210" s="10"/>
      <c r="D210" s="10"/>
      <c r="E210" s="10"/>
      <c r="F210" s="11"/>
      <c r="G210" s="11"/>
      <c r="H210" s="10"/>
      <c r="I210" s="10"/>
      <c r="J210" s="10"/>
      <c r="K210" s="10"/>
      <c r="L210" s="11"/>
    </row>
    <row r="211" spans="1:12">
      <c r="A211" s="10"/>
      <c r="B211" s="10"/>
      <c r="C211" s="10"/>
      <c r="D211" s="10"/>
      <c r="E211" s="10"/>
      <c r="F211" s="11"/>
      <c r="G211" s="11"/>
      <c r="H211" s="10"/>
      <c r="I211" s="10"/>
      <c r="J211" s="10"/>
      <c r="K211" s="10"/>
      <c r="L211" s="11"/>
    </row>
    <row r="212" spans="1:12">
      <c r="A212" s="10"/>
      <c r="B212" s="10"/>
      <c r="C212" s="10"/>
      <c r="D212" s="10"/>
      <c r="E212" s="10"/>
      <c r="F212" s="11"/>
      <c r="G212" s="11"/>
      <c r="H212" s="10"/>
      <c r="I212" s="10"/>
      <c r="J212" s="10"/>
      <c r="K212" s="10"/>
      <c r="L212" s="11"/>
    </row>
    <row r="213" spans="1:12">
      <c r="A213" s="10"/>
      <c r="B213" s="10"/>
      <c r="C213" s="10"/>
      <c r="D213" s="10"/>
      <c r="E213" s="10"/>
      <c r="F213" s="11"/>
      <c r="G213" s="11"/>
      <c r="H213" s="10"/>
      <c r="I213" s="10"/>
      <c r="J213" s="10"/>
      <c r="K213" s="10"/>
      <c r="L213" s="11"/>
    </row>
    <row r="214" spans="1:12">
      <c r="A214" s="10"/>
      <c r="B214" s="10"/>
      <c r="C214" s="10"/>
      <c r="D214" s="10"/>
      <c r="E214" s="10"/>
      <c r="F214" s="11"/>
      <c r="G214" s="11"/>
      <c r="H214" s="10"/>
      <c r="I214" s="10"/>
      <c r="J214" s="10"/>
      <c r="K214" s="10"/>
      <c r="L214" s="11"/>
    </row>
    <row r="215" spans="1:12">
      <c r="A215" s="10"/>
      <c r="B215" s="10"/>
      <c r="C215" s="10"/>
      <c r="D215" s="10"/>
      <c r="E215" s="10"/>
      <c r="F215" s="11"/>
      <c r="G215" s="11"/>
      <c r="H215" s="10"/>
      <c r="I215" s="10"/>
      <c r="J215" s="10"/>
      <c r="K215" s="10"/>
      <c r="L215" s="11"/>
    </row>
    <row r="216" spans="1:12">
      <c r="A216" s="10"/>
      <c r="B216" s="10"/>
      <c r="C216" s="10"/>
      <c r="D216" s="10"/>
      <c r="E216" s="10"/>
      <c r="F216" s="11"/>
      <c r="G216" s="11"/>
      <c r="H216" s="10"/>
      <c r="I216" s="10"/>
      <c r="J216" s="10"/>
      <c r="K216" s="10"/>
      <c r="L216" s="11"/>
    </row>
    <row r="217" spans="1:12">
      <c r="A217" s="10"/>
      <c r="B217" s="10"/>
      <c r="C217" s="10"/>
      <c r="D217" s="10"/>
      <c r="E217" s="10"/>
      <c r="F217" s="11"/>
      <c r="G217" s="11"/>
      <c r="H217" s="10"/>
      <c r="I217" s="10"/>
      <c r="J217" s="10"/>
      <c r="K217" s="10"/>
      <c r="L217" s="11"/>
    </row>
    <row r="218" spans="1:12">
      <c r="A218" s="10"/>
      <c r="B218" s="10"/>
      <c r="C218" s="10"/>
      <c r="D218" s="10"/>
      <c r="E218" s="10"/>
      <c r="F218" s="11"/>
      <c r="G218" s="11"/>
      <c r="H218" s="10"/>
      <c r="I218" s="10"/>
      <c r="J218" s="10"/>
      <c r="K218" s="10"/>
      <c r="L218" s="11"/>
    </row>
    <row r="219" spans="1:12">
      <c r="A219" s="10"/>
      <c r="B219" s="10"/>
      <c r="C219" s="10"/>
      <c r="D219" s="10"/>
      <c r="E219" s="10"/>
      <c r="F219" s="11"/>
      <c r="G219" s="11"/>
      <c r="H219" s="10"/>
      <c r="I219" s="10"/>
      <c r="J219" s="10"/>
      <c r="K219" s="10"/>
      <c r="L219" s="11"/>
    </row>
    <row r="220" spans="1:12">
      <c r="A220" s="10"/>
      <c r="B220" s="10"/>
      <c r="C220" s="10"/>
      <c r="D220" s="10"/>
      <c r="E220" s="10"/>
      <c r="F220" s="11"/>
      <c r="G220" s="11"/>
      <c r="H220" s="10"/>
      <c r="I220" s="10"/>
      <c r="J220" s="10"/>
      <c r="K220" s="10"/>
      <c r="L220" s="11"/>
    </row>
    <row r="221" spans="1:12">
      <c r="A221" s="10"/>
      <c r="B221" s="10"/>
      <c r="C221" s="10"/>
      <c r="D221" s="10"/>
      <c r="E221" s="10"/>
      <c r="F221" s="11"/>
      <c r="G221" s="11"/>
      <c r="H221" s="10"/>
      <c r="I221" s="10"/>
      <c r="J221" s="10"/>
      <c r="K221" s="10"/>
      <c r="L221" s="11"/>
    </row>
    <row r="222" spans="1:12">
      <c r="A222" s="10"/>
      <c r="B222" s="10"/>
      <c r="C222" s="10"/>
      <c r="D222" s="10"/>
      <c r="E222" s="10"/>
      <c r="F222" s="11"/>
      <c r="G222" s="11"/>
      <c r="H222" s="10"/>
      <c r="I222" s="10"/>
      <c r="J222" s="10"/>
      <c r="K222" s="10"/>
      <c r="L222" s="11"/>
    </row>
    <row r="223" spans="1:12">
      <c r="A223" s="10"/>
      <c r="B223" s="10"/>
      <c r="C223" s="10"/>
      <c r="D223" s="10"/>
      <c r="E223" s="10"/>
      <c r="F223" s="11"/>
      <c r="G223" s="11"/>
      <c r="H223" s="10"/>
      <c r="I223" s="10"/>
      <c r="J223" s="10"/>
      <c r="K223" s="10"/>
      <c r="L223" s="11"/>
    </row>
    <row r="224" spans="1:12">
      <c r="A224" s="10"/>
      <c r="B224" s="10"/>
      <c r="C224" s="10"/>
      <c r="D224" s="10"/>
      <c r="E224" s="10"/>
      <c r="F224" s="11"/>
      <c r="G224" s="11"/>
      <c r="H224" s="10"/>
      <c r="I224" s="10"/>
      <c r="J224" s="10"/>
      <c r="K224" s="10"/>
      <c r="L224" s="11"/>
    </row>
    <row r="225" spans="1:12">
      <c r="A225" s="10"/>
      <c r="B225" s="10"/>
      <c r="C225" s="10"/>
      <c r="D225" s="10"/>
      <c r="E225" s="10"/>
      <c r="F225" s="11"/>
      <c r="G225" s="11"/>
      <c r="H225" s="10"/>
      <c r="I225" s="10"/>
      <c r="J225" s="10"/>
      <c r="K225" s="10"/>
      <c r="L225" s="11"/>
    </row>
    <row r="226" spans="1:12">
      <c r="A226" s="10"/>
      <c r="B226" s="10"/>
      <c r="C226" s="10"/>
      <c r="D226" s="10"/>
      <c r="E226" s="10"/>
      <c r="F226" s="11"/>
      <c r="G226" s="11"/>
      <c r="H226" s="10"/>
      <c r="I226" s="10"/>
      <c r="J226" s="10"/>
      <c r="K226" s="10"/>
      <c r="L226" s="11"/>
    </row>
    <row r="227" spans="1:12">
      <c r="A227" s="10"/>
      <c r="B227" s="10"/>
      <c r="C227" s="10"/>
      <c r="D227" s="10"/>
      <c r="E227" s="10"/>
      <c r="F227" s="11"/>
      <c r="G227" s="11"/>
      <c r="H227" s="10"/>
      <c r="I227" s="10"/>
      <c r="J227" s="10"/>
      <c r="K227" s="10"/>
      <c r="L227" s="11"/>
    </row>
    <row r="228" spans="1:12">
      <c r="A228" s="10"/>
      <c r="B228" s="10"/>
      <c r="C228" s="10"/>
      <c r="D228" s="10"/>
      <c r="E228" s="10"/>
      <c r="F228" s="11"/>
      <c r="G228" s="11"/>
      <c r="H228" s="10"/>
      <c r="I228" s="10"/>
      <c r="J228" s="10"/>
      <c r="K228" s="10"/>
      <c r="L228" s="11"/>
    </row>
    <row r="229" spans="1:12">
      <c r="A229" s="10"/>
      <c r="B229" s="10"/>
      <c r="C229" s="10"/>
      <c r="D229" s="10"/>
      <c r="E229" s="10"/>
      <c r="F229" s="11"/>
      <c r="G229" s="11"/>
      <c r="H229" s="10"/>
      <c r="I229" s="10"/>
      <c r="J229" s="10"/>
      <c r="K229" s="10"/>
      <c r="L229" s="11"/>
    </row>
    <row r="230" spans="1:12">
      <c r="A230" s="10"/>
      <c r="B230" s="10"/>
      <c r="C230" s="10"/>
      <c r="D230" s="10"/>
      <c r="E230" s="10"/>
      <c r="F230" s="11"/>
      <c r="G230" s="11"/>
      <c r="H230" s="10"/>
      <c r="I230" s="10"/>
      <c r="J230" s="10"/>
      <c r="K230" s="10"/>
      <c r="L230" s="11"/>
    </row>
    <row r="231" spans="1:12">
      <c r="A231" s="10"/>
      <c r="B231" s="10"/>
      <c r="C231" s="10"/>
      <c r="D231" s="10"/>
      <c r="E231" s="10"/>
      <c r="F231" s="11"/>
      <c r="G231" s="11"/>
      <c r="H231" s="10"/>
      <c r="I231" s="10"/>
      <c r="J231" s="10"/>
      <c r="K231" s="10"/>
      <c r="L231" s="11"/>
    </row>
    <row r="232" spans="1:12">
      <c r="A232" s="10"/>
      <c r="B232" s="10"/>
      <c r="C232" s="10"/>
      <c r="D232" s="10"/>
      <c r="E232" s="10"/>
      <c r="F232" s="11"/>
      <c r="G232" s="11"/>
      <c r="H232" s="10"/>
      <c r="I232" s="10"/>
      <c r="J232" s="10"/>
      <c r="K232" s="10"/>
      <c r="L232" s="11"/>
    </row>
    <row r="233" spans="1:12">
      <c r="A233" s="10"/>
      <c r="B233" s="10"/>
      <c r="C233" s="10"/>
      <c r="D233" s="10"/>
      <c r="E233" s="10"/>
      <c r="F233" s="11"/>
      <c r="G233" s="11"/>
      <c r="H233" s="10"/>
      <c r="I233" s="10"/>
      <c r="J233" s="10"/>
      <c r="K233" s="10"/>
      <c r="L233" s="11"/>
    </row>
    <row r="234" spans="1:12">
      <c r="A234" s="10"/>
      <c r="B234" s="10"/>
      <c r="C234" s="10"/>
      <c r="D234" s="10"/>
      <c r="E234" s="10"/>
      <c r="F234" s="11"/>
      <c r="G234" s="11"/>
      <c r="H234" s="10"/>
      <c r="I234" s="10"/>
      <c r="J234" s="10"/>
      <c r="K234" s="10"/>
      <c r="L234" s="11"/>
    </row>
    <row r="235" spans="1:12">
      <c r="A235" s="10"/>
      <c r="B235" s="10"/>
      <c r="C235" s="10"/>
      <c r="D235" s="10"/>
      <c r="E235" s="10"/>
      <c r="F235" s="11"/>
      <c r="G235" s="11"/>
      <c r="H235" s="10"/>
      <c r="I235" s="10"/>
      <c r="J235" s="10"/>
      <c r="K235" s="10"/>
      <c r="L235" s="11"/>
    </row>
    <row r="236" spans="1:12">
      <c r="A236" s="10"/>
      <c r="B236" s="10"/>
      <c r="C236" s="10"/>
      <c r="D236" s="10"/>
      <c r="E236" s="10"/>
      <c r="F236" s="11"/>
      <c r="G236" s="11"/>
      <c r="H236" s="10"/>
      <c r="I236" s="10"/>
      <c r="J236" s="10"/>
      <c r="K236" s="10"/>
      <c r="L236" s="11"/>
    </row>
    <row r="237" spans="1:12">
      <c r="A237" s="10"/>
      <c r="B237" s="10"/>
      <c r="C237" s="10"/>
      <c r="D237" s="10"/>
      <c r="E237" s="10"/>
      <c r="F237" s="11"/>
      <c r="G237" s="11"/>
      <c r="H237" s="10"/>
      <c r="I237" s="10"/>
      <c r="J237" s="10"/>
      <c r="K237" s="10"/>
      <c r="L237" s="11"/>
    </row>
    <row r="238" spans="1:12">
      <c r="A238" s="10"/>
      <c r="B238" s="10"/>
      <c r="C238" s="10"/>
      <c r="D238" s="10"/>
      <c r="E238" s="10"/>
      <c r="F238" s="11"/>
      <c r="G238" s="11"/>
      <c r="H238" s="10"/>
      <c r="I238" s="10"/>
      <c r="J238" s="10"/>
      <c r="K238" s="10"/>
      <c r="L238" s="11"/>
    </row>
    <row r="239" spans="1:12">
      <c r="A239" s="10"/>
      <c r="B239" s="10"/>
      <c r="C239" s="10"/>
      <c r="D239" s="10"/>
      <c r="E239" s="10"/>
      <c r="F239" s="11"/>
      <c r="G239" s="11"/>
      <c r="H239" s="10"/>
      <c r="I239" s="10"/>
      <c r="J239" s="10"/>
      <c r="K239" s="10"/>
      <c r="L239" s="11"/>
    </row>
    <row r="240" spans="1:12">
      <c r="A240" s="10"/>
      <c r="B240" s="10"/>
      <c r="C240" s="10"/>
      <c r="D240" s="10"/>
      <c r="E240" s="10"/>
      <c r="F240" s="11"/>
      <c r="G240" s="11"/>
      <c r="H240" s="10"/>
      <c r="I240" s="10"/>
      <c r="J240" s="10"/>
      <c r="K240" s="10"/>
      <c r="L240" s="11"/>
    </row>
    <row r="241" spans="1:12">
      <c r="A241" s="10"/>
      <c r="B241" s="10"/>
      <c r="C241" s="10"/>
      <c r="D241" s="10"/>
      <c r="E241" s="10"/>
      <c r="F241" s="11"/>
      <c r="G241" s="11"/>
      <c r="H241" s="10"/>
      <c r="I241" s="10"/>
      <c r="J241" s="10"/>
      <c r="K241" s="10"/>
      <c r="L241" s="11"/>
    </row>
    <row r="242" spans="1:12">
      <c r="A242" s="10"/>
      <c r="B242" s="10"/>
      <c r="C242" s="10"/>
      <c r="D242" s="10"/>
      <c r="E242" s="10"/>
      <c r="F242" s="11"/>
      <c r="G242" s="11"/>
      <c r="H242" s="10"/>
      <c r="I242" s="10"/>
      <c r="J242" s="10"/>
      <c r="K242" s="10"/>
      <c r="L242" s="11"/>
    </row>
    <row r="243" spans="1:12">
      <c r="A243" s="10"/>
      <c r="B243" s="10"/>
      <c r="C243" s="10"/>
      <c r="D243" s="10"/>
      <c r="E243" s="10"/>
      <c r="F243" s="11"/>
      <c r="G243" s="11"/>
      <c r="H243" s="10"/>
      <c r="I243" s="10"/>
      <c r="J243" s="10"/>
      <c r="K243" s="10"/>
      <c r="L243" s="11"/>
    </row>
    <row r="244" spans="1:12">
      <c r="A244" s="10"/>
      <c r="B244" s="10"/>
      <c r="C244" s="10"/>
      <c r="D244" s="10"/>
      <c r="E244" s="10"/>
      <c r="F244" s="11"/>
      <c r="G244" s="11"/>
      <c r="H244" s="10"/>
      <c r="I244" s="10"/>
      <c r="J244" s="10"/>
      <c r="K244" s="10"/>
      <c r="L244" s="11"/>
    </row>
    <row r="245" spans="1:12">
      <c r="A245" s="10"/>
      <c r="B245" s="10"/>
      <c r="C245" s="10"/>
      <c r="D245" s="10"/>
      <c r="E245" s="10"/>
      <c r="F245" s="11"/>
      <c r="G245" s="11"/>
      <c r="H245" s="10"/>
      <c r="I245" s="10"/>
      <c r="J245" s="10"/>
      <c r="K245" s="10"/>
      <c r="L245" s="11"/>
    </row>
    <row r="246" spans="1:12">
      <c r="A246" s="10"/>
      <c r="B246" s="10"/>
      <c r="C246" s="10"/>
      <c r="D246" s="10"/>
      <c r="E246" s="10"/>
      <c r="F246" s="11"/>
      <c r="G246" s="11"/>
      <c r="H246" s="10"/>
      <c r="I246" s="10"/>
      <c r="J246" s="10"/>
      <c r="K246" s="10"/>
      <c r="L246" s="11"/>
    </row>
    <row r="247" spans="1:12">
      <c r="A247" s="10"/>
      <c r="B247" s="10"/>
      <c r="C247" s="10"/>
      <c r="D247" s="10"/>
      <c r="E247" s="10"/>
      <c r="F247" s="11"/>
      <c r="G247" s="11"/>
      <c r="H247" s="10"/>
      <c r="I247" s="10"/>
      <c r="J247" s="10"/>
      <c r="K247" s="10"/>
      <c r="L247" s="11"/>
    </row>
    <row r="248" spans="1:12">
      <c r="A248" s="10"/>
      <c r="B248" s="10"/>
      <c r="C248" s="10"/>
      <c r="D248" s="10"/>
      <c r="E248" s="10"/>
      <c r="F248" s="11"/>
      <c r="G248" s="11"/>
      <c r="H248" s="10"/>
      <c r="I248" s="10"/>
      <c r="J248" s="10"/>
      <c r="K248" s="10"/>
      <c r="L248" s="11"/>
    </row>
    <row r="249" spans="1:12">
      <c r="A249" s="10"/>
      <c r="B249" s="10"/>
      <c r="C249" s="10"/>
      <c r="D249" s="10"/>
      <c r="E249" s="10"/>
      <c r="F249" s="11"/>
      <c r="G249" s="11"/>
      <c r="H249" s="10"/>
      <c r="I249" s="10"/>
      <c r="J249" s="10"/>
      <c r="K249" s="10"/>
      <c r="L249" s="11"/>
    </row>
    <row r="250" spans="1:12">
      <c r="A250" s="10"/>
      <c r="B250" s="10"/>
      <c r="C250" s="10"/>
      <c r="D250" s="10"/>
      <c r="E250" s="10"/>
      <c r="F250" s="11"/>
      <c r="G250" s="11"/>
      <c r="H250" s="10"/>
      <c r="I250" s="10"/>
      <c r="J250" s="10"/>
      <c r="K250" s="10"/>
      <c r="L250" s="11"/>
    </row>
  </sheetData>
  <mergeCells count="2">
    <mergeCell ref="A2:L2"/>
    <mergeCell ref="A1:L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30A0"/>
  </sheetPr>
  <dimension ref="A1:I251"/>
  <sheetViews>
    <sheetView showGridLines="0" topLeftCell="B1" workbookViewId="0">
      <selection activeCell="G4" sqref="G4"/>
    </sheetView>
  </sheetViews>
  <sheetFormatPr defaultRowHeight="14.45"/>
  <cols>
    <col min="1" max="1" width="14" customWidth="1"/>
    <col min="2" max="2" width="16" customWidth="1"/>
    <col min="3" max="3" width="22" customWidth="1"/>
    <col min="4" max="5" width="16" customWidth="1"/>
    <col min="6" max="6" width="36" customWidth="1"/>
    <col min="7" max="7" width="36.5703125" customWidth="1"/>
    <col min="8" max="8" width="18" style="24" customWidth="1"/>
    <col min="9" max="9" width="24" customWidth="1"/>
  </cols>
  <sheetData>
    <row r="1" spans="1:9" ht="24" customHeight="1">
      <c r="A1" s="28" t="s">
        <v>3940</v>
      </c>
      <c r="B1" s="45"/>
      <c r="C1" s="45"/>
      <c r="D1" s="45"/>
      <c r="E1" s="45"/>
      <c r="F1" s="45"/>
      <c r="G1" s="45"/>
      <c r="H1" s="45"/>
      <c r="I1" s="45"/>
    </row>
    <row r="2" spans="1:9" ht="36" customHeight="1">
      <c r="A2" s="29" t="s">
        <v>3941</v>
      </c>
      <c r="B2" s="45"/>
      <c r="C2" s="45"/>
      <c r="D2" s="45"/>
      <c r="E2" s="45"/>
      <c r="F2" s="45"/>
      <c r="G2" s="45"/>
      <c r="H2" s="45"/>
      <c r="I2" s="45"/>
    </row>
    <row r="3" spans="1:9" ht="27.95" customHeight="1">
      <c r="A3" s="9" t="s">
        <v>3942</v>
      </c>
      <c r="B3" s="9" t="s">
        <v>3943</v>
      </c>
      <c r="C3" s="9" t="s">
        <v>3944</v>
      </c>
      <c r="D3" s="9" t="s">
        <v>203</v>
      </c>
      <c r="E3" s="9" t="s">
        <v>3945</v>
      </c>
      <c r="F3" s="9" t="s">
        <v>1025</v>
      </c>
      <c r="G3" s="9" t="s">
        <v>1426</v>
      </c>
      <c r="H3" s="9" t="s">
        <v>3946</v>
      </c>
      <c r="I3" s="9" t="s">
        <v>1062</v>
      </c>
    </row>
    <row r="4" spans="1:9" ht="43.5" customHeight="1">
      <c r="A4" s="10" t="s">
        <v>3947</v>
      </c>
      <c r="B4" s="10" t="s">
        <v>1039</v>
      </c>
      <c r="C4" s="10" t="s">
        <v>3948</v>
      </c>
      <c r="D4" s="10"/>
      <c r="E4" s="10" t="s">
        <v>3949</v>
      </c>
      <c r="F4" s="11" t="s">
        <v>3950</v>
      </c>
      <c r="G4" s="10" t="s">
        <v>3951</v>
      </c>
      <c r="H4" s="23" t="s">
        <v>3952</v>
      </c>
      <c r="I4" s="11" t="s">
        <v>3953</v>
      </c>
    </row>
    <row r="5" spans="1:9" ht="43.5" customHeight="1">
      <c r="A5" s="10" t="s">
        <v>3954</v>
      </c>
      <c r="B5" s="10" t="s">
        <v>1039</v>
      </c>
      <c r="C5" s="10" t="s">
        <v>3955</v>
      </c>
      <c r="D5" s="10" t="s">
        <v>117</v>
      </c>
      <c r="E5" s="10" t="s">
        <v>272</v>
      </c>
      <c r="F5" s="11" t="s">
        <v>3956</v>
      </c>
      <c r="G5" s="10" t="s">
        <v>3951</v>
      </c>
      <c r="H5" s="23" t="s">
        <v>3952</v>
      </c>
      <c r="I5" s="11" t="s">
        <v>3957</v>
      </c>
    </row>
    <row r="6" spans="1:9" ht="43.5" customHeight="1">
      <c r="A6" s="10" t="s">
        <v>3958</v>
      </c>
      <c r="B6" s="10" t="s">
        <v>1039</v>
      </c>
      <c r="C6" s="10" t="s">
        <v>3959</v>
      </c>
      <c r="D6" s="10" t="s">
        <v>117</v>
      </c>
      <c r="E6" s="10" t="s">
        <v>3960</v>
      </c>
      <c r="F6" s="11" t="s">
        <v>3961</v>
      </c>
      <c r="G6" s="10" t="s">
        <v>3951</v>
      </c>
      <c r="H6" s="23" t="s">
        <v>3952</v>
      </c>
      <c r="I6" s="11" t="s">
        <v>3962</v>
      </c>
    </row>
    <row r="7" spans="1:9" ht="43.5" customHeight="1">
      <c r="A7" s="10" t="s">
        <v>3963</v>
      </c>
      <c r="B7" s="10" t="s">
        <v>1039</v>
      </c>
      <c r="C7" s="10" t="s">
        <v>3964</v>
      </c>
      <c r="D7" s="10" t="s">
        <v>117</v>
      </c>
      <c r="E7" s="10" t="s">
        <v>3965</v>
      </c>
      <c r="F7" s="11" t="s">
        <v>3966</v>
      </c>
      <c r="G7" s="10" t="s">
        <v>3951</v>
      </c>
      <c r="H7" s="23" t="s">
        <v>3952</v>
      </c>
      <c r="I7" s="11" t="s">
        <v>3967</v>
      </c>
    </row>
    <row r="8" spans="1:9" ht="43.5" customHeight="1">
      <c r="A8" s="10" t="s">
        <v>3968</v>
      </c>
      <c r="B8" s="10" t="s">
        <v>1039</v>
      </c>
      <c r="C8" s="10" t="s">
        <v>3948</v>
      </c>
      <c r="D8" s="10"/>
      <c r="E8" s="10" t="s">
        <v>3949</v>
      </c>
      <c r="F8" s="11" t="s">
        <v>3969</v>
      </c>
      <c r="G8" s="10" t="s">
        <v>3970</v>
      </c>
      <c r="H8" s="23" t="s">
        <v>3952</v>
      </c>
      <c r="I8" s="11" t="s">
        <v>3971</v>
      </c>
    </row>
    <row r="9" spans="1:9" ht="43.5" customHeight="1">
      <c r="A9" s="10" t="s">
        <v>3972</v>
      </c>
      <c r="B9" s="10" t="s">
        <v>1039</v>
      </c>
      <c r="C9" s="10" t="s">
        <v>3955</v>
      </c>
      <c r="D9" s="10" t="s">
        <v>3973</v>
      </c>
      <c r="E9" s="10" t="s">
        <v>272</v>
      </c>
      <c r="F9" s="11" t="s">
        <v>3974</v>
      </c>
      <c r="G9" s="10" t="s">
        <v>3970</v>
      </c>
      <c r="H9" s="23" t="s">
        <v>3952</v>
      </c>
      <c r="I9" s="11" t="s">
        <v>3975</v>
      </c>
    </row>
    <row r="10" spans="1:9" ht="43.5" customHeight="1">
      <c r="A10" s="10" t="s">
        <v>3976</v>
      </c>
      <c r="B10" s="10" t="s">
        <v>1039</v>
      </c>
      <c r="C10" s="10" t="s">
        <v>3959</v>
      </c>
      <c r="D10" s="10" t="s">
        <v>3973</v>
      </c>
      <c r="E10" s="10" t="s">
        <v>3960</v>
      </c>
      <c r="F10" s="11" t="s">
        <v>3977</v>
      </c>
      <c r="G10" s="10" t="s">
        <v>3970</v>
      </c>
      <c r="H10" s="23" t="s">
        <v>3952</v>
      </c>
      <c r="I10" s="11" t="s">
        <v>3978</v>
      </c>
    </row>
    <row r="11" spans="1:9" ht="43.5" customHeight="1">
      <c r="A11" s="10" t="s">
        <v>3979</v>
      </c>
      <c r="B11" s="10" t="s">
        <v>1039</v>
      </c>
      <c r="C11" s="10" t="s">
        <v>3964</v>
      </c>
      <c r="D11" s="10" t="s">
        <v>3973</v>
      </c>
      <c r="E11" s="10" t="s">
        <v>3965</v>
      </c>
      <c r="F11" s="11" t="s">
        <v>3966</v>
      </c>
      <c r="G11" s="10" t="s">
        <v>3970</v>
      </c>
      <c r="H11" s="23" t="s">
        <v>3952</v>
      </c>
      <c r="I11" s="11" t="s">
        <v>3967</v>
      </c>
    </row>
    <row r="12" spans="1:9" ht="57.95" customHeight="1">
      <c r="A12" s="10" t="s">
        <v>3980</v>
      </c>
      <c r="B12" s="10" t="s">
        <v>1084</v>
      </c>
      <c r="C12" s="10" t="s">
        <v>3948</v>
      </c>
      <c r="D12" s="10"/>
      <c r="E12" s="10" t="s">
        <v>3949</v>
      </c>
      <c r="F12" s="11" t="s">
        <v>3981</v>
      </c>
      <c r="G12" s="10" t="s">
        <v>3982</v>
      </c>
      <c r="H12" s="23" t="s">
        <v>3952</v>
      </c>
      <c r="I12" s="11" t="s">
        <v>3983</v>
      </c>
    </row>
    <row r="13" spans="1:9" ht="43.5" customHeight="1">
      <c r="A13" s="10" t="s">
        <v>3984</v>
      </c>
      <c r="B13" s="10" t="s">
        <v>1084</v>
      </c>
      <c r="C13" s="10" t="s">
        <v>3955</v>
      </c>
      <c r="D13" s="10" t="s">
        <v>3985</v>
      </c>
      <c r="E13" s="10" t="s">
        <v>272</v>
      </c>
      <c r="F13" s="11" t="s">
        <v>3986</v>
      </c>
      <c r="G13" s="10" t="s">
        <v>3982</v>
      </c>
      <c r="H13" s="23" t="s">
        <v>3952</v>
      </c>
      <c r="I13" s="11" t="s">
        <v>3987</v>
      </c>
    </row>
    <row r="14" spans="1:9" ht="43.5" customHeight="1">
      <c r="A14" s="10" t="s">
        <v>3988</v>
      </c>
      <c r="B14" s="10" t="s">
        <v>1084</v>
      </c>
      <c r="C14" s="10" t="s">
        <v>3959</v>
      </c>
      <c r="D14" s="10" t="s">
        <v>3985</v>
      </c>
      <c r="E14" s="10" t="s">
        <v>3960</v>
      </c>
      <c r="F14" s="11" t="s">
        <v>3989</v>
      </c>
      <c r="G14" s="10" t="s">
        <v>3982</v>
      </c>
      <c r="H14" s="23" t="s">
        <v>3952</v>
      </c>
      <c r="I14" s="11" t="s">
        <v>3990</v>
      </c>
    </row>
    <row r="15" spans="1:9" ht="43.5" customHeight="1">
      <c r="A15" s="10" t="s">
        <v>3991</v>
      </c>
      <c r="B15" s="10" t="s">
        <v>1084</v>
      </c>
      <c r="C15" s="10" t="s">
        <v>3992</v>
      </c>
      <c r="D15" s="10"/>
      <c r="E15" s="10" t="s">
        <v>272</v>
      </c>
      <c r="F15" s="11" t="s">
        <v>3993</v>
      </c>
      <c r="G15" s="10" t="s">
        <v>3994</v>
      </c>
      <c r="H15" s="23" t="s">
        <v>3952</v>
      </c>
      <c r="I15" s="11"/>
    </row>
    <row r="16" spans="1:9">
      <c r="A16" s="10"/>
      <c r="B16" s="10"/>
      <c r="C16" s="10"/>
      <c r="D16" s="10"/>
      <c r="E16" s="10"/>
      <c r="F16" s="11"/>
      <c r="G16" s="10"/>
      <c r="H16" s="23"/>
      <c r="I16" s="11"/>
    </row>
    <row r="17" spans="1:9">
      <c r="A17" s="10"/>
      <c r="B17" s="10"/>
      <c r="C17" s="10"/>
      <c r="D17" s="10"/>
      <c r="E17" s="10"/>
      <c r="F17" s="11"/>
      <c r="G17" s="10"/>
      <c r="H17" s="23"/>
      <c r="I17" s="11"/>
    </row>
    <row r="18" spans="1:9">
      <c r="A18" s="10"/>
      <c r="B18" s="10"/>
      <c r="C18" s="10"/>
      <c r="D18" s="10"/>
      <c r="E18" s="10"/>
      <c r="F18" s="11"/>
      <c r="G18" s="10"/>
      <c r="H18" s="23"/>
      <c r="I18" s="11"/>
    </row>
    <row r="19" spans="1:9">
      <c r="A19" s="10"/>
      <c r="B19" s="10"/>
      <c r="C19" s="10"/>
      <c r="D19" s="10"/>
      <c r="E19" s="10"/>
      <c r="F19" s="11"/>
      <c r="G19" s="10"/>
      <c r="H19" s="23"/>
      <c r="I19" s="11"/>
    </row>
    <row r="20" spans="1:9">
      <c r="A20" s="10"/>
      <c r="B20" s="10"/>
      <c r="C20" s="10"/>
      <c r="D20" s="10"/>
      <c r="E20" s="10"/>
      <c r="F20" s="11"/>
      <c r="G20" s="10"/>
      <c r="H20" s="23"/>
      <c r="I20" s="11"/>
    </row>
    <row r="21" spans="1:9">
      <c r="A21" s="10"/>
      <c r="B21" s="10"/>
      <c r="C21" s="10"/>
      <c r="D21" s="10"/>
      <c r="E21" s="10"/>
      <c r="F21" s="11"/>
      <c r="G21" s="10"/>
      <c r="H21" s="23"/>
      <c r="I21" s="11"/>
    </row>
    <row r="22" spans="1:9">
      <c r="A22" s="10"/>
      <c r="B22" s="10"/>
      <c r="C22" s="10"/>
      <c r="D22" s="10"/>
      <c r="E22" s="10"/>
      <c r="F22" s="11"/>
      <c r="G22" s="10"/>
      <c r="H22" s="23"/>
      <c r="I22" s="11"/>
    </row>
    <row r="23" spans="1:9">
      <c r="A23" s="10"/>
      <c r="B23" s="10"/>
      <c r="C23" s="10"/>
      <c r="D23" s="10"/>
      <c r="E23" s="10"/>
      <c r="F23" s="11"/>
      <c r="G23" s="10"/>
      <c r="H23" s="23"/>
      <c r="I23" s="11"/>
    </row>
    <row r="24" spans="1:9">
      <c r="A24" s="10"/>
      <c r="B24" s="10"/>
      <c r="C24" s="10"/>
      <c r="D24" s="10"/>
      <c r="E24" s="10"/>
      <c r="F24" s="11"/>
      <c r="G24" s="10"/>
      <c r="H24" s="23"/>
      <c r="I24" s="11"/>
    </row>
    <row r="25" spans="1:9">
      <c r="A25" s="10"/>
      <c r="B25" s="10"/>
      <c r="C25" s="10"/>
      <c r="D25" s="10"/>
      <c r="E25" s="10"/>
      <c r="F25" s="11"/>
      <c r="G25" s="10"/>
      <c r="H25" s="23"/>
      <c r="I25" s="11"/>
    </row>
    <row r="26" spans="1:9">
      <c r="A26" s="10"/>
      <c r="B26" s="10"/>
      <c r="C26" s="10"/>
      <c r="D26" s="10"/>
      <c r="E26" s="10"/>
      <c r="F26" s="11"/>
      <c r="G26" s="10"/>
      <c r="H26" s="23"/>
      <c r="I26" s="11"/>
    </row>
    <row r="27" spans="1:9">
      <c r="A27" s="10"/>
      <c r="B27" s="10"/>
      <c r="C27" s="10"/>
      <c r="D27" s="10"/>
      <c r="E27" s="10"/>
      <c r="F27" s="11"/>
      <c r="G27" s="10"/>
      <c r="H27" s="23"/>
      <c r="I27" s="11"/>
    </row>
    <row r="28" spans="1:9">
      <c r="A28" s="10"/>
      <c r="B28" s="10"/>
      <c r="C28" s="10"/>
      <c r="D28" s="10"/>
      <c r="E28" s="10"/>
      <c r="F28" s="11"/>
      <c r="G28" s="10"/>
      <c r="H28" s="23"/>
      <c r="I28" s="11"/>
    </row>
    <row r="29" spans="1:9">
      <c r="A29" s="10"/>
      <c r="B29" s="10"/>
      <c r="C29" s="10"/>
      <c r="D29" s="10"/>
      <c r="E29" s="10"/>
      <c r="F29" s="11"/>
      <c r="G29" s="10"/>
      <c r="H29" s="23"/>
      <c r="I29" s="11"/>
    </row>
    <row r="30" spans="1:9">
      <c r="A30" s="10"/>
      <c r="B30" s="10"/>
      <c r="C30" s="10"/>
      <c r="D30" s="10"/>
      <c r="E30" s="10"/>
      <c r="F30" s="11"/>
      <c r="G30" s="10"/>
      <c r="H30" s="23"/>
      <c r="I30" s="11"/>
    </row>
    <row r="31" spans="1:9">
      <c r="A31" s="10"/>
      <c r="B31" s="10"/>
      <c r="C31" s="10"/>
      <c r="D31" s="10"/>
      <c r="E31" s="10"/>
      <c r="F31" s="11"/>
      <c r="G31" s="10"/>
      <c r="H31" s="23"/>
      <c r="I31" s="11"/>
    </row>
    <row r="32" spans="1:9">
      <c r="A32" s="10"/>
      <c r="B32" s="10"/>
      <c r="C32" s="10"/>
      <c r="D32" s="10"/>
      <c r="E32" s="10"/>
      <c r="F32" s="11"/>
      <c r="G32" s="10"/>
      <c r="H32" s="23"/>
      <c r="I32" s="11"/>
    </row>
    <row r="33" spans="1:9">
      <c r="A33" s="10"/>
      <c r="B33" s="10"/>
      <c r="C33" s="10"/>
      <c r="D33" s="10"/>
      <c r="E33" s="10"/>
      <c r="F33" s="11"/>
      <c r="G33" s="10"/>
      <c r="H33" s="23"/>
      <c r="I33" s="11"/>
    </row>
    <row r="34" spans="1:9">
      <c r="A34" s="10"/>
      <c r="B34" s="10"/>
      <c r="C34" s="10"/>
      <c r="D34" s="10"/>
      <c r="E34" s="10"/>
      <c r="F34" s="11"/>
      <c r="G34" s="10"/>
      <c r="H34" s="23"/>
      <c r="I34" s="11"/>
    </row>
    <row r="35" spans="1:9">
      <c r="A35" s="10"/>
      <c r="B35" s="10"/>
      <c r="C35" s="10"/>
      <c r="D35" s="10"/>
      <c r="E35" s="10"/>
      <c r="F35" s="11"/>
      <c r="G35" s="10"/>
      <c r="H35" s="23"/>
      <c r="I35" s="11"/>
    </row>
    <row r="36" spans="1:9">
      <c r="A36" s="10"/>
      <c r="B36" s="10"/>
      <c r="C36" s="10"/>
      <c r="D36" s="10"/>
      <c r="E36" s="10"/>
      <c r="F36" s="11"/>
      <c r="G36" s="10"/>
      <c r="H36" s="23"/>
      <c r="I36" s="11"/>
    </row>
    <row r="37" spans="1:9">
      <c r="A37" s="10"/>
      <c r="B37" s="10"/>
      <c r="C37" s="10"/>
      <c r="D37" s="10"/>
      <c r="E37" s="10"/>
      <c r="F37" s="11"/>
      <c r="G37" s="10"/>
      <c r="H37" s="23"/>
      <c r="I37" s="11"/>
    </row>
    <row r="38" spans="1:9">
      <c r="A38" s="10"/>
      <c r="B38" s="10"/>
      <c r="C38" s="10"/>
      <c r="D38" s="10"/>
      <c r="E38" s="10"/>
      <c r="F38" s="11"/>
      <c r="G38" s="10"/>
      <c r="H38" s="23"/>
      <c r="I38" s="11"/>
    </row>
    <row r="39" spans="1:9">
      <c r="A39" s="10"/>
      <c r="B39" s="10"/>
      <c r="C39" s="10"/>
      <c r="D39" s="10"/>
      <c r="E39" s="10"/>
      <c r="F39" s="11"/>
      <c r="G39" s="10"/>
      <c r="H39" s="23"/>
      <c r="I39" s="11"/>
    </row>
    <row r="40" spans="1:9">
      <c r="A40" s="10"/>
      <c r="B40" s="10"/>
      <c r="C40" s="10"/>
      <c r="D40" s="10"/>
      <c r="E40" s="10"/>
      <c r="F40" s="11"/>
      <c r="G40" s="10"/>
      <c r="H40" s="23"/>
      <c r="I40" s="11"/>
    </row>
    <row r="41" spans="1:9">
      <c r="A41" s="10"/>
      <c r="B41" s="10"/>
      <c r="C41" s="10"/>
      <c r="D41" s="10"/>
      <c r="E41" s="10"/>
      <c r="F41" s="11"/>
      <c r="G41" s="10"/>
      <c r="H41" s="23"/>
      <c r="I41" s="11"/>
    </row>
    <row r="42" spans="1:9">
      <c r="A42" s="10"/>
      <c r="B42" s="10"/>
      <c r="C42" s="10"/>
      <c r="D42" s="10"/>
      <c r="E42" s="10"/>
      <c r="F42" s="11"/>
      <c r="G42" s="10"/>
      <c r="H42" s="23"/>
      <c r="I42" s="11"/>
    </row>
    <row r="43" spans="1:9">
      <c r="A43" s="10"/>
      <c r="B43" s="10"/>
      <c r="C43" s="10"/>
      <c r="D43" s="10"/>
      <c r="E43" s="10"/>
      <c r="F43" s="11"/>
      <c r="G43" s="10"/>
      <c r="H43" s="23"/>
      <c r="I43" s="11"/>
    </row>
    <row r="44" spans="1:9">
      <c r="A44" s="10"/>
      <c r="B44" s="10"/>
      <c r="C44" s="10"/>
      <c r="D44" s="10"/>
      <c r="E44" s="10"/>
      <c r="F44" s="11"/>
      <c r="G44" s="10"/>
      <c r="H44" s="23"/>
      <c r="I44" s="11"/>
    </row>
    <row r="45" spans="1:9">
      <c r="A45" s="10"/>
      <c r="B45" s="10"/>
      <c r="C45" s="10"/>
      <c r="D45" s="10"/>
      <c r="E45" s="10"/>
      <c r="F45" s="11"/>
      <c r="G45" s="10"/>
      <c r="H45" s="23"/>
      <c r="I45" s="11"/>
    </row>
    <row r="46" spans="1:9">
      <c r="A46" s="10"/>
      <c r="B46" s="10"/>
      <c r="C46" s="10"/>
      <c r="D46" s="10"/>
      <c r="E46" s="10"/>
      <c r="F46" s="11"/>
      <c r="G46" s="10"/>
      <c r="H46" s="23"/>
      <c r="I46" s="11"/>
    </row>
    <row r="47" spans="1:9">
      <c r="A47" s="10"/>
      <c r="B47" s="10"/>
      <c r="C47" s="10"/>
      <c r="D47" s="10"/>
      <c r="E47" s="10"/>
      <c r="F47" s="11"/>
      <c r="G47" s="10"/>
      <c r="H47" s="23"/>
      <c r="I47" s="11"/>
    </row>
    <row r="48" spans="1:9">
      <c r="A48" s="10"/>
      <c r="B48" s="10"/>
      <c r="C48" s="10"/>
      <c r="D48" s="10"/>
      <c r="E48" s="10"/>
      <c r="F48" s="11"/>
      <c r="G48" s="10"/>
      <c r="H48" s="23"/>
      <c r="I48" s="11"/>
    </row>
    <row r="49" spans="1:9">
      <c r="A49" s="10"/>
      <c r="B49" s="10"/>
      <c r="C49" s="10"/>
      <c r="D49" s="10"/>
      <c r="E49" s="10"/>
      <c r="F49" s="11"/>
      <c r="G49" s="10"/>
      <c r="H49" s="23"/>
      <c r="I49" s="11"/>
    </row>
    <row r="50" spans="1:9">
      <c r="A50" s="10"/>
      <c r="B50" s="10"/>
      <c r="C50" s="10"/>
      <c r="D50" s="10"/>
      <c r="E50" s="10"/>
      <c r="F50" s="11"/>
      <c r="G50" s="10"/>
      <c r="H50" s="23"/>
      <c r="I50" s="11"/>
    </row>
    <row r="51" spans="1:9">
      <c r="A51" s="10"/>
      <c r="B51" s="10"/>
      <c r="C51" s="10"/>
      <c r="D51" s="10"/>
      <c r="E51" s="10"/>
      <c r="F51" s="11"/>
      <c r="G51" s="10"/>
      <c r="H51" s="23"/>
      <c r="I51" s="11"/>
    </row>
    <row r="52" spans="1:9">
      <c r="A52" s="10"/>
      <c r="B52" s="10"/>
      <c r="C52" s="10"/>
      <c r="D52" s="10"/>
      <c r="E52" s="10"/>
      <c r="F52" s="11"/>
      <c r="G52" s="10"/>
      <c r="H52" s="23"/>
      <c r="I52" s="11"/>
    </row>
    <row r="53" spans="1:9">
      <c r="A53" s="10"/>
      <c r="B53" s="10"/>
      <c r="C53" s="10"/>
      <c r="D53" s="10"/>
      <c r="E53" s="10"/>
      <c r="F53" s="11"/>
      <c r="G53" s="10"/>
      <c r="H53" s="23"/>
      <c r="I53" s="11"/>
    </row>
    <row r="54" spans="1:9">
      <c r="A54" s="10"/>
      <c r="B54" s="10"/>
      <c r="C54" s="10"/>
      <c r="D54" s="10"/>
      <c r="E54" s="10"/>
      <c r="F54" s="11"/>
      <c r="G54" s="10"/>
      <c r="H54" s="23"/>
      <c r="I54" s="11"/>
    </row>
    <row r="55" spans="1:9">
      <c r="A55" s="10"/>
      <c r="B55" s="10"/>
      <c r="C55" s="10"/>
      <c r="D55" s="10"/>
      <c r="E55" s="10"/>
      <c r="F55" s="11"/>
      <c r="G55" s="10"/>
      <c r="H55" s="23"/>
      <c r="I55" s="11"/>
    </row>
    <row r="56" spans="1:9">
      <c r="A56" s="10"/>
      <c r="B56" s="10"/>
      <c r="C56" s="10"/>
      <c r="D56" s="10"/>
      <c r="E56" s="10"/>
      <c r="F56" s="11"/>
      <c r="G56" s="10"/>
      <c r="H56" s="23"/>
      <c r="I56" s="11"/>
    </row>
    <row r="57" spans="1:9">
      <c r="A57" s="10"/>
      <c r="B57" s="10"/>
      <c r="C57" s="10"/>
      <c r="D57" s="10"/>
      <c r="E57" s="10"/>
      <c r="F57" s="11"/>
      <c r="G57" s="10"/>
      <c r="H57" s="23"/>
      <c r="I57" s="11"/>
    </row>
    <row r="58" spans="1:9">
      <c r="A58" s="10"/>
      <c r="B58" s="10"/>
      <c r="C58" s="10"/>
      <c r="D58" s="10"/>
      <c r="E58" s="10"/>
      <c r="F58" s="11"/>
      <c r="G58" s="10"/>
      <c r="H58" s="23"/>
      <c r="I58" s="11"/>
    </row>
    <row r="59" spans="1:9">
      <c r="A59" s="10"/>
      <c r="B59" s="10"/>
      <c r="C59" s="10"/>
      <c r="D59" s="10"/>
      <c r="E59" s="10"/>
      <c r="F59" s="11"/>
      <c r="G59" s="10"/>
      <c r="H59" s="23"/>
      <c r="I59" s="11"/>
    </row>
    <row r="60" spans="1:9">
      <c r="A60" s="10"/>
      <c r="B60" s="10"/>
      <c r="C60" s="10"/>
      <c r="D60" s="10"/>
      <c r="E60" s="10"/>
      <c r="F60" s="11"/>
      <c r="G60" s="10"/>
      <c r="H60" s="23"/>
      <c r="I60" s="11"/>
    </row>
    <row r="61" spans="1:9">
      <c r="A61" s="10"/>
      <c r="B61" s="10"/>
      <c r="C61" s="10"/>
      <c r="D61" s="10"/>
      <c r="E61" s="10"/>
      <c r="F61" s="11"/>
      <c r="G61" s="10"/>
      <c r="H61" s="23"/>
      <c r="I61" s="11"/>
    </row>
    <row r="62" spans="1:9">
      <c r="A62" s="10"/>
      <c r="B62" s="10"/>
      <c r="C62" s="10"/>
      <c r="D62" s="10"/>
      <c r="E62" s="10"/>
      <c r="F62" s="11"/>
      <c r="G62" s="10"/>
      <c r="H62" s="23"/>
      <c r="I62" s="11"/>
    </row>
    <row r="63" spans="1:9">
      <c r="A63" s="10"/>
      <c r="B63" s="10"/>
      <c r="C63" s="10"/>
      <c r="D63" s="10"/>
      <c r="E63" s="10"/>
      <c r="F63" s="11"/>
      <c r="G63" s="10"/>
      <c r="H63" s="23"/>
      <c r="I63" s="11"/>
    </row>
    <row r="64" spans="1:9">
      <c r="A64" s="10"/>
      <c r="B64" s="10"/>
      <c r="C64" s="10"/>
      <c r="D64" s="10"/>
      <c r="E64" s="10"/>
      <c r="F64" s="11"/>
      <c r="G64" s="10"/>
      <c r="H64" s="23"/>
      <c r="I64" s="11"/>
    </row>
    <row r="65" spans="1:9">
      <c r="A65" s="10"/>
      <c r="B65" s="10"/>
      <c r="C65" s="10"/>
      <c r="D65" s="10"/>
      <c r="E65" s="10"/>
      <c r="F65" s="11"/>
      <c r="G65" s="10"/>
      <c r="H65" s="23"/>
      <c r="I65" s="11"/>
    </row>
    <row r="66" spans="1:9">
      <c r="A66" s="10"/>
      <c r="B66" s="10"/>
      <c r="C66" s="10"/>
      <c r="D66" s="10"/>
      <c r="E66" s="10"/>
      <c r="F66" s="11"/>
      <c r="G66" s="10"/>
      <c r="H66" s="23"/>
      <c r="I66" s="11"/>
    </row>
    <row r="67" spans="1:9">
      <c r="A67" s="10"/>
      <c r="B67" s="10"/>
      <c r="C67" s="10"/>
      <c r="D67" s="10"/>
      <c r="E67" s="10"/>
      <c r="F67" s="11"/>
      <c r="G67" s="10"/>
      <c r="H67" s="23"/>
      <c r="I67" s="11"/>
    </row>
    <row r="68" spans="1:9">
      <c r="A68" s="10"/>
      <c r="B68" s="10"/>
      <c r="C68" s="10"/>
      <c r="D68" s="10"/>
      <c r="E68" s="10"/>
      <c r="F68" s="11"/>
      <c r="G68" s="10"/>
      <c r="H68" s="23"/>
      <c r="I68" s="11"/>
    </row>
    <row r="69" spans="1:9">
      <c r="A69" s="10"/>
      <c r="B69" s="10"/>
      <c r="C69" s="10"/>
      <c r="D69" s="10"/>
      <c r="E69" s="10"/>
      <c r="F69" s="11"/>
      <c r="G69" s="10"/>
      <c r="H69" s="23"/>
      <c r="I69" s="11"/>
    </row>
    <row r="70" spans="1:9">
      <c r="A70" s="10"/>
      <c r="B70" s="10"/>
      <c r="C70" s="10"/>
      <c r="D70" s="10"/>
      <c r="E70" s="10"/>
      <c r="F70" s="11"/>
      <c r="G70" s="10"/>
      <c r="H70" s="23"/>
      <c r="I70" s="11"/>
    </row>
    <row r="71" spans="1:9">
      <c r="A71" s="10"/>
      <c r="B71" s="10"/>
      <c r="C71" s="10"/>
      <c r="D71" s="10"/>
      <c r="E71" s="10"/>
      <c r="F71" s="11"/>
      <c r="G71" s="10"/>
      <c r="H71" s="23"/>
      <c r="I71" s="11"/>
    </row>
    <row r="72" spans="1:9">
      <c r="A72" s="10"/>
      <c r="B72" s="10"/>
      <c r="C72" s="10"/>
      <c r="D72" s="10"/>
      <c r="E72" s="10"/>
      <c r="F72" s="11"/>
      <c r="G72" s="10"/>
      <c r="H72" s="23"/>
      <c r="I72" s="11"/>
    </row>
    <row r="73" spans="1:9">
      <c r="A73" s="10"/>
      <c r="B73" s="10"/>
      <c r="C73" s="10"/>
      <c r="D73" s="10"/>
      <c r="E73" s="10"/>
      <c r="F73" s="11"/>
      <c r="G73" s="10"/>
      <c r="H73" s="23"/>
      <c r="I73" s="11"/>
    </row>
    <row r="74" spans="1:9">
      <c r="A74" s="10"/>
      <c r="B74" s="10"/>
      <c r="C74" s="10"/>
      <c r="D74" s="10"/>
      <c r="E74" s="10"/>
      <c r="F74" s="11"/>
      <c r="G74" s="10"/>
      <c r="H74" s="23"/>
      <c r="I74" s="11"/>
    </row>
    <row r="75" spans="1:9">
      <c r="A75" s="10"/>
      <c r="B75" s="10"/>
      <c r="C75" s="10"/>
      <c r="D75" s="10"/>
      <c r="E75" s="10"/>
      <c r="F75" s="11"/>
      <c r="G75" s="10"/>
      <c r="H75" s="23"/>
      <c r="I75" s="11"/>
    </row>
    <row r="76" spans="1:9">
      <c r="A76" s="10"/>
      <c r="B76" s="10"/>
      <c r="C76" s="10"/>
      <c r="D76" s="10"/>
      <c r="E76" s="10"/>
      <c r="F76" s="11"/>
      <c r="G76" s="10"/>
      <c r="H76" s="23"/>
      <c r="I76" s="11"/>
    </row>
    <row r="77" spans="1:9">
      <c r="A77" s="10"/>
      <c r="B77" s="10"/>
      <c r="C77" s="10"/>
      <c r="D77" s="10"/>
      <c r="E77" s="10"/>
      <c r="F77" s="11"/>
      <c r="G77" s="10"/>
      <c r="H77" s="23"/>
      <c r="I77" s="11"/>
    </row>
    <row r="78" spans="1:9">
      <c r="A78" s="10"/>
      <c r="B78" s="10"/>
      <c r="C78" s="10"/>
      <c r="D78" s="10"/>
      <c r="E78" s="10"/>
      <c r="F78" s="11"/>
      <c r="G78" s="10"/>
      <c r="H78" s="23"/>
      <c r="I78" s="11"/>
    </row>
    <row r="79" spans="1:9">
      <c r="A79" s="10"/>
      <c r="B79" s="10"/>
      <c r="C79" s="10"/>
      <c r="D79" s="10"/>
      <c r="E79" s="10"/>
      <c r="F79" s="11"/>
      <c r="G79" s="10"/>
      <c r="H79" s="23"/>
      <c r="I79" s="11"/>
    </row>
    <row r="80" spans="1:9">
      <c r="A80" s="10"/>
      <c r="B80" s="10"/>
      <c r="C80" s="10"/>
      <c r="D80" s="10"/>
      <c r="E80" s="10"/>
      <c r="F80" s="11"/>
      <c r="G80" s="10"/>
      <c r="H80" s="23"/>
      <c r="I80" s="11"/>
    </row>
    <row r="81" spans="1:9">
      <c r="A81" s="10"/>
      <c r="B81" s="10"/>
      <c r="C81" s="10"/>
      <c r="D81" s="10"/>
      <c r="E81" s="10"/>
      <c r="F81" s="11"/>
      <c r="G81" s="10"/>
      <c r="H81" s="23"/>
      <c r="I81" s="11"/>
    </row>
    <row r="82" spans="1:9">
      <c r="A82" s="10"/>
      <c r="B82" s="10"/>
      <c r="C82" s="10"/>
      <c r="D82" s="10"/>
      <c r="E82" s="10"/>
      <c r="F82" s="11"/>
      <c r="G82" s="10"/>
      <c r="H82" s="23"/>
      <c r="I82" s="11"/>
    </row>
    <row r="83" spans="1:9">
      <c r="A83" s="10"/>
      <c r="B83" s="10"/>
      <c r="C83" s="10"/>
      <c r="D83" s="10"/>
      <c r="E83" s="10"/>
      <c r="F83" s="11"/>
      <c r="G83" s="10"/>
      <c r="H83" s="23"/>
      <c r="I83" s="11"/>
    </row>
    <row r="84" spans="1:9">
      <c r="A84" s="10"/>
      <c r="B84" s="10"/>
      <c r="C84" s="10"/>
      <c r="D84" s="10"/>
      <c r="E84" s="10"/>
      <c r="F84" s="11"/>
      <c r="G84" s="10"/>
      <c r="H84" s="23"/>
      <c r="I84" s="11"/>
    </row>
    <row r="85" spans="1:9">
      <c r="A85" s="10"/>
      <c r="B85" s="10"/>
      <c r="C85" s="10"/>
      <c r="D85" s="10"/>
      <c r="E85" s="10"/>
      <c r="F85" s="11"/>
      <c r="G85" s="10"/>
      <c r="H85" s="23"/>
      <c r="I85" s="11"/>
    </row>
    <row r="86" spans="1:9">
      <c r="A86" s="10"/>
      <c r="B86" s="10"/>
      <c r="C86" s="10"/>
      <c r="D86" s="10"/>
      <c r="E86" s="10"/>
      <c r="F86" s="11"/>
      <c r="G86" s="10"/>
      <c r="H86" s="23"/>
      <c r="I86" s="11"/>
    </row>
    <row r="87" spans="1:9">
      <c r="A87" s="10"/>
      <c r="B87" s="10"/>
      <c r="C87" s="10"/>
      <c r="D87" s="10"/>
      <c r="E87" s="10"/>
      <c r="F87" s="11"/>
      <c r="G87" s="10"/>
      <c r="H87" s="23"/>
      <c r="I87" s="11"/>
    </row>
    <row r="88" spans="1:9">
      <c r="A88" s="10"/>
      <c r="B88" s="10"/>
      <c r="C88" s="10"/>
      <c r="D88" s="10"/>
      <c r="E88" s="10"/>
      <c r="F88" s="11"/>
      <c r="G88" s="10"/>
      <c r="H88" s="23"/>
      <c r="I88" s="11"/>
    </row>
    <row r="89" spans="1:9">
      <c r="A89" s="10"/>
      <c r="B89" s="10"/>
      <c r="C89" s="10"/>
      <c r="D89" s="10"/>
      <c r="E89" s="10"/>
      <c r="F89" s="11"/>
      <c r="G89" s="10"/>
      <c r="H89" s="23"/>
      <c r="I89" s="11"/>
    </row>
    <row r="90" spans="1:9">
      <c r="A90" s="10"/>
      <c r="B90" s="10"/>
      <c r="C90" s="10"/>
      <c r="D90" s="10"/>
      <c r="E90" s="10"/>
      <c r="F90" s="11"/>
      <c r="G90" s="10"/>
      <c r="H90" s="23"/>
      <c r="I90" s="11"/>
    </row>
    <row r="91" spans="1:9">
      <c r="A91" s="10"/>
      <c r="B91" s="10"/>
      <c r="C91" s="10"/>
      <c r="D91" s="10"/>
      <c r="E91" s="10"/>
      <c r="F91" s="11"/>
      <c r="G91" s="10"/>
      <c r="H91" s="23"/>
      <c r="I91" s="11"/>
    </row>
    <row r="92" spans="1:9">
      <c r="A92" s="10"/>
      <c r="B92" s="10"/>
      <c r="C92" s="10"/>
      <c r="D92" s="10"/>
      <c r="E92" s="10"/>
      <c r="F92" s="11"/>
      <c r="G92" s="10"/>
      <c r="H92" s="23"/>
      <c r="I92" s="11"/>
    </row>
    <row r="93" spans="1:9">
      <c r="A93" s="10"/>
      <c r="B93" s="10"/>
      <c r="C93" s="10"/>
      <c r="D93" s="10"/>
      <c r="E93" s="10"/>
      <c r="F93" s="11"/>
      <c r="G93" s="10"/>
      <c r="H93" s="23"/>
      <c r="I93" s="11"/>
    </row>
    <row r="94" spans="1:9">
      <c r="A94" s="10"/>
      <c r="B94" s="10"/>
      <c r="C94" s="10"/>
      <c r="D94" s="10"/>
      <c r="E94" s="10"/>
      <c r="F94" s="11"/>
      <c r="G94" s="10"/>
      <c r="H94" s="23"/>
      <c r="I94" s="11"/>
    </row>
    <row r="95" spans="1:9">
      <c r="A95" s="10"/>
      <c r="B95" s="10"/>
      <c r="C95" s="10"/>
      <c r="D95" s="10"/>
      <c r="E95" s="10"/>
      <c r="F95" s="11"/>
      <c r="G95" s="10"/>
      <c r="H95" s="23"/>
      <c r="I95" s="11"/>
    </row>
    <row r="96" spans="1:9">
      <c r="A96" s="10"/>
      <c r="B96" s="10"/>
      <c r="C96" s="10"/>
      <c r="D96" s="10"/>
      <c r="E96" s="10"/>
      <c r="F96" s="11"/>
      <c r="G96" s="10"/>
      <c r="H96" s="23"/>
      <c r="I96" s="11"/>
    </row>
    <row r="97" spans="1:9">
      <c r="A97" s="10"/>
      <c r="B97" s="10"/>
      <c r="C97" s="10"/>
      <c r="D97" s="10"/>
      <c r="E97" s="10"/>
      <c r="F97" s="11"/>
      <c r="G97" s="10"/>
      <c r="H97" s="23"/>
      <c r="I97" s="11"/>
    </row>
    <row r="98" spans="1:9">
      <c r="A98" s="10"/>
      <c r="B98" s="10"/>
      <c r="C98" s="10"/>
      <c r="D98" s="10"/>
      <c r="E98" s="10"/>
      <c r="F98" s="11"/>
      <c r="G98" s="10"/>
      <c r="H98" s="23"/>
      <c r="I98" s="11"/>
    </row>
    <row r="99" spans="1:9">
      <c r="A99" s="10"/>
      <c r="B99" s="10"/>
      <c r="C99" s="10"/>
      <c r="D99" s="10"/>
      <c r="E99" s="10"/>
      <c r="F99" s="11"/>
      <c r="G99" s="10"/>
      <c r="H99" s="23"/>
      <c r="I99" s="11"/>
    </row>
    <row r="100" spans="1:9">
      <c r="A100" s="10"/>
      <c r="B100" s="10"/>
      <c r="C100" s="10"/>
      <c r="D100" s="10"/>
      <c r="E100" s="10"/>
      <c r="F100" s="11"/>
      <c r="G100" s="10"/>
      <c r="H100" s="23"/>
      <c r="I100" s="11"/>
    </row>
    <row r="101" spans="1:9">
      <c r="A101" s="10"/>
      <c r="B101" s="10"/>
      <c r="C101" s="10"/>
      <c r="D101" s="10"/>
      <c r="E101" s="10"/>
      <c r="F101" s="11"/>
      <c r="G101" s="10"/>
      <c r="H101" s="23"/>
      <c r="I101" s="11"/>
    </row>
    <row r="102" spans="1:9">
      <c r="A102" s="10"/>
      <c r="B102" s="10"/>
      <c r="C102" s="10"/>
      <c r="D102" s="10"/>
      <c r="E102" s="10"/>
      <c r="F102" s="11"/>
      <c r="G102" s="10"/>
      <c r="H102" s="23"/>
      <c r="I102" s="11"/>
    </row>
    <row r="103" spans="1:9">
      <c r="A103" s="10"/>
      <c r="B103" s="10"/>
      <c r="C103" s="10"/>
      <c r="D103" s="10"/>
      <c r="E103" s="10"/>
      <c r="F103" s="11"/>
      <c r="G103" s="10"/>
      <c r="H103" s="23"/>
      <c r="I103" s="11"/>
    </row>
    <row r="104" spans="1:9">
      <c r="A104" s="10"/>
      <c r="B104" s="10"/>
      <c r="C104" s="10"/>
      <c r="D104" s="10"/>
      <c r="E104" s="10"/>
      <c r="F104" s="11"/>
      <c r="G104" s="10"/>
      <c r="H104" s="23"/>
      <c r="I104" s="11"/>
    </row>
    <row r="105" spans="1:9">
      <c r="A105" s="10"/>
      <c r="B105" s="10"/>
      <c r="C105" s="10"/>
      <c r="D105" s="10"/>
      <c r="E105" s="10"/>
      <c r="F105" s="11"/>
      <c r="G105" s="10"/>
      <c r="H105" s="23"/>
      <c r="I105" s="11"/>
    </row>
    <row r="106" spans="1:9">
      <c r="A106" s="10"/>
      <c r="B106" s="10"/>
      <c r="C106" s="10"/>
      <c r="D106" s="10"/>
      <c r="E106" s="10"/>
      <c r="F106" s="11"/>
      <c r="G106" s="10"/>
      <c r="H106" s="23"/>
      <c r="I106" s="11"/>
    </row>
    <row r="107" spans="1:9">
      <c r="A107" s="10"/>
      <c r="B107" s="10"/>
      <c r="C107" s="10"/>
      <c r="D107" s="10"/>
      <c r="E107" s="10"/>
      <c r="F107" s="11"/>
      <c r="G107" s="10"/>
      <c r="H107" s="23"/>
      <c r="I107" s="11"/>
    </row>
    <row r="108" spans="1:9">
      <c r="A108" s="10"/>
      <c r="B108" s="10"/>
      <c r="C108" s="10"/>
      <c r="D108" s="10"/>
      <c r="E108" s="10"/>
      <c r="F108" s="11"/>
      <c r="G108" s="10"/>
      <c r="H108" s="23"/>
      <c r="I108" s="11"/>
    </row>
    <row r="109" spans="1:9">
      <c r="A109" s="10"/>
      <c r="B109" s="10"/>
      <c r="C109" s="10"/>
      <c r="D109" s="10"/>
      <c r="E109" s="10"/>
      <c r="F109" s="11"/>
      <c r="G109" s="10"/>
      <c r="H109" s="23"/>
      <c r="I109" s="11"/>
    </row>
    <row r="110" spans="1:9">
      <c r="A110" s="10"/>
      <c r="B110" s="10"/>
      <c r="C110" s="10"/>
      <c r="D110" s="10"/>
      <c r="E110" s="10"/>
      <c r="F110" s="11"/>
      <c r="G110" s="10"/>
      <c r="H110" s="23"/>
      <c r="I110" s="11"/>
    </row>
    <row r="111" spans="1:9">
      <c r="A111" s="10"/>
      <c r="B111" s="10"/>
      <c r="C111" s="10"/>
      <c r="D111" s="10"/>
      <c r="E111" s="10"/>
      <c r="F111" s="11"/>
      <c r="G111" s="10"/>
      <c r="H111" s="23"/>
      <c r="I111" s="11"/>
    </row>
    <row r="112" spans="1:9">
      <c r="A112" s="10"/>
      <c r="B112" s="10"/>
      <c r="C112" s="10"/>
      <c r="D112" s="10"/>
      <c r="E112" s="10"/>
      <c r="F112" s="11"/>
      <c r="G112" s="10"/>
      <c r="H112" s="23"/>
      <c r="I112" s="11"/>
    </row>
    <row r="113" spans="1:9">
      <c r="A113" s="10"/>
      <c r="B113" s="10"/>
      <c r="C113" s="10"/>
      <c r="D113" s="10"/>
      <c r="E113" s="10"/>
      <c r="F113" s="11"/>
      <c r="G113" s="10"/>
      <c r="H113" s="23"/>
      <c r="I113" s="11"/>
    </row>
    <row r="114" spans="1:9">
      <c r="A114" s="10"/>
      <c r="B114" s="10"/>
      <c r="C114" s="10"/>
      <c r="D114" s="10"/>
      <c r="E114" s="10"/>
      <c r="F114" s="11"/>
      <c r="G114" s="10"/>
      <c r="H114" s="23"/>
      <c r="I114" s="11"/>
    </row>
    <row r="115" spans="1:9">
      <c r="A115" s="10"/>
      <c r="B115" s="10"/>
      <c r="C115" s="10"/>
      <c r="D115" s="10"/>
      <c r="E115" s="10"/>
      <c r="F115" s="11"/>
      <c r="G115" s="10"/>
      <c r="H115" s="23"/>
      <c r="I115" s="11"/>
    </row>
    <row r="116" spans="1:9">
      <c r="A116" s="10"/>
      <c r="B116" s="10"/>
      <c r="C116" s="10"/>
      <c r="D116" s="10"/>
      <c r="E116" s="10"/>
      <c r="F116" s="11"/>
      <c r="G116" s="10"/>
      <c r="H116" s="23"/>
      <c r="I116" s="11"/>
    </row>
    <row r="117" spans="1:9">
      <c r="A117" s="10"/>
      <c r="B117" s="10"/>
      <c r="C117" s="10"/>
      <c r="D117" s="10"/>
      <c r="E117" s="10"/>
      <c r="F117" s="11"/>
      <c r="G117" s="10"/>
      <c r="H117" s="23"/>
      <c r="I117" s="11"/>
    </row>
    <row r="118" spans="1:9">
      <c r="A118" s="10"/>
      <c r="B118" s="10"/>
      <c r="C118" s="10"/>
      <c r="D118" s="10"/>
      <c r="E118" s="10"/>
      <c r="F118" s="11"/>
      <c r="G118" s="10"/>
      <c r="H118" s="23"/>
      <c r="I118" s="11"/>
    </row>
    <row r="119" spans="1:9">
      <c r="A119" s="10"/>
      <c r="B119" s="10"/>
      <c r="C119" s="10"/>
      <c r="D119" s="10"/>
      <c r="E119" s="10"/>
      <c r="F119" s="11"/>
      <c r="G119" s="10"/>
      <c r="H119" s="23"/>
      <c r="I119" s="11"/>
    </row>
    <row r="120" spans="1:9">
      <c r="A120" s="10"/>
      <c r="B120" s="10"/>
      <c r="C120" s="10"/>
      <c r="D120" s="10"/>
      <c r="E120" s="10"/>
      <c r="F120" s="11"/>
      <c r="G120" s="10"/>
      <c r="H120" s="23"/>
      <c r="I120" s="11"/>
    </row>
    <row r="121" spans="1:9">
      <c r="A121" s="10"/>
      <c r="B121" s="10"/>
      <c r="C121" s="10"/>
      <c r="D121" s="10"/>
      <c r="E121" s="10"/>
      <c r="F121" s="11"/>
      <c r="G121" s="10"/>
      <c r="H121" s="23"/>
      <c r="I121" s="11"/>
    </row>
    <row r="122" spans="1:9">
      <c r="A122" s="10"/>
      <c r="B122" s="10"/>
      <c r="C122" s="10"/>
      <c r="D122" s="10"/>
      <c r="E122" s="10"/>
      <c r="F122" s="11"/>
      <c r="G122" s="10"/>
      <c r="H122" s="23"/>
      <c r="I122" s="11"/>
    </row>
    <row r="123" spans="1:9">
      <c r="A123" s="10"/>
      <c r="B123" s="10"/>
      <c r="C123" s="10"/>
      <c r="D123" s="10"/>
      <c r="E123" s="10"/>
      <c r="F123" s="11"/>
      <c r="G123" s="10"/>
      <c r="H123" s="23"/>
      <c r="I123" s="11"/>
    </row>
    <row r="124" spans="1:9">
      <c r="A124" s="10"/>
      <c r="B124" s="10"/>
      <c r="C124" s="10"/>
      <c r="D124" s="10"/>
      <c r="E124" s="10"/>
      <c r="F124" s="11"/>
      <c r="G124" s="10"/>
      <c r="H124" s="23"/>
      <c r="I124" s="11"/>
    </row>
    <row r="125" spans="1:9">
      <c r="A125" s="10"/>
      <c r="B125" s="10"/>
      <c r="C125" s="10"/>
      <c r="D125" s="10"/>
      <c r="E125" s="10"/>
      <c r="F125" s="11"/>
      <c r="G125" s="10"/>
      <c r="H125" s="23"/>
      <c r="I125" s="11"/>
    </row>
    <row r="126" spans="1:9">
      <c r="A126" s="10"/>
      <c r="B126" s="10"/>
      <c r="C126" s="10"/>
      <c r="D126" s="10"/>
      <c r="E126" s="10"/>
      <c r="F126" s="11"/>
      <c r="G126" s="10"/>
      <c r="H126" s="23"/>
      <c r="I126" s="11"/>
    </row>
    <row r="127" spans="1:9">
      <c r="A127" s="10"/>
      <c r="B127" s="10"/>
      <c r="C127" s="10"/>
      <c r="D127" s="10"/>
      <c r="E127" s="10"/>
      <c r="F127" s="11"/>
      <c r="G127" s="10"/>
      <c r="H127" s="23"/>
      <c r="I127" s="11"/>
    </row>
    <row r="128" spans="1:9">
      <c r="A128" s="10"/>
      <c r="B128" s="10"/>
      <c r="C128" s="10"/>
      <c r="D128" s="10"/>
      <c r="E128" s="10"/>
      <c r="F128" s="11"/>
      <c r="G128" s="10"/>
      <c r="H128" s="23"/>
      <c r="I128" s="11"/>
    </row>
    <row r="129" spans="1:9">
      <c r="A129" s="10"/>
      <c r="B129" s="10"/>
      <c r="C129" s="10"/>
      <c r="D129" s="10"/>
      <c r="E129" s="10"/>
      <c r="F129" s="11"/>
      <c r="G129" s="10"/>
      <c r="H129" s="23"/>
      <c r="I129" s="11"/>
    </row>
    <row r="130" spans="1:9">
      <c r="A130" s="10"/>
      <c r="B130" s="10"/>
      <c r="C130" s="10"/>
      <c r="D130" s="10"/>
      <c r="E130" s="10"/>
      <c r="F130" s="11"/>
      <c r="G130" s="10"/>
      <c r="H130" s="23"/>
      <c r="I130" s="11"/>
    </row>
    <row r="131" spans="1:9">
      <c r="A131" s="10"/>
      <c r="B131" s="10"/>
      <c r="C131" s="10"/>
      <c r="D131" s="10"/>
      <c r="E131" s="10"/>
      <c r="F131" s="11"/>
      <c r="G131" s="10"/>
      <c r="H131" s="23"/>
      <c r="I131" s="11"/>
    </row>
    <row r="132" spans="1:9">
      <c r="A132" s="10"/>
      <c r="B132" s="10"/>
      <c r="C132" s="10"/>
      <c r="D132" s="10"/>
      <c r="E132" s="10"/>
      <c r="F132" s="11"/>
      <c r="G132" s="10"/>
      <c r="H132" s="23"/>
      <c r="I132" s="11"/>
    </row>
    <row r="133" spans="1:9">
      <c r="A133" s="10"/>
      <c r="B133" s="10"/>
      <c r="C133" s="10"/>
      <c r="D133" s="10"/>
      <c r="E133" s="10"/>
      <c r="F133" s="11"/>
      <c r="G133" s="10"/>
      <c r="H133" s="23"/>
      <c r="I133" s="11"/>
    </row>
    <row r="134" spans="1:9">
      <c r="A134" s="10"/>
      <c r="B134" s="10"/>
      <c r="C134" s="10"/>
      <c r="D134" s="10"/>
      <c r="E134" s="10"/>
      <c r="F134" s="11"/>
      <c r="G134" s="10"/>
      <c r="H134" s="23"/>
      <c r="I134" s="11"/>
    </row>
    <row r="135" spans="1:9">
      <c r="A135" s="10"/>
      <c r="B135" s="10"/>
      <c r="C135" s="10"/>
      <c r="D135" s="10"/>
      <c r="E135" s="10"/>
      <c r="F135" s="11"/>
      <c r="G135" s="10"/>
      <c r="H135" s="23"/>
      <c r="I135" s="11"/>
    </row>
    <row r="136" spans="1:9">
      <c r="A136" s="10"/>
      <c r="B136" s="10"/>
      <c r="C136" s="10"/>
      <c r="D136" s="10"/>
      <c r="E136" s="10"/>
      <c r="F136" s="11"/>
      <c r="G136" s="10"/>
      <c r="H136" s="23"/>
      <c r="I136" s="11"/>
    </row>
    <row r="137" spans="1:9">
      <c r="A137" s="10"/>
      <c r="B137" s="10"/>
      <c r="C137" s="10"/>
      <c r="D137" s="10"/>
      <c r="E137" s="10"/>
      <c r="F137" s="11"/>
      <c r="G137" s="10"/>
      <c r="H137" s="23"/>
      <c r="I137" s="11"/>
    </row>
    <row r="138" spans="1:9">
      <c r="A138" s="10"/>
      <c r="B138" s="10"/>
      <c r="C138" s="10"/>
      <c r="D138" s="10"/>
      <c r="E138" s="10"/>
      <c r="F138" s="11"/>
      <c r="G138" s="10"/>
      <c r="H138" s="23"/>
      <c r="I138" s="11"/>
    </row>
    <row r="139" spans="1:9">
      <c r="A139" s="10"/>
      <c r="B139" s="10"/>
      <c r="C139" s="10"/>
      <c r="D139" s="10"/>
      <c r="E139" s="10"/>
      <c r="F139" s="11"/>
      <c r="G139" s="10"/>
      <c r="H139" s="23"/>
      <c r="I139" s="11"/>
    </row>
    <row r="140" spans="1:9">
      <c r="A140" s="10"/>
      <c r="B140" s="10"/>
      <c r="C140" s="10"/>
      <c r="D140" s="10"/>
      <c r="E140" s="10"/>
      <c r="F140" s="11"/>
      <c r="G140" s="10"/>
      <c r="H140" s="23"/>
      <c r="I140" s="11"/>
    </row>
    <row r="141" spans="1:9">
      <c r="A141" s="10"/>
      <c r="B141" s="10"/>
      <c r="C141" s="10"/>
      <c r="D141" s="10"/>
      <c r="E141" s="10"/>
      <c r="F141" s="11"/>
      <c r="G141" s="10"/>
      <c r="H141" s="23"/>
      <c r="I141" s="11"/>
    </row>
    <row r="142" spans="1:9">
      <c r="A142" s="10"/>
      <c r="B142" s="10"/>
      <c r="C142" s="10"/>
      <c r="D142" s="10"/>
      <c r="E142" s="10"/>
      <c r="F142" s="11"/>
      <c r="G142" s="10"/>
      <c r="H142" s="23"/>
      <c r="I142" s="11"/>
    </row>
    <row r="143" spans="1:9">
      <c r="A143" s="10"/>
      <c r="B143" s="10"/>
      <c r="C143" s="10"/>
      <c r="D143" s="10"/>
      <c r="E143" s="10"/>
      <c r="F143" s="11"/>
      <c r="G143" s="10"/>
      <c r="H143" s="23"/>
      <c r="I143" s="11"/>
    </row>
    <row r="144" spans="1:9">
      <c r="A144" s="10"/>
      <c r="B144" s="10"/>
      <c r="C144" s="10"/>
      <c r="D144" s="10"/>
      <c r="E144" s="10"/>
      <c r="F144" s="11"/>
      <c r="G144" s="10"/>
      <c r="H144" s="23"/>
      <c r="I144" s="11"/>
    </row>
    <row r="145" spans="1:9">
      <c r="A145" s="10"/>
      <c r="B145" s="10"/>
      <c r="C145" s="10"/>
      <c r="D145" s="10"/>
      <c r="E145" s="10"/>
      <c r="F145" s="11"/>
      <c r="G145" s="10"/>
      <c r="H145" s="23"/>
      <c r="I145" s="11"/>
    </row>
    <row r="146" spans="1:9">
      <c r="A146" s="10"/>
      <c r="B146" s="10"/>
      <c r="C146" s="10"/>
      <c r="D146" s="10"/>
      <c r="E146" s="10"/>
      <c r="F146" s="11"/>
      <c r="G146" s="10"/>
      <c r="H146" s="23"/>
      <c r="I146" s="11"/>
    </row>
    <row r="147" spans="1:9">
      <c r="A147" s="10"/>
      <c r="B147" s="10"/>
      <c r="C147" s="10"/>
      <c r="D147" s="10"/>
      <c r="E147" s="10"/>
      <c r="F147" s="11"/>
      <c r="G147" s="10"/>
      <c r="H147" s="23"/>
      <c r="I147" s="11"/>
    </row>
    <row r="148" spans="1:9">
      <c r="A148" s="10"/>
      <c r="B148" s="10"/>
      <c r="C148" s="10"/>
      <c r="D148" s="10"/>
      <c r="E148" s="10"/>
      <c r="F148" s="11"/>
      <c r="G148" s="10"/>
      <c r="H148" s="23"/>
      <c r="I148" s="11"/>
    </row>
    <row r="149" spans="1:9">
      <c r="A149" s="10"/>
      <c r="B149" s="10"/>
      <c r="C149" s="10"/>
      <c r="D149" s="10"/>
      <c r="E149" s="10"/>
      <c r="F149" s="11"/>
      <c r="G149" s="10"/>
      <c r="H149" s="23"/>
      <c r="I149" s="11"/>
    </row>
    <row r="150" spans="1:9">
      <c r="A150" s="10"/>
      <c r="B150" s="10"/>
      <c r="C150" s="10"/>
      <c r="D150" s="10"/>
      <c r="E150" s="10"/>
      <c r="F150" s="11"/>
      <c r="G150" s="10"/>
      <c r="H150" s="23"/>
      <c r="I150" s="11"/>
    </row>
    <row r="151" spans="1:9">
      <c r="A151" s="10"/>
      <c r="B151" s="10"/>
      <c r="C151" s="10"/>
      <c r="D151" s="10"/>
      <c r="E151" s="10"/>
      <c r="F151" s="11"/>
      <c r="G151" s="10"/>
      <c r="H151" s="23"/>
      <c r="I151" s="11"/>
    </row>
    <row r="152" spans="1:9">
      <c r="A152" s="10"/>
      <c r="B152" s="10"/>
      <c r="C152" s="10"/>
      <c r="D152" s="10"/>
      <c r="E152" s="10"/>
      <c r="F152" s="11"/>
      <c r="G152" s="10"/>
      <c r="H152" s="23"/>
      <c r="I152" s="11"/>
    </row>
    <row r="153" spans="1:9">
      <c r="A153" s="10"/>
      <c r="B153" s="10"/>
      <c r="C153" s="10"/>
      <c r="D153" s="10"/>
      <c r="E153" s="10"/>
      <c r="F153" s="11"/>
      <c r="G153" s="10"/>
      <c r="H153" s="23"/>
      <c r="I153" s="11"/>
    </row>
    <row r="154" spans="1:9">
      <c r="A154" s="10"/>
      <c r="B154" s="10"/>
      <c r="C154" s="10"/>
      <c r="D154" s="10"/>
      <c r="E154" s="10"/>
      <c r="F154" s="11"/>
      <c r="G154" s="10"/>
      <c r="H154" s="23"/>
      <c r="I154" s="11"/>
    </row>
    <row r="155" spans="1:9">
      <c r="A155" s="10"/>
      <c r="B155" s="10"/>
      <c r="C155" s="10"/>
      <c r="D155" s="10"/>
      <c r="E155" s="10"/>
      <c r="F155" s="11"/>
      <c r="G155" s="10"/>
      <c r="H155" s="23"/>
      <c r="I155" s="11"/>
    </row>
    <row r="156" spans="1:9">
      <c r="A156" s="10"/>
      <c r="B156" s="10"/>
      <c r="C156" s="10"/>
      <c r="D156" s="10"/>
      <c r="E156" s="10"/>
      <c r="F156" s="11"/>
      <c r="G156" s="10"/>
      <c r="H156" s="23"/>
      <c r="I156" s="11"/>
    </row>
    <row r="157" spans="1:9">
      <c r="A157" s="10"/>
      <c r="B157" s="10"/>
      <c r="C157" s="10"/>
      <c r="D157" s="10"/>
      <c r="E157" s="10"/>
      <c r="F157" s="11"/>
      <c r="G157" s="10"/>
      <c r="H157" s="23"/>
      <c r="I157" s="11"/>
    </row>
    <row r="158" spans="1:9">
      <c r="A158" s="10"/>
      <c r="B158" s="10"/>
      <c r="C158" s="10"/>
      <c r="D158" s="10"/>
      <c r="E158" s="10"/>
      <c r="F158" s="11"/>
      <c r="G158" s="10"/>
      <c r="H158" s="23"/>
      <c r="I158" s="11"/>
    </row>
    <row r="159" spans="1:9">
      <c r="A159" s="10"/>
      <c r="B159" s="10"/>
      <c r="C159" s="10"/>
      <c r="D159" s="10"/>
      <c r="E159" s="10"/>
      <c r="F159" s="11"/>
      <c r="G159" s="10"/>
      <c r="H159" s="23"/>
      <c r="I159" s="11"/>
    </row>
    <row r="160" spans="1:9">
      <c r="A160" s="10"/>
      <c r="B160" s="10"/>
      <c r="C160" s="10"/>
      <c r="D160" s="10"/>
      <c r="E160" s="10"/>
      <c r="F160" s="11"/>
      <c r="G160" s="10"/>
      <c r="H160" s="23"/>
      <c r="I160" s="11"/>
    </row>
    <row r="161" spans="1:9">
      <c r="A161" s="10"/>
      <c r="B161" s="10"/>
      <c r="C161" s="10"/>
      <c r="D161" s="10"/>
      <c r="E161" s="10"/>
      <c r="F161" s="11"/>
      <c r="G161" s="10"/>
      <c r="H161" s="23"/>
      <c r="I161" s="11"/>
    </row>
    <row r="162" spans="1:9">
      <c r="A162" s="10"/>
      <c r="B162" s="10"/>
      <c r="C162" s="10"/>
      <c r="D162" s="10"/>
      <c r="E162" s="10"/>
      <c r="F162" s="11"/>
      <c r="G162" s="10"/>
      <c r="H162" s="23"/>
      <c r="I162" s="11"/>
    </row>
    <row r="163" spans="1:9">
      <c r="A163" s="10"/>
      <c r="B163" s="10"/>
      <c r="C163" s="10"/>
      <c r="D163" s="10"/>
      <c r="E163" s="10"/>
      <c r="F163" s="11"/>
      <c r="G163" s="10"/>
      <c r="H163" s="23"/>
      <c r="I163" s="11"/>
    </row>
    <row r="164" spans="1:9">
      <c r="A164" s="10"/>
      <c r="B164" s="10"/>
      <c r="C164" s="10"/>
      <c r="D164" s="10"/>
      <c r="E164" s="10"/>
      <c r="F164" s="11"/>
      <c r="G164" s="10"/>
      <c r="H164" s="23"/>
      <c r="I164" s="11"/>
    </row>
    <row r="165" spans="1:9">
      <c r="A165" s="10"/>
      <c r="B165" s="10"/>
      <c r="C165" s="10"/>
      <c r="D165" s="10"/>
      <c r="E165" s="10"/>
      <c r="F165" s="11"/>
      <c r="G165" s="10"/>
      <c r="H165" s="23"/>
      <c r="I165" s="11"/>
    </row>
    <row r="166" spans="1:9">
      <c r="A166" s="10"/>
      <c r="B166" s="10"/>
      <c r="C166" s="10"/>
      <c r="D166" s="10"/>
      <c r="E166" s="10"/>
      <c r="F166" s="11"/>
      <c r="G166" s="10"/>
      <c r="H166" s="23"/>
      <c r="I166" s="11"/>
    </row>
    <row r="167" spans="1:9">
      <c r="A167" s="10"/>
      <c r="B167" s="10"/>
      <c r="C167" s="10"/>
      <c r="D167" s="10"/>
      <c r="E167" s="10"/>
      <c r="F167" s="11"/>
      <c r="G167" s="10"/>
      <c r="H167" s="23"/>
      <c r="I167" s="11"/>
    </row>
    <row r="168" spans="1:9">
      <c r="A168" s="10"/>
      <c r="B168" s="10"/>
      <c r="C168" s="10"/>
      <c r="D168" s="10"/>
      <c r="E168" s="10"/>
      <c r="F168" s="11"/>
      <c r="G168" s="10"/>
      <c r="H168" s="23"/>
      <c r="I168" s="11"/>
    </row>
    <row r="169" spans="1:9">
      <c r="A169" s="10"/>
      <c r="B169" s="10"/>
      <c r="C169" s="10"/>
      <c r="D169" s="10"/>
      <c r="E169" s="10"/>
      <c r="F169" s="11"/>
      <c r="G169" s="10"/>
      <c r="H169" s="23"/>
      <c r="I169" s="11"/>
    </row>
    <row r="170" spans="1:9">
      <c r="A170" s="10"/>
      <c r="B170" s="10"/>
      <c r="C170" s="10"/>
      <c r="D170" s="10"/>
      <c r="E170" s="10"/>
      <c r="F170" s="11"/>
      <c r="G170" s="10"/>
      <c r="H170" s="23"/>
      <c r="I170" s="11"/>
    </row>
    <row r="171" spans="1:9">
      <c r="A171" s="10"/>
      <c r="B171" s="10"/>
      <c r="C171" s="10"/>
      <c r="D171" s="10"/>
      <c r="E171" s="10"/>
      <c r="F171" s="11"/>
      <c r="G171" s="10"/>
      <c r="H171" s="23"/>
      <c r="I171" s="11"/>
    </row>
    <row r="172" spans="1:9">
      <c r="A172" s="10"/>
      <c r="B172" s="10"/>
      <c r="C172" s="10"/>
      <c r="D172" s="10"/>
      <c r="E172" s="10"/>
      <c r="F172" s="11"/>
      <c r="G172" s="10"/>
      <c r="H172" s="23"/>
      <c r="I172" s="11"/>
    </row>
    <row r="173" spans="1:9">
      <c r="A173" s="10"/>
      <c r="B173" s="10"/>
      <c r="C173" s="10"/>
      <c r="D173" s="10"/>
      <c r="E173" s="10"/>
      <c r="F173" s="11"/>
      <c r="G173" s="10"/>
      <c r="H173" s="23"/>
      <c r="I173" s="11"/>
    </row>
    <row r="174" spans="1:9">
      <c r="A174" s="10"/>
      <c r="B174" s="10"/>
      <c r="C174" s="10"/>
      <c r="D174" s="10"/>
      <c r="E174" s="10"/>
      <c r="F174" s="11"/>
      <c r="G174" s="10"/>
      <c r="H174" s="23"/>
      <c r="I174" s="11"/>
    </row>
    <row r="175" spans="1:9">
      <c r="A175" s="10"/>
      <c r="B175" s="10"/>
      <c r="C175" s="10"/>
      <c r="D175" s="10"/>
      <c r="E175" s="10"/>
      <c r="F175" s="11"/>
      <c r="G175" s="10"/>
      <c r="H175" s="23"/>
      <c r="I175" s="11"/>
    </row>
    <row r="176" spans="1:9">
      <c r="A176" s="10"/>
      <c r="B176" s="10"/>
      <c r="C176" s="10"/>
      <c r="D176" s="10"/>
      <c r="E176" s="10"/>
      <c r="F176" s="11"/>
      <c r="G176" s="10"/>
      <c r="H176" s="23"/>
      <c r="I176" s="11"/>
    </row>
    <row r="177" spans="1:9">
      <c r="A177" s="10"/>
      <c r="B177" s="10"/>
      <c r="C177" s="10"/>
      <c r="D177" s="10"/>
      <c r="E177" s="10"/>
      <c r="F177" s="11"/>
      <c r="G177" s="10"/>
      <c r="H177" s="23"/>
      <c r="I177" s="11"/>
    </row>
    <row r="178" spans="1:9">
      <c r="A178" s="10"/>
      <c r="B178" s="10"/>
      <c r="C178" s="10"/>
      <c r="D178" s="10"/>
      <c r="E178" s="10"/>
      <c r="F178" s="11"/>
      <c r="G178" s="10"/>
      <c r="H178" s="23"/>
      <c r="I178" s="11"/>
    </row>
    <row r="179" spans="1:9">
      <c r="A179" s="10"/>
      <c r="B179" s="10"/>
      <c r="C179" s="10"/>
      <c r="D179" s="10"/>
      <c r="E179" s="10"/>
      <c r="F179" s="11"/>
      <c r="G179" s="10"/>
      <c r="H179" s="23"/>
      <c r="I179" s="11"/>
    </row>
    <row r="180" spans="1:9">
      <c r="A180" s="10"/>
      <c r="B180" s="10"/>
      <c r="C180" s="10"/>
      <c r="D180" s="10"/>
      <c r="E180" s="10"/>
      <c r="F180" s="11"/>
      <c r="G180" s="10"/>
      <c r="H180" s="23"/>
      <c r="I180" s="11"/>
    </row>
    <row r="181" spans="1:9">
      <c r="A181" s="10"/>
      <c r="B181" s="10"/>
      <c r="C181" s="10"/>
      <c r="D181" s="10"/>
      <c r="E181" s="10"/>
      <c r="F181" s="11"/>
      <c r="G181" s="10"/>
      <c r="H181" s="23"/>
      <c r="I181" s="11"/>
    </row>
    <row r="182" spans="1:9">
      <c r="A182" s="10"/>
      <c r="B182" s="10"/>
      <c r="C182" s="10"/>
      <c r="D182" s="10"/>
      <c r="E182" s="10"/>
      <c r="F182" s="11"/>
      <c r="G182" s="10"/>
      <c r="H182" s="23"/>
      <c r="I182" s="11"/>
    </row>
    <row r="183" spans="1:9">
      <c r="A183" s="10"/>
      <c r="B183" s="10"/>
      <c r="C183" s="10"/>
      <c r="D183" s="10"/>
      <c r="E183" s="10"/>
      <c r="F183" s="11"/>
      <c r="G183" s="10"/>
      <c r="H183" s="23"/>
      <c r="I183" s="11"/>
    </row>
    <row r="184" spans="1:9">
      <c r="A184" s="10"/>
      <c r="B184" s="10"/>
      <c r="C184" s="10"/>
      <c r="D184" s="10"/>
      <c r="E184" s="10"/>
      <c r="F184" s="11"/>
      <c r="G184" s="10"/>
      <c r="H184" s="23"/>
      <c r="I184" s="11"/>
    </row>
    <row r="185" spans="1:9">
      <c r="A185" s="10"/>
      <c r="B185" s="10"/>
      <c r="C185" s="10"/>
      <c r="D185" s="10"/>
      <c r="E185" s="10"/>
      <c r="F185" s="11"/>
      <c r="G185" s="10"/>
      <c r="H185" s="23"/>
      <c r="I185" s="11"/>
    </row>
    <row r="186" spans="1:9">
      <c r="A186" s="10"/>
      <c r="B186" s="10"/>
      <c r="C186" s="10"/>
      <c r="D186" s="10"/>
      <c r="E186" s="10"/>
      <c r="F186" s="11"/>
      <c r="G186" s="10"/>
      <c r="H186" s="23"/>
      <c r="I186" s="11"/>
    </row>
    <row r="187" spans="1:9">
      <c r="A187" s="10"/>
      <c r="B187" s="10"/>
      <c r="C187" s="10"/>
      <c r="D187" s="10"/>
      <c r="E187" s="10"/>
      <c r="F187" s="11"/>
      <c r="G187" s="10"/>
      <c r="H187" s="23"/>
      <c r="I187" s="11"/>
    </row>
    <row r="188" spans="1:9">
      <c r="A188" s="10"/>
      <c r="B188" s="10"/>
      <c r="C188" s="10"/>
      <c r="D188" s="10"/>
      <c r="E188" s="10"/>
      <c r="F188" s="11"/>
      <c r="G188" s="10"/>
      <c r="H188" s="23"/>
      <c r="I188" s="11"/>
    </row>
    <row r="189" spans="1:9">
      <c r="A189" s="10"/>
      <c r="B189" s="10"/>
      <c r="C189" s="10"/>
      <c r="D189" s="10"/>
      <c r="E189" s="10"/>
      <c r="F189" s="11"/>
      <c r="G189" s="10"/>
      <c r="H189" s="23"/>
      <c r="I189" s="11"/>
    </row>
    <row r="190" spans="1:9">
      <c r="A190" s="10"/>
      <c r="B190" s="10"/>
      <c r="C190" s="10"/>
      <c r="D190" s="10"/>
      <c r="E190" s="10"/>
      <c r="F190" s="11"/>
      <c r="G190" s="10"/>
      <c r="H190" s="23"/>
      <c r="I190" s="11"/>
    </row>
    <row r="191" spans="1:9">
      <c r="A191" s="10"/>
      <c r="B191" s="10"/>
      <c r="C191" s="10"/>
      <c r="D191" s="10"/>
      <c r="E191" s="10"/>
      <c r="F191" s="11"/>
      <c r="G191" s="10"/>
      <c r="H191" s="23"/>
      <c r="I191" s="11"/>
    </row>
    <row r="192" spans="1:9">
      <c r="A192" s="10"/>
      <c r="B192" s="10"/>
      <c r="C192" s="10"/>
      <c r="D192" s="10"/>
      <c r="E192" s="10"/>
      <c r="F192" s="11"/>
      <c r="G192" s="10"/>
      <c r="H192" s="23"/>
      <c r="I192" s="11"/>
    </row>
    <row r="193" spans="1:9">
      <c r="A193" s="10"/>
      <c r="B193" s="10"/>
      <c r="C193" s="10"/>
      <c r="D193" s="10"/>
      <c r="E193" s="10"/>
      <c r="F193" s="11"/>
      <c r="G193" s="10"/>
      <c r="H193" s="23"/>
      <c r="I193" s="11"/>
    </row>
    <row r="194" spans="1:9">
      <c r="A194" s="10"/>
      <c r="B194" s="10"/>
      <c r="C194" s="10"/>
      <c r="D194" s="10"/>
      <c r="E194" s="10"/>
      <c r="F194" s="11"/>
      <c r="G194" s="10"/>
      <c r="H194" s="23"/>
      <c r="I194" s="11"/>
    </row>
    <row r="195" spans="1:9">
      <c r="A195" s="10"/>
      <c r="B195" s="10"/>
      <c r="C195" s="10"/>
      <c r="D195" s="10"/>
      <c r="E195" s="10"/>
      <c r="F195" s="11"/>
      <c r="G195" s="10"/>
      <c r="H195" s="23"/>
      <c r="I195" s="11"/>
    </row>
    <row r="196" spans="1:9">
      <c r="A196" s="10"/>
      <c r="B196" s="10"/>
      <c r="C196" s="10"/>
      <c r="D196" s="10"/>
      <c r="E196" s="10"/>
      <c r="F196" s="11"/>
      <c r="G196" s="10"/>
      <c r="H196" s="23"/>
      <c r="I196" s="11"/>
    </row>
    <row r="197" spans="1:9">
      <c r="A197" s="10"/>
      <c r="B197" s="10"/>
      <c r="C197" s="10"/>
      <c r="D197" s="10"/>
      <c r="E197" s="10"/>
      <c r="F197" s="11"/>
      <c r="G197" s="10"/>
      <c r="H197" s="23"/>
      <c r="I197" s="11"/>
    </row>
    <row r="198" spans="1:9">
      <c r="A198" s="10"/>
      <c r="B198" s="10"/>
      <c r="C198" s="10"/>
      <c r="D198" s="10"/>
      <c r="E198" s="10"/>
      <c r="F198" s="11"/>
      <c r="G198" s="10"/>
      <c r="H198" s="23"/>
      <c r="I198" s="11"/>
    </row>
    <row r="199" spans="1:9">
      <c r="A199" s="10"/>
      <c r="B199" s="10"/>
      <c r="C199" s="10"/>
      <c r="D199" s="10"/>
      <c r="E199" s="10"/>
      <c r="F199" s="11"/>
      <c r="G199" s="10"/>
      <c r="H199" s="23"/>
      <c r="I199" s="11"/>
    </row>
    <row r="200" spans="1:9">
      <c r="A200" s="10"/>
      <c r="B200" s="10"/>
      <c r="C200" s="10"/>
      <c r="D200" s="10"/>
      <c r="E200" s="10"/>
      <c r="F200" s="11"/>
      <c r="G200" s="10"/>
      <c r="H200" s="23"/>
      <c r="I200" s="11"/>
    </row>
    <row r="201" spans="1:9">
      <c r="A201" s="10"/>
      <c r="B201" s="10"/>
      <c r="C201" s="10"/>
      <c r="D201" s="10"/>
      <c r="E201" s="10"/>
      <c r="F201" s="11"/>
      <c r="G201" s="10"/>
      <c r="H201" s="23"/>
      <c r="I201" s="11"/>
    </row>
    <row r="202" spans="1:9">
      <c r="A202" s="10"/>
      <c r="B202" s="10"/>
      <c r="C202" s="10"/>
      <c r="D202" s="10"/>
      <c r="E202" s="10"/>
      <c r="F202" s="11"/>
      <c r="G202" s="10"/>
      <c r="H202" s="23"/>
      <c r="I202" s="11"/>
    </row>
    <row r="203" spans="1:9">
      <c r="A203" s="10"/>
      <c r="B203" s="10"/>
      <c r="C203" s="10"/>
      <c r="D203" s="10"/>
      <c r="E203" s="10"/>
      <c r="F203" s="11"/>
      <c r="G203" s="10"/>
      <c r="H203" s="23"/>
      <c r="I203" s="11"/>
    </row>
    <row r="204" spans="1:9">
      <c r="A204" s="10"/>
      <c r="B204" s="10"/>
      <c r="C204" s="10"/>
      <c r="D204" s="10"/>
      <c r="E204" s="10"/>
      <c r="F204" s="11"/>
      <c r="G204" s="10"/>
      <c r="H204" s="23"/>
      <c r="I204" s="11"/>
    </row>
    <row r="205" spans="1:9">
      <c r="A205" s="10"/>
      <c r="B205" s="10"/>
      <c r="C205" s="10"/>
      <c r="D205" s="10"/>
      <c r="E205" s="10"/>
      <c r="F205" s="11"/>
      <c r="G205" s="10"/>
      <c r="H205" s="23"/>
      <c r="I205" s="11"/>
    </row>
    <row r="206" spans="1:9">
      <c r="A206" s="10"/>
      <c r="B206" s="10"/>
      <c r="C206" s="10"/>
      <c r="D206" s="10"/>
      <c r="E206" s="10"/>
      <c r="F206" s="11"/>
      <c r="G206" s="10"/>
      <c r="H206" s="23"/>
      <c r="I206" s="11"/>
    </row>
    <row r="207" spans="1:9">
      <c r="A207" s="10"/>
      <c r="B207" s="10"/>
      <c r="C207" s="10"/>
      <c r="D207" s="10"/>
      <c r="E207" s="10"/>
      <c r="F207" s="11"/>
      <c r="G207" s="10"/>
      <c r="H207" s="23"/>
      <c r="I207" s="11"/>
    </row>
    <row r="208" spans="1:9">
      <c r="A208" s="10"/>
      <c r="B208" s="10"/>
      <c r="C208" s="10"/>
      <c r="D208" s="10"/>
      <c r="E208" s="10"/>
      <c r="F208" s="11"/>
      <c r="G208" s="10"/>
      <c r="H208" s="23"/>
      <c r="I208" s="11"/>
    </row>
    <row r="209" spans="1:9">
      <c r="A209" s="10"/>
      <c r="B209" s="10"/>
      <c r="C209" s="10"/>
      <c r="D209" s="10"/>
      <c r="E209" s="10"/>
      <c r="F209" s="11"/>
      <c r="G209" s="10"/>
      <c r="H209" s="23"/>
      <c r="I209" s="11"/>
    </row>
    <row r="210" spans="1:9">
      <c r="A210" s="10"/>
      <c r="B210" s="10"/>
      <c r="C210" s="10"/>
      <c r="D210" s="10"/>
      <c r="E210" s="10"/>
      <c r="F210" s="11"/>
      <c r="G210" s="10"/>
      <c r="H210" s="23"/>
      <c r="I210" s="11"/>
    </row>
    <row r="211" spans="1:9">
      <c r="A211" s="10"/>
      <c r="B211" s="10"/>
      <c r="C211" s="10"/>
      <c r="D211" s="10"/>
      <c r="E211" s="10"/>
      <c r="F211" s="11"/>
      <c r="G211" s="10"/>
      <c r="H211" s="23"/>
      <c r="I211" s="11"/>
    </row>
    <row r="212" spans="1:9">
      <c r="A212" s="10"/>
      <c r="B212" s="10"/>
      <c r="C212" s="10"/>
      <c r="D212" s="10"/>
      <c r="E212" s="10"/>
      <c r="F212" s="11"/>
      <c r="G212" s="10"/>
      <c r="H212" s="23"/>
      <c r="I212" s="11"/>
    </row>
    <row r="213" spans="1:9">
      <c r="A213" s="10"/>
      <c r="B213" s="10"/>
      <c r="C213" s="10"/>
      <c r="D213" s="10"/>
      <c r="E213" s="10"/>
      <c r="F213" s="11"/>
      <c r="G213" s="10"/>
      <c r="H213" s="23"/>
      <c r="I213" s="11"/>
    </row>
    <row r="214" spans="1:9">
      <c r="A214" s="10"/>
      <c r="B214" s="10"/>
      <c r="C214" s="10"/>
      <c r="D214" s="10"/>
      <c r="E214" s="10"/>
      <c r="F214" s="11"/>
      <c r="G214" s="10"/>
      <c r="H214" s="23"/>
      <c r="I214" s="11"/>
    </row>
    <row r="215" spans="1:9">
      <c r="A215" s="10"/>
      <c r="B215" s="10"/>
      <c r="C215" s="10"/>
      <c r="D215" s="10"/>
      <c r="E215" s="10"/>
      <c r="F215" s="11"/>
      <c r="G215" s="10"/>
      <c r="H215" s="23"/>
      <c r="I215" s="11"/>
    </row>
    <row r="216" spans="1:9">
      <c r="A216" s="10"/>
      <c r="B216" s="10"/>
      <c r="C216" s="10"/>
      <c r="D216" s="10"/>
      <c r="E216" s="10"/>
      <c r="F216" s="11"/>
      <c r="G216" s="10"/>
      <c r="H216" s="23"/>
      <c r="I216" s="11"/>
    </row>
    <row r="217" spans="1:9">
      <c r="A217" s="10"/>
      <c r="B217" s="10"/>
      <c r="C217" s="10"/>
      <c r="D217" s="10"/>
      <c r="E217" s="10"/>
      <c r="F217" s="11"/>
      <c r="G217" s="10"/>
      <c r="H217" s="23"/>
      <c r="I217" s="11"/>
    </row>
    <row r="218" spans="1:9">
      <c r="A218" s="10"/>
      <c r="B218" s="10"/>
      <c r="C218" s="10"/>
      <c r="D218" s="10"/>
      <c r="E218" s="10"/>
      <c r="F218" s="11"/>
      <c r="G218" s="10"/>
      <c r="H218" s="23"/>
      <c r="I218" s="11"/>
    </row>
    <row r="219" spans="1:9">
      <c r="A219" s="10"/>
      <c r="B219" s="10"/>
      <c r="C219" s="10"/>
      <c r="D219" s="10"/>
      <c r="E219" s="10"/>
      <c r="F219" s="11"/>
      <c r="G219" s="10"/>
      <c r="H219" s="23"/>
      <c r="I219" s="11"/>
    </row>
    <row r="220" spans="1:9">
      <c r="A220" s="10"/>
      <c r="B220" s="10"/>
      <c r="C220" s="10"/>
      <c r="D220" s="10"/>
      <c r="E220" s="10"/>
      <c r="F220" s="11"/>
      <c r="G220" s="10"/>
      <c r="H220" s="23"/>
      <c r="I220" s="11"/>
    </row>
    <row r="221" spans="1:9">
      <c r="A221" s="10"/>
      <c r="B221" s="10"/>
      <c r="C221" s="10"/>
      <c r="D221" s="10"/>
      <c r="E221" s="10"/>
      <c r="F221" s="11"/>
      <c r="G221" s="10"/>
      <c r="H221" s="23"/>
      <c r="I221" s="11"/>
    </row>
    <row r="222" spans="1:9">
      <c r="A222" s="10"/>
      <c r="B222" s="10"/>
      <c r="C222" s="10"/>
      <c r="D222" s="10"/>
      <c r="E222" s="10"/>
      <c r="F222" s="11"/>
      <c r="G222" s="10"/>
      <c r="H222" s="23"/>
      <c r="I222" s="11"/>
    </row>
    <row r="223" spans="1:9">
      <c r="A223" s="10"/>
      <c r="B223" s="10"/>
      <c r="C223" s="10"/>
      <c r="D223" s="10"/>
      <c r="E223" s="10"/>
      <c r="F223" s="11"/>
      <c r="G223" s="10"/>
      <c r="H223" s="23"/>
      <c r="I223" s="11"/>
    </row>
    <row r="224" spans="1:9">
      <c r="A224" s="10"/>
      <c r="B224" s="10"/>
      <c r="C224" s="10"/>
      <c r="D224" s="10"/>
      <c r="E224" s="10"/>
      <c r="F224" s="11"/>
      <c r="G224" s="10"/>
      <c r="H224" s="23"/>
      <c r="I224" s="11"/>
    </row>
    <row r="225" spans="1:9">
      <c r="A225" s="10"/>
      <c r="B225" s="10"/>
      <c r="C225" s="10"/>
      <c r="D225" s="10"/>
      <c r="E225" s="10"/>
      <c r="F225" s="11"/>
      <c r="G225" s="10"/>
      <c r="H225" s="23"/>
      <c r="I225" s="11"/>
    </row>
    <row r="226" spans="1:9">
      <c r="A226" s="10"/>
      <c r="B226" s="10"/>
      <c r="C226" s="10"/>
      <c r="D226" s="10"/>
      <c r="E226" s="10"/>
      <c r="F226" s="11"/>
      <c r="G226" s="10"/>
      <c r="H226" s="23"/>
      <c r="I226" s="11"/>
    </row>
    <row r="227" spans="1:9">
      <c r="A227" s="10"/>
      <c r="B227" s="10"/>
      <c r="C227" s="10"/>
      <c r="D227" s="10"/>
      <c r="E227" s="10"/>
      <c r="F227" s="11"/>
      <c r="G227" s="10"/>
      <c r="H227" s="23"/>
      <c r="I227" s="11"/>
    </row>
    <row r="228" spans="1:9">
      <c r="A228" s="10"/>
      <c r="B228" s="10"/>
      <c r="C228" s="10"/>
      <c r="D228" s="10"/>
      <c r="E228" s="10"/>
      <c r="F228" s="11"/>
      <c r="G228" s="10"/>
      <c r="H228" s="23"/>
      <c r="I228" s="11"/>
    </row>
    <row r="229" spans="1:9">
      <c r="A229" s="10"/>
      <c r="B229" s="10"/>
      <c r="C229" s="10"/>
      <c r="D229" s="10"/>
      <c r="E229" s="10"/>
      <c r="F229" s="11"/>
      <c r="G229" s="10"/>
      <c r="H229" s="23"/>
      <c r="I229" s="11"/>
    </row>
    <row r="230" spans="1:9">
      <c r="A230" s="10"/>
      <c r="B230" s="10"/>
      <c r="C230" s="10"/>
      <c r="D230" s="10"/>
      <c r="E230" s="10"/>
      <c r="F230" s="11"/>
      <c r="G230" s="10"/>
      <c r="H230" s="23"/>
      <c r="I230" s="11"/>
    </row>
    <row r="231" spans="1:9">
      <c r="A231" s="10"/>
      <c r="B231" s="10"/>
      <c r="C231" s="10"/>
      <c r="D231" s="10"/>
      <c r="E231" s="10"/>
      <c r="F231" s="11"/>
      <c r="G231" s="10"/>
      <c r="H231" s="23"/>
      <c r="I231" s="11"/>
    </row>
    <row r="232" spans="1:9">
      <c r="A232" s="10"/>
      <c r="B232" s="10"/>
      <c r="C232" s="10"/>
      <c r="D232" s="10"/>
      <c r="E232" s="10"/>
      <c r="F232" s="11"/>
      <c r="G232" s="10"/>
      <c r="H232" s="23"/>
      <c r="I232" s="11"/>
    </row>
    <row r="233" spans="1:9">
      <c r="A233" s="10"/>
      <c r="B233" s="10"/>
      <c r="C233" s="10"/>
      <c r="D233" s="10"/>
      <c r="E233" s="10"/>
      <c r="F233" s="11"/>
      <c r="G233" s="10"/>
      <c r="H233" s="23"/>
      <c r="I233" s="11"/>
    </row>
    <row r="234" spans="1:9">
      <c r="A234" s="10"/>
      <c r="B234" s="10"/>
      <c r="C234" s="10"/>
      <c r="D234" s="10"/>
      <c r="E234" s="10"/>
      <c r="F234" s="11"/>
      <c r="G234" s="10"/>
      <c r="H234" s="23"/>
      <c r="I234" s="11"/>
    </row>
    <row r="235" spans="1:9">
      <c r="A235" s="10"/>
      <c r="B235" s="10"/>
      <c r="C235" s="10"/>
      <c r="D235" s="10"/>
      <c r="E235" s="10"/>
      <c r="F235" s="11"/>
      <c r="G235" s="10"/>
      <c r="H235" s="23"/>
      <c r="I235" s="11"/>
    </row>
    <row r="236" spans="1:9">
      <c r="A236" s="10"/>
      <c r="B236" s="10"/>
      <c r="C236" s="10"/>
      <c r="D236" s="10"/>
      <c r="E236" s="10"/>
      <c r="F236" s="11"/>
      <c r="G236" s="10"/>
      <c r="H236" s="23"/>
      <c r="I236" s="11"/>
    </row>
    <row r="237" spans="1:9">
      <c r="A237" s="10"/>
      <c r="B237" s="10"/>
      <c r="C237" s="10"/>
      <c r="D237" s="10"/>
      <c r="E237" s="10"/>
      <c r="F237" s="11"/>
      <c r="G237" s="10"/>
      <c r="H237" s="23"/>
      <c r="I237" s="11"/>
    </row>
    <row r="238" spans="1:9">
      <c r="A238" s="10"/>
      <c r="B238" s="10"/>
      <c r="C238" s="10"/>
      <c r="D238" s="10"/>
      <c r="E238" s="10"/>
      <c r="F238" s="11"/>
      <c r="G238" s="10"/>
      <c r="H238" s="23"/>
      <c r="I238" s="11"/>
    </row>
    <row r="239" spans="1:9">
      <c r="A239" s="10"/>
      <c r="B239" s="10"/>
      <c r="C239" s="10"/>
      <c r="D239" s="10"/>
      <c r="E239" s="10"/>
      <c r="F239" s="11"/>
      <c r="G239" s="10"/>
      <c r="H239" s="23"/>
      <c r="I239" s="11"/>
    </row>
    <row r="240" spans="1:9">
      <c r="A240" s="10"/>
      <c r="B240" s="10"/>
      <c r="C240" s="10"/>
      <c r="D240" s="10"/>
      <c r="E240" s="10"/>
      <c r="F240" s="11"/>
      <c r="G240" s="10"/>
      <c r="H240" s="23"/>
      <c r="I240" s="11"/>
    </row>
    <row r="241" spans="1:9">
      <c r="A241" s="10"/>
      <c r="B241" s="10"/>
      <c r="C241" s="10"/>
      <c r="D241" s="10"/>
      <c r="E241" s="10"/>
      <c r="F241" s="11"/>
      <c r="G241" s="10"/>
      <c r="H241" s="23"/>
      <c r="I241" s="11"/>
    </row>
    <row r="242" spans="1:9">
      <c r="A242" s="10"/>
      <c r="B242" s="10"/>
      <c r="C242" s="10"/>
      <c r="D242" s="10"/>
      <c r="E242" s="10"/>
      <c r="F242" s="11"/>
      <c r="G242" s="10"/>
      <c r="H242" s="23"/>
      <c r="I242" s="11"/>
    </row>
    <row r="243" spans="1:9">
      <c r="A243" s="10"/>
      <c r="B243" s="10"/>
      <c r="C243" s="10"/>
      <c r="D243" s="10"/>
      <c r="E243" s="10"/>
      <c r="F243" s="11"/>
      <c r="G243" s="10"/>
      <c r="H243" s="23"/>
      <c r="I243" s="11"/>
    </row>
    <row r="244" spans="1:9">
      <c r="A244" s="10"/>
      <c r="B244" s="10"/>
      <c r="C244" s="10"/>
      <c r="D244" s="10"/>
      <c r="E244" s="10"/>
      <c r="F244" s="11"/>
      <c r="G244" s="10"/>
      <c r="H244" s="23"/>
      <c r="I244" s="11"/>
    </row>
    <row r="245" spans="1:9">
      <c r="A245" s="10"/>
      <c r="B245" s="10"/>
      <c r="C245" s="10"/>
      <c r="D245" s="10"/>
      <c r="E245" s="10"/>
      <c r="F245" s="11"/>
      <c r="G245" s="10"/>
      <c r="H245" s="23"/>
      <c r="I245" s="11"/>
    </row>
    <row r="246" spans="1:9">
      <c r="A246" s="10"/>
      <c r="B246" s="10"/>
      <c r="C246" s="10"/>
      <c r="D246" s="10"/>
      <c r="E246" s="10"/>
      <c r="F246" s="11"/>
      <c r="G246" s="10"/>
      <c r="H246" s="23"/>
      <c r="I246" s="11"/>
    </row>
    <row r="247" spans="1:9">
      <c r="A247" s="10"/>
      <c r="B247" s="10"/>
      <c r="C247" s="10"/>
      <c r="D247" s="10"/>
      <c r="E247" s="10"/>
      <c r="F247" s="11"/>
      <c r="G247" s="10"/>
      <c r="H247" s="23"/>
      <c r="I247" s="11"/>
    </row>
    <row r="248" spans="1:9">
      <c r="A248" s="10"/>
      <c r="B248" s="10"/>
      <c r="C248" s="10"/>
      <c r="D248" s="10"/>
      <c r="E248" s="10"/>
      <c r="F248" s="11"/>
      <c r="G248" s="10"/>
      <c r="H248" s="23"/>
      <c r="I248" s="11"/>
    </row>
    <row r="249" spans="1:9">
      <c r="A249" s="10"/>
      <c r="B249" s="10"/>
      <c r="C249" s="10"/>
      <c r="D249" s="10"/>
      <c r="E249" s="10"/>
      <c r="F249" s="11"/>
      <c r="G249" s="10"/>
      <c r="H249" s="23"/>
      <c r="I249" s="11"/>
    </row>
    <row r="250" spans="1:9">
      <c r="A250" s="10"/>
      <c r="B250" s="10"/>
      <c r="C250" s="10"/>
      <c r="D250" s="10"/>
      <c r="E250" s="10"/>
      <c r="F250" s="11"/>
      <c r="G250" s="10"/>
      <c r="H250" s="23"/>
      <c r="I250" s="11"/>
    </row>
    <row r="251" spans="1:9">
      <c r="A251" s="25" t="s">
        <v>3995</v>
      </c>
      <c r="B251" s="25" t="s">
        <v>3996</v>
      </c>
      <c r="C251" s="25" t="s">
        <v>3997</v>
      </c>
      <c r="D251" s="25" t="s">
        <v>3998</v>
      </c>
      <c r="E251" s="25" t="s">
        <v>3999</v>
      </c>
      <c r="F251" s="25"/>
      <c r="G251" s="25"/>
      <c r="I251" s="25"/>
    </row>
  </sheetData>
  <mergeCells count="2">
    <mergeCell ref="A1:I1"/>
    <mergeCell ref="A2:I2"/>
  </mergeCells>
  <conditionalFormatting sqref="B4:B250">
    <cfRule type="expression" dxfId="0" priority="1">
      <formula>LEN($B4)=0</formula>
    </cfRule>
  </conditionalFormatting>
  <dataValidations count="2">
    <dataValidation type="list" allowBlank="1" sqref="E4:E250" xr:uid="{00000000-0002-0000-1500-000000000000}">
      <formula1>AzioniLog</formula1>
    </dataValidation>
    <dataValidation type="list" allowBlank="1" sqref="H4:H250" xr:uid="{00000000-0002-0000-1500-000001000000}">
      <formula1>EsitoVerifica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2"/>
  <sheetViews>
    <sheetView showGridLines="0" workbookViewId="0">
      <selection activeCell="G4" sqref="G4"/>
    </sheetView>
  </sheetViews>
  <sheetFormatPr defaultRowHeight="14.45"/>
  <sheetData>
    <row r="1" spans="1:11">
      <c r="A1" s="70" t="s">
        <v>4000</v>
      </c>
      <c r="B1" s="70" t="s">
        <v>4001</v>
      </c>
      <c r="C1" s="25"/>
      <c r="D1" s="70" t="s">
        <v>29</v>
      </c>
      <c r="E1" s="70" t="s">
        <v>4002</v>
      </c>
      <c r="F1" s="25"/>
      <c r="G1" s="70" t="s">
        <v>4003</v>
      </c>
      <c r="H1" s="70" t="s">
        <v>4002</v>
      </c>
      <c r="I1" s="25"/>
      <c r="J1" s="70" t="s">
        <v>4004</v>
      </c>
      <c r="K1" s="70" t="s">
        <v>4002</v>
      </c>
    </row>
    <row r="2" spans="1:11">
      <c r="A2" s="71" t="s">
        <v>2532</v>
      </c>
      <c r="B2" s="71">
        <f>COUNTA('05_Descrizione'!$A$4:$A$1000)</f>
        <v>67</v>
      </c>
      <c r="C2" s="25"/>
      <c r="D2" s="71" t="s">
        <v>92</v>
      </c>
      <c r="E2" s="71">
        <f>COUNTIF('03_Tecnologie'!$B$4:$B$1000,D2)</f>
        <v>3</v>
      </c>
      <c r="F2" s="25"/>
      <c r="G2" s="71" t="s">
        <v>4005</v>
      </c>
      <c r="H2" s="71">
        <f>COUNTIF('03_Tecnologie'!$H$4:$H$1000,G2)</f>
        <v>0</v>
      </c>
      <c r="I2" s="25"/>
      <c r="J2" s="71" t="s">
        <v>4006</v>
      </c>
      <c r="K2" s="71">
        <f>COUNTIF('00_Scorecard'!$U$4:$U$1000,J2)</f>
        <v>1</v>
      </c>
    </row>
    <row r="3" spans="1:11">
      <c r="A3" s="71" t="s">
        <v>4007</v>
      </c>
      <c r="B3" s="71">
        <f>COUNTA('06_Avanzamento'!$A$4:$A$1000)</f>
        <v>66</v>
      </c>
      <c r="C3" s="25"/>
      <c r="D3" s="71" t="s">
        <v>119</v>
      </c>
      <c r="E3" s="71">
        <f>COUNTIF('03_Tecnologie'!$B$4:$B$1000,D3)</f>
        <v>7</v>
      </c>
      <c r="F3" s="25"/>
      <c r="G3" s="71" t="s">
        <v>4008</v>
      </c>
      <c r="H3" s="71">
        <f>COUNTIF('03_Tecnologie'!$H$4:$H$1000,G3)</f>
        <v>0</v>
      </c>
      <c r="I3" s="25"/>
      <c r="J3" s="71" t="s">
        <v>4009</v>
      </c>
      <c r="K3" s="71">
        <f>COUNTIF('00_Scorecard'!$U$4:$U$1000,J3)</f>
        <v>0</v>
      </c>
    </row>
    <row r="4" spans="1:11">
      <c r="A4" s="71" t="s">
        <v>4010</v>
      </c>
      <c r="B4" s="71">
        <f>COUNTA('07_TRL_TLR'!$A$4:$A$1000)</f>
        <v>66</v>
      </c>
      <c r="C4" s="25"/>
      <c r="D4" s="71" t="s">
        <v>157</v>
      </c>
      <c r="E4" s="71">
        <f>COUNTIF('03_Tecnologie'!$B$4:$B$1000,D4)</f>
        <v>1</v>
      </c>
      <c r="F4" s="25"/>
      <c r="G4" s="71" t="s">
        <v>4011</v>
      </c>
      <c r="H4" s="71">
        <f>COUNTIF('03_Tecnologie'!$H$4:$H$1000,G4)</f>
        <v>0</v>
      </c>
      <c r="I4" s="25"/>
      <c r="J4" s="71" t="s">
        <v>4012</v>
      </c>
      <c r="K4" s="71">
        <f>COUNTIF('00_Scorecard'!$U$4:$U$1000,J4)</f>
        <v>0</v>
      </c>
    </row>
    <row r="5" spans="1:11">
      <c r="A5" s="71" t="s">
        <v>4013</v>
      </c>
      <c r="B5" s="71">
        <f>COUNTA('08_Costi_Compet'!$A$4:$A$1000)</f>
        <v>66</v>
      </c>
      <c r="C5" s="25"/>
      <c r="D5" s="71" t="s">
        <v>163</v>
      </c>
      <c r="E5" s="71">
        <f>COUNTIF('03_Tecnologie'!$B$4:$B$1000,D5)</f>
        <v>1</v>
      </c>
      <c r="F5" s="25"/>
      <c r="G5" s="25"/>
      <c r="H5" s="25"/>
      <c r="I5" s="25"/>
      <c r="J5" s="71" t="s">
        <v>51</v>
      </c>
      <c r="K5" s="71">
        <f>COUNTIF('00_Scorecard'!$U$4:$U$1000,J5)</f>
        <v>11</v>
      </c>
    </row>
    <row r="6" spans="1:11">
      <c r="A6" s="71" t="s">
        <v>4014</v>
      </c>
      <c r="B6" s="71">
        <f>COUNTA('09_Settori_Impatto'!$A$4:$A$1000)</f>
        <v>66</v>
      </c>
      <c r="C6" s="25"/>
      <c r="D6" s="71" t="s">
        <v>317</v>
      </c>
      <c r="E6" s="71">
        <f>COUNTIF('03_Tecnologie'!$B$4:$B$1000,D6)</f>
        <v>0</v>
      </c>
      <c r="F6" s="25"/>
      <c r="G6" s="25"/>
      <c r="H6" s="25"/>
      <c r="I6" s="25"/>
      <c r="J6" s="25"/>
      <c r="K6" s="25"/>
    </row>
    <row r="7" spans="1:11">
      <c r="A7" s="71" t="s">
        <v>4015</v>
      </c>
      <c r="B7" s="71">
        <f>COUNTA('16_Mercati_Riferimento'!$A$4:$A$1000)</f>
        <v>0</v>
      </c>
      <c r="C7" s="25"/>
      <c r="D7" s="25"/>
      <c r="E7" s="25"/>
      <c r="F7" s="25"/>
      <c r="G7" s="25"/>
      <c r="H7" s="25"/>
      <c r="I7" s="25"/>
      <c r="J7" s="25"/>
      <c r="K7" s="25"/>
    </row>
    <row r="8" spans="1:11">
      <c r="A8" s="71" t="s">
        <v>4016</v>
      </c>
      <c r="B8" s="71">
        <f>COUNTA('11_Best_Practice'!$A$4:$A$1000)</f>
        <v>44</v>
      </c>
      <c r="C8" s="25"/>
      <c r="D8" s="25"/>
      <c r="E8" s="25"/>
      <c r="F8" s="25"/>
      <c r="G8" s="25"/>
      <c r="H8" s="25"/>
      <c r="I8" s="25"/>
      <c r="J8" s="25"/>
      <c r="K8" s="25"/>
    </row>
    <row r="9" spans="1:11">
      <c r="A9" s="71" t="s">
        <v>4017</v>
      </c>
      <c r="B9" s="71">
        <f>COUNTA('12_Policy_Regolazione'!$A$4:$A$1000)</f>
        <v>55</v>
      </c>
      <c r="C9" s="25"/>
      <c r="D9" s="25"/>
      <c r="E9" s="25"/>
      <c r="F9" s="25"/>
      <c r="G9" s="25"/>
      <c r="H9" s="25"/>
      <c r="I9" s="25"/>
      <c r="J9" s="25"/>
      <c r="K9" s="25"/>
    </row>
    <row r="10" spans="1:11">
      <c r="A10" s="71" t="s">
        <v>4018</v>
      </c>
      <c r="B10" s="71">
        <f>COUNTA('13_Barriere_Opp'!$A$4:$A$1000)</f>
        <v>66</v>
      </c>
      <c r="C10" s="25"/>
      <c r="D10" s="25"/>
      <c r="E10" s="25"/>
      <c r="F10" s="25"/>
      <c r="G10" s="25"/>
      <c r="H10" s="25"/>
      <c r="I10" s="25"/>
      <c r="J10" s="25"/>
      <c r="K10" s="25"/>
    </row>
    <row r="11" spans="1:11">
      <c r="A11" s="71" t="s">
        <v>4019</v>
      </c>
      <c r="B11" s="71">
        <f>COUNTA('14_Attori_Imprese'!$A$4:$A$1000)</f>
        <v>77</v>
      </c>
      <c r="C11" s="25"/>
      <c r="D11" s="25"/>
      <c r="E11" s="25"/>
      <c r="F11" s="25"/>
      <c r="G11" s="25"/>
      <c r="H11" s="25"/>
      <c r="I11" s="25"/>
      <c r="J11" s="25"/>
      <c r="K11" s="25"/>
    </row>
    <row r="12" spans="1:11">
      <c r="A12" s="71" t="s">
        <v>4020</v>
      </c>
      <c r="B12" s="71">
        <f>COUNTA('15_Prestazioni'!$A$4:$A$1000)</f>
        <v>88</v>
      </c>
      <c r="C12" s="25"/>
      <c r="D12" s="25"/>
      <c r="E12" s="25"/>
      <c r="F12" s="25"/>
      <c r="G12" s="25"/>
      <c r="H12" s="25"/>
      <c r="I12" s="25"/>
      <c r="J12" s="25"/>
      <c r="K12" s="2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4:Z35"/>
  <sheetViews>
    <sheetView workbookViewId="0"/>
  </sheetViews>
  <sheetFormatPr defaultRowHeight="14.45"/>
  <sheetData>
    <row r="4" spans="1:26">
      <c r="A4" s="15" t="s">
        <v>64</v>
      </c>
      <c r="B4" s="15" t="s">
        <v>23</v>
      </c>
      <c r="C4" s="15" t="s">
        <v>29</v>
      </c>
      <c r="D4" s="15" t="s">
        <v>30</v>
      </c>
      <c r="E4" s="15" t="s">
        <v>58</v>
      </c>
      <c r="F4" s="15" t="s">
        <v>83</v>
      </c>
      <c r="G4" s="15" t="s">
        <v>84</v>
      </c>
      <c r="H4" s="15" t="s">
        <v>4021</v>
      </c>
      <c r="I4" s="15" t="s">
        <v>4022</v>
      </c>
      <c r="J4" s="15" t="s">
        <v>78</v>
      </c>
      <c r="K4" s="15" t="s">
        <v>4023</v>
      </c>
      <c r="L4" s="15" t="s">
        <v>4024</v>
      </c>
      <c r="M4" s="15" t="s">
        <v>4025</v>
      </c>
      <c r="N4" s="15" t="s">
        <v>4026</v>
      </c>
      <c r="O4" s="15" t="s">
        <v>4027</v>
      </c>
      <c r="P4" s="15" t="s">
        <v>4028</v>
      </c>
      <c r="Q4" s="15" t="s">
        <v>4029</v>
      </c>
      <c r="R4" s="15" t="s">
        <v>4030</v>
      </c>
      <c r="S4" s="15" t="s">
        <v>4031</v>
      </c>
      <c r="T4" s="15" t="s">
        <v>4032</v>
      </c>
      <c r="U4" s="15" t="s">
        <v>22</v>
      </c>
      <c r="V4" s="15" t="s">
        <v>32</v>
      </c>
      <c r="W4" s="15" t="s">
        <v>34</v>
      </c>
      <c r="X4" s="15" t="s">
        <v>33</v>
      </c>
      <c r="Y4" s="15" t="s">
        <v>37</v>
      </c>
      <c r="Z4" s="15" t="s">
        <v>26</v>
      </c>
    </row>
    <row r="5" spans="1:26">
      <c r="A5" s="25" t="str">
        <f>IF('03_Tecnologie'!A4="","",'03_Tecnologie'!A4)</f>
        <v>T001</v>
      </c>
      <c r="B5" s="25" t="str">
        <f>IF($A5="","",'03_Tecnologie'!D4)</f>
        <v>Carbone</v>
      </c>
      <c r="C5" s="25" t="str">
        <f>IF($A5="","",'03_Tecnologie'!B4)</f>
        <v>Fossili</v>
      </c>
      <c r="D5" s="25">
        <f>IF($A5="","",'03_Tecnologie'!H4)</f>
        <v>0</v>
      </c>
      <c r="E5" s="25" t="str">
        <f>IF($A5="","",'03_Tecnologie'!F4)</f>
        <v>Monitoraggio attivo</v>
      </c>
      <c r="F5" s="25" t="str">
        <f>IF($A5="","",'00_Portafoglio_Tecnologie'!F5)</f>
        <v>9</v>
      </c>
      <c r="G5" s="25" t="str">
        <f>IF($A5="","",'00_Portafoglio_Tecnologie'!G5)</f>
        <v>Medio in calo</v>
      </c>
      <c r="H5" s="25" t="str">
        <f>IF($A5="","",'00_Portafoglio_Tecnologie'!H5)</f>
        <v>90-160 EUR/MWh</v>
      </c>
      <c r="I5" s="25" t="str">
        <f>IF($A5="","",'00_Portafoglio_Tecnologie'!J5)</f>
        <v>Non allineata</v>
      </c>
      <c r="J5" s="16">
        <f>IF($A5="","",'00_Scorecard'!R4)</f>
        <v>0.91666666666666663</v>
      </c>
      <c r="K5" s="25">
        <f t="shared" ref="K5:K35" si="0">IF($A5="","",IF(OR(D5="Entrambi / globale",D5="Globale",D5="Misto"),100,IF(D5="Paesi sviluppati",75,IF(D5="Paesi in via di sviluppo",75,60))))</f>
        <v>60</v>
      </c>
      <c r="L5" s="25">
        <f t="shared" ref="L5:L35" si="1">IF($A5="","",IF(E5="Prioritaria",100,IF(E5="Monitoraggio attivo",80,IF(E5="In approfondimento",70,IF(E5="Osservazione passiva",50,60)))))</f>
        <v>80</v>
      </c>
      <c r="M5" s="25">
        <f t="shared" ref="M5:M35" si="2">IF($A5="","",ROUND(K5*0.4+L5*0.6,1))</f>
        <v>72</v>
      </c>
      <c r="N5" s="25">
        <f t="shared" ref="N5:N35" si="3">IF($A5="","",IFERROR((VALUE(LEFT(F5,SEARCH("-",F5)-1))+VALUE(MID(F5,SEARCH("-",F5)+1,10)))/2,VALUE(F5)))</f>
        <v>9</v>
      </c>
      <c r="O5" s="25">
        <f t="shared" ref="O5:O35" si="4">IF($A5="","",ROUND(N5/9*100,1))</f>
        <v>100</v>
      </c>
      <c r="P5" s="25">
        <f t="shared" ref="P5:P35" si="5">IF($A5="","",IF(G5="Alta",90,IF(G5="In crescita",75,IF(G5="Alto",80,IF(G5="Medio-alto",65,IF(G5="Medio",55,IF(G5="Medio in calo",35,IF(G5="Alto ma condizionato da policy climatiche",45,IF(G5="Alto ma in calo nei segmenti power",30,50)))))))))</f>
        <v>35</v>
      </c>
      <c r="Q5" s="25">
        <f t="shared" ref="Q5:Q35" si="6">IF($A5="","",IF(H5="Molto competitivo",95,IF(H5="Competitivo",85,IF(H5="Fuel cost-driven",60,IF(LEFT(H5,3)="40-",78,IF(LEFT(H5,3)="45-",74,IF(LEFT(H5,3)="70-",65,IF(LEFT(H5,3)="90-",40,IF(LEFT(H5,4)="110-",35,IF(LEFT(H5,4)="130-",25,55))))))))))</f>
        <v>40</v>
      </c>
      <c r="R5" s="25">
        <f t="shared" ref="R5:R35" si="7">IF($A5="","",IF(I5="Allineata",100,IF(I5="Allineata con DNSH",90,IF(I5="Allineabile",80,IF(I5="Condizionata",55,IF(I5="Parzialmente allineata / transitoria",40,10))))))</f>
        <v>10</v>
      </c>
      <c r="S5" s="25">
        <f t="shared" ref="S5:S35" si="8">IF($A5="","",ROUND(J5*100,1))</f>
        <v>91.7</v>
      </c>
      <c r="T5" s="17">
        <f t="shared" ref="T5:T35" si="9">IF($A5="","",ROUND(M5*0.25+O5*0.15+P5*0.15+Q5*0.2+R5*0.2+S5*0.05,1))</f>
        <v>52.8</v>
      </c>
      <c r="U5" s="25">
        <f>IF($A5="","",COUNTIF($T$5:$T$35,"&gt;"&amp;$T5)+COUNTIF($T$5:$T5,$T5))</f>
        <v>10</v>
      </c>
      <c r="V5" s="25" t="str">
        <f t="shared" ref="V5:V35" si="10">IF($A5="","",IF(T5&gt;=80,"VERDE",IF(T5&gt;=60,"GIALLO","ROSSO")))</f>
        <v>ROSSO</v>
      </c>
      <c r="W5" s="25" t="str">
        <f t="shared" ref="W5:W35" si="11">IF($A5="","",IF(J5&gt;=0.9,"VERDE",IF(J5&gt;=0.6,"GIALLO","ROSSO")))</f>
        <v>VERDE</v>
      </c>
      <c r="X5" s="25" t="str">
        <f t="shared" ref="X5:X35" si="12">IF($A5="","",IF(OR(I5="Allineata",I5="Allineata con DNSH"),"VERDE",IF(OR(I5="Allineabile",I5="Condizionata",I5="Parzialmente allineata / transitoria"),"GIALLO","ROSSO")))</f>
        <v>ROSSO</v>
      </c>
      <c r="Y5" s="25" t="str">
        <f t="shared" ref="Y5:Y35" si="13">IF($A5="","",IF(V5="VERDE","ACCELERARE",IF(V5="GIALLO","SELEZIONARE / PILOTARE","PRESIDIARE / PHASE-OUT")))</f>
        <v>PRESIDIARE / PHASE-OUT</v>
      </c>
      <c r="Z5" s="25" t="str">
        <f t="shared" ref="Z5:Z35" si="14">IF($A5="","",IF(T5&gt;=85,"Leader",IF(T5&gt;=75,"Core",IF(T5&gt;=60,"Selettiva","Presidio"))))</f>
        <v>Presidio</v>
      </c>
    </row>
    <row r="6" spans="1:26">
      <c r="A6" s="25" t="str">
        <f>IF('03_Tecnologie'!A5="","",'03_Tecnologie'!A5)</f>
        <v>T002</v>
      </c>
      <c r="B6" s="25" t="str">
        <f>IF($A6="","",'03_Tecnologie'!D5)</f>
        <v>Olio</v>
      </c>
      <c r="C6" s="25" t="str">
        <f>IF($A6="","",'03_Tecnologie'!B5)</f>
        <v>Fossili</v>
      </c>
      <c r="D6" s="25">
        <f>IF($A6="","",'03_Tecnologie'!H5)</f>
        <v>0</v>
      </c>
      <c r="E6" s="25" t="str">
        <f>IF($A6="","",'03_Tecnologie'!F5)</f>
        <v>Archiviata</v>
      </c>
      <c r="F6" s="25" t="str">
        <f>IF($A6="","",'00_Portafoglio_Tecnologie'!F6)</f>
        <v>9</v>
      </c>
      <c r="G6" s="25" t="str">
        <f>IF($A6="","",'00_Portafoglio_Tecnologie'!G6)</f>
        <v>Alto ma in calo nei segmenti power</v>
      </c>
      <c r="H6" s="25" t="str">
        <f>IF($A6="","",'00_Portafoglio_Tecnologie'!H6)</f>
        <v>130-220 EUR/MWh</v>
      </c>
      <c r="I6" s="25" t="str">
        <f>IF($A6="","",'00_Portafoglio_Tecnologie'!J6)</f>
        <v>Non allineata</v>
      </c>
      <c r="J6" s="16">
        <f>IF($A6="","",'00_Scorecard'!R5)</f>
        <v>0.91666666666666663</v>
      </c>
      <c r="K6" s="25">
        <f t="shared" si="0"/>
        <v>60</v>
      </c>
      <c r="L6" s="25">
        <f t="shared" si="1"/>
        <v>60</v>
      </c>
      <c r="M6" s="25">
        <f t="shared" si="2"/>
        <v>60</v>
      </c>
      <c r="N6" s="25">
        <f t="shared" si="3"/>
        <v>9</v>
      </c>
      <c r="O6" s="25">
        <f t="shared" si="4"/>
        <v>100</v>
      </c>
      <c r="P6" s="25">
        <f t="shared" si="5"/>
        <v>30</v>
      </c>
      <c r="Q6" s="25">
        <f t="shared" si="6"/>
        <v>25</v>
      </c>
      <c r="R6" s="25">
        <f t="shared" si="7"/>
        <v>10</v>
      </c>
      <c r="S6" s="25">
        <f t="shared" si="8"/>
        <v>91.7</v>
      </c>
      <c r="T6" s="17">
        <f t="shared" si="9"/>
        <v>46.1</v>
      </c>
      <c r="U6" s="25">
        <f>IF($A6="","",COUNTIF($T$5:$T$35,"&gt;"&amp;$T6)+COUNTIF($T$5:$T6,$T6))</f>
        <v>11</v>
      </c>
      <c r="V6" s="25" t="str">
        <f t="shared" si="10"/>
        <v>ROSSO</v>
      </c>
      <c r="W6" s="25" t="str">
        <f t="shared" si="11"/>
        <v>VERDE</v>
      </c>
      <c r="X6" s="25" t="str">
        <f t="shared" si="12"/>
        <v>ROSSO</v>
      </c>
      <c r="Y6" s="25" t="str">
        <f t="shared" si="13"/>
        <v>PRESIDIARE / PHASE-OUT</v>
      </c>
      <c r="Z6" s="25" t="str">
        <f t="shared" si="14"/>
        <v>Presidio</v>
      </c>
    </row>
    <row r="7" spans="1:26">
      <c r="A7" s="25" t="str">
        <f>IF('03_Tecnologie'!A6="","",'03_Tecnologie'!A6)</f>
        <v>T003</v>
      </c>
      <c r="B7" s="25" t="str">
        <f>IF($A7="","",'03_Tecnologie'!D6)</f>
        <v>Gas Naturale</v>
      </c>
      <c r="C7" s="25" t="str">
        <f>IF($A7="","",'03_Tecnologie'!B6)</f>
        <v>Fossili</v>
      </c>
      <c r="D7" s="25">
        <f>IF($A7="","",'03_Tecnologie'!H6)</f>
        <v>0</v>
      </c>
      <c r="E7" s="25" t="str">
        <f>IF($A7="","",'03_Tecnologie'!F6)</f>
        <v>Monitoraggio attivo</v>
      </c>
      <c r="F7" s="25" t="str">
        <f>IF($A7="","",'00_Portafoglio_Tecnologie'!F7)</f>
        <v>9</v>
      </c>
      <c r="G7" s="25" t="str">
        <f>IF($A7="","",'00_Portafoglio_Tecnologie'!G7)</f>
        <v>Alto ma condizionato da policy climatiche</v>
      </c>
      <c r="H7" s="25" t="str">
        <f>IF($A7="","",'00_Portafoglio_Tecnologie'!H7)</f>
        <v>70-120 EUR/MWh</v>
      </c>
      <c r="I7" s="25" t="str">
        <f>IF($A7="","",'00_Portafoglio_Tecnologie'!J7)</f>
        <v>Parzialmente allineata / transitoria</v>
      </c>
      <c r="J7" s="16">
        <f>IF($A7="","",'00_Scorecard'!R6)</f>
        <v>0.91666666666666663</v>
      </c>
      <c r="K7" s="25">
        <f t="shared" si="0"/>
        <v>60</v>
      </c>
      <c r="L7" s="25">
        <f t="shared" si="1"/>
        <v>80</v>
      </c>
      <c r="M7" s="25">
        <f t="shared" si="2"/>
        <v>72</v>
      </c>
      <c r="N7" s="25">
        <f t="shared" si="3"/>
        <v>9</v>
      </c>
      <c r="O7" s="25">
        <f t="shared" si="4"/>
        <v>100</v>
      </c>
      <c r="P7" s="25">
        <f t="shared" si="5"/>
        <v>45</v>
      </c>
      <c r="Q7" s="25">
        <f t="shared" si="6"/>
        <v>65</v>
      </c>
      <c r="R7" s="25">
        <f t="shared" si="7"/>
        <v>40</v>
      </c>
      <c r="S7" s="25">
        <f t="shared" si="8"/>
        <v>91.7</v>
      </c>
      <c r="T7" s="17">
        <f t="shared" si="9"/>
        <v>65.3</v>
      </c>
      <c r="U7" s="25">
        <f>IF($A7="","",COUNTIF($T$5:$T$35,"&gt;"&amp;$T7)+COUNTIF($T$5:$T7,$T7))</f>
        <v>7</v>
      </c>
      <c r="V7" s="25" t="str">
        <f t="shared" si="10"/>
        <v>GIALLO</v>
      </c>
      <c r="W7" s="25" t="str">
        <f t="shared" si="11"/>
        <v>VERDE</v>
      </c>
      <c r="X7" s="25" t="str">
        <f t="shared" si="12"/>
        <v>GIALLO</v>
      </c>
      <c r="Y7" s="25" t="str">
        <f t="shared" si="13"/>
        <v>SELEZIONARE / PILOTARE</v>
      </c>
      <c r="Z7" s="25" t="str">
        <f t="shared" si="14"/>
        <v>Selettiva</v>
      </c>
    </row>
    <row r="8" spans="1:26">
      <c r="A8" s="25" t="str">
        <f>IF('03_Tecnologie'!A7="","",'03_Tecnologie'!A7)</f>
        <v>T004</v>
      </c>
      <c r="B8" s="25" t="str">
        <f>IF($A8="","",'03_Tecnologie'!D7)</f>
        <v>Fotovoltaico</v>
      </c>
      <c r="C8" s="25" t="str">
        <f>IF($A8="","",'03_Tecnologie'!B7)</f>
        <v>Rinnovabili</v>
      </c>
      <c r="D8" s="25">
        <f>IF($A8="","",'03_Tecnologie'!H7)</f>
        <v>0</v>
      </c>
      <c r="E8" s="25" t="str">
        <f>IF($A8="","",'03_Tecnologie'!F7)</f>
        <v>Monitoraggio attivo</v>
      </c>
      <c r="F8" s="25" t="str">
        <f>IF($A8="","",'00_Portafoglio_Tecnologie'!F8)</f>
        <v>9</v>
      </c>
      <c r="G8" s="25" t="str">
        <f>IF($A8="","",'00_Portafoglio_Tecnologie'!G8)</f>
        <v>Alta</v>
      </c>
      <c r="H8" s="25" t="str">
        <f>IF($A8="","",'00_Portafoglio_Tecnologie'!H8)</f>
        <v>Molto competitivo</v>
      </c>
      <c r="I8" s="25" t="str">
        <f>IF($A8="","",'00_Portafoglio_Tecnologie'!J8)</f>
        <v>Allineata</v>
      </c>
      <c r="J8" s="16">
        <f>IF($A8="","",'00_Scorecard'!R7)</f>
        <v>0.91666666666666663</v>
      </c>
      <c r="K8" s="25">
        <f t="shared" si="0"/>
        <v>60</v>
      </c>
      <c r="L8" s="25">
        <f t="shared" si="1"/>
        <v>80</v>
      </c>
      <c r="M8" s="25">
        <f t="shared" si="2"/>
        <v>72</v>
      </c>
      <c r="N8" s="25">
        <f t="shared" si="3"/>
        <v>9</v>
      </c>
      <c r="O8" s="25">
        <f t="shared" si="4"/>
        <v>100</v>
      </c>
      <c r="P8" s="25">
        <f t="shared" si="5"/>
        <v>90</v>
      </c>
      <c r="Q8" s="25">
        <f t="shared" si="6"/>
        <v>95</v>
      </c>
      <c r="R8" s="25">
        <f t="shared" si="7"/>
        <v>100</v>
      </c>
      <c r="S8" s="25">
        <f t="shared" si="8"/>
        <v>91.7</v>
      </c>
      <c r="T8" s="17">
        <f t="shared" si="9"/>
        <v>90.1</v>
      </c>
      <c r="U8" s="25">
        <f>IF($A8="","",COUNTIF($T$5:$T$35,"&gt;"&amp;$T8)+COUNTIF($T$5:$T8,$T8))</f>
        <v>1</v>
      </c>
      <c r="V8" s="25" t="str">
        <f t="shared" si="10"/>
        <v>VERDE</v>
      </c>
      <c r="W8" s="25" t="str">
        <f t="shared" si="11"/>
        <v>VERDE</v>
      </c>
      <c r="X8" s="25" t="str">
        <f t="shared" si="12"/>
        <v>VERDE</v>
      </c>
      <c r="Y8" s="25" t="str">
        <f t="shared" si="13"/>
        <v>ACCELERARE</v>
      </c>
      <c r="Z8" s="25" t="str">
        <f t="shared" si="14"/>
        <v>Leader</v>
      </c>
    </row>
    <row r="9" spans="1:26">
      <c r="A9" s="25" t="str">
        <f>IF('03_Tecnologie'!A8="","",'03_Tecnologie'!A8)</f>
        <v>T005</v>
      </c>
      <c r="B9" s="25" t="str">
        <f>IF($A9="","",'03_Tecnologie'!D8)</f>
        <v>Solare Termico</v>
      </c>
      <c r="C9" s="25" t="str">
        <f>IF($A9="","",'03_Tecnologie'!B8)</f>
        <v>Rinnovabili</v>
      </c>
      <c r="D9" s="25">
        <f>IF($A9="","",'03_Tecnologie'!H8)</f>
        <v>0</v>
      </c>
      <c r="E9" s="25" t="str">
        <f>IF($A9="","",'03_Tecnologie'!F8)</f>
        <v>Monitoraggio attivo</v>
      </c>
      <c r="F9" s="25" t="str">
        <f>IF($A9="","",'00_Portafoglio_Tecnologie'!F9)</f>
        <v>8</v>
      </c>
      <c r="G9" s="25" t="str">
        <f>IF($A9="","",'00_Portafoglio_Tecnologie'!G9)</f>
        <v>Medio</v>
      </c>
      <c r="H9" s="25" t="str">
        <f>IF($A9="","",'00_Portafoglio_Tecnologie'!H9)</f>
        <v>110-220 EUR/MWh</v>
      </c>
      <c r="I9" s="25" t="str">
        <f>IF($A9="","",'00_Portafoglio_Tecnologie'!J9)</f>
        <v>Allineata</v>
      </c>
      <c r="J9" s="16">
        <f>IF($A9="","",'00_Scorecard'!R8)</f>
        <v>0.91666666666666663</v>
      </c>
      <c r="K9" s="25">
        <f t="shared" si="0"/>
        <v>60</v>
      </c>
      <c r="L9" s="25">
        <f t="shared" si="1"/>
        <v>80</v>
      </c>
      <c r="M9" s="25">
        <f t="shared" si="2"/>
        <v>72</v>
      </c>
      <c r="N9" s="25">
        <f t="shared" si="3"/>
        <v>8</v>
      </c>
      <c r="O9" s="25">
        <f t="shared" si="4"/>
        <v>88.9</v>
      </c>
      <c r="P9" s="25">
        <f t="shared" si="5"/>
        <v>55</v>
      </c>
      <c r="Q9" s="25">
        <f t="shared" si="6"/>
        <v>35</v>
      </c>
      <c r="R9" s="25">
        <f t="shared" si="7"/>
        <v>100</v>
      </c>
      <c r="S9" s="25">
        <f t="shared" si="8"/>
        <v>91.7</v>
      </c>
      <c r="T9" s="17">
        <f t="shared" si="9"/>
        <v>71.2</v>
      </c>
      <c r="U9" s="25">
        <f>IF($A9="","",COUNTIF($T$5:$T$35,"&gt;"&amp;$T9)+COUNTIF($T$5:$T9,$T9))</f>
        <v>6</v>
      </c>
      <c r="V9" s="25" t="str">
        <f t="shared" si="10"/>
        <v>GIALLO</v>
      </c>
      <c r="W9" s="25" t="str">
        <f t="shared" si="11"/>
        <v>VERDE</v>
      </c>
      <c r="X9" s="25" t="str">
        <f t="shared" si="12"/>
        <v>VERDE</v>
      </c>
      <c r="Y9" s="25" t="str">
        <f t="shared" si="13"/>
        <v>SELEZIONARE / PILOTARE</v>
      </c>
      <c r="Z9" s="25" t="str">
        <f t="shared" si="14"/>
        <v>Selettiva</v>
      </c>
    </row>
    <row r="10" spans="1:26">
      <c r="A10" s="25" t="str">
        <f>IF('03_Tecnologie'!A9="","",'03_Tecnologie'!A9)</f>
        <v>T006</v>
      </c>
      <c r="B10" s="25" t="str">
        <f>IF($A10="","",'03_Tecnologie'!D9)</f>
        <v>Eolico</v>
      </c>
      <c r="C10" s="25" t="str">
        <f>IF($A10="","",'03_Tecnologie'!B9)</f>
        <v>Rinnovabili</v>
      </c>
      <c r="D10" s="25">
        <f>IF($A10="","",'03_Tecnologie'!H9)</f>
        <v>0</v>
      </c>
      <c r="E10" s="25" t="str">
        <f>IF($A10="","",'03_Tecnologie'!F9)</f>
        <v>Monitoraggio attivo</v>
      </c>
      <c r="F10" s="25" t="str">
        <f>IF($A10="","",'00_Portafoglio_Tecnologie'!F10)</f>
        <v>9</v>
      </c>
      <c r="G10" s="25" t="str">
        <f>IF($A10="","",'00_Portafoglio_Tecnologie'!G10)</f>
        <v>Alta</v>
      </c>
      <c r="H10" s="25" t="str">
        <f>IF($A10="","",'00_Portafoglio_Tecnologie'!H10)</f>
        <v>Competitivo</v>
      </c>
      <c r="I10" s="25" t="str">
        <f>IF($A10="","",'00_Portafoglio_Tecnologie'!J10)</f>
        <v>Allineata</v>
      </c>
      <c r="J10" s="16">
        <f>IF($A10="","",'00_Scorecard'!R9)</f>
        <v>0.91666666666666663</v>
      </c>
      <c r="K10" s="25">
        <f t="shared" si="0"/>
        <v>60</v>
      </c>
      <c r="L10" s="25">
        <f t="shared" si="1"/>
        <v>80</v>
      </c>
      <c r="M10" s="25">
        <f t="shared" si="2"/>
        <v>72</v>
      </c>
      <c r="N10" s="25">
        <f t="shared" si="3"/>
        <v>9</v>
      </c>
      <c r="O10" s="25">
        <f t="shared" si="4"/>
        <v>100</v>
      </c>
      <c r="P10" s="25">
        <f t="shared" si="5"/>
        <v>90</v>
      </c>
      <c r="Q10" s="25">
        <f t="shared" si="6"/>
        <v>85</v>
      </c>
      <c r="R10" s="25">
        <f t="shared" si="7"/>
        <v>100</v>
      </c>
      <c r="S10" s="25">
        <f t="shared" si="8"/>
        <v>91.7</v>
      </c>
      <c r="T10" s="17">
        <f t="shared" si="9"/>
        <v>88.1</v>
      </c>
      <c r="U10" s="25">
        <f>IF($A10="","",COUNTIF($T$5:$T$35,"&gt;"&amp;$T10)+COUNTIF($T$5:$T10,$T10))</f>
        <v>2</v>
      </c>
      <c r="V10" s="25" t="str">
        <f t="shared" si="10"/>
        <v>VERDE</v>
      </c>
      <c r="W10" s="25" t="str">
        <f t="shared" si="11"/>
        <v>VERDE</v>
      </c>
      <c r="X10" s="25" t="str">
        <f t="shared" si="12"/>
        <v>VERDE</v>
      </c>
      <c r="Y10" s="25" t="str">
        <f t="shared" si="13"/>
        <v>ACCELERARE</v>
      </c>
      <c r="Z10" s="25" t="str">
        <f t="shared" si="14"/>
        <v>Leader</v>
      </c>
    </row>
    <row r="11" spans="1:26">
      <c r="A11" s="25" t="str">
        <f>IF('03_Tecnologie'!A10="","",'03_Tecnologie'!A10)</f>
        <v>T007</v>
      </c>
      <c r="B11" s="25" t="str">
        <f>IF($A11="","",'03_Tecnologie'!D10)</f>
        <v>Idroelettrico</v>
      </c>
      <c r="C11" s="25" t="str">
        <f>IF($A11="","",'03_Tecnologie'!B10)</f>
        <v>Rinnovabili</v>
      </c>
      <c r="D11" s="25">
        <f>IF($A11="","",'03_Tecnologie'!H10)</f>
        <v>0</v>
      </c>
      <c r="E11" s="25" t="str">
        <f>IF($A11="","",'03_Tecnologie'!F10)</f>
        <v>Monitoraggio attivo</v>
      </c>
      <c r="F11" s="25" t="str">
        <f>IF($A11="","",'00_Portafoglio_Tecnologie'!F11)</f>
        <v>9</v>
      </c>
      <c r="G11" s="25" t="str">
        <f>IF($A11="","",'00_Portafoglio_Tecnologie'!G11)</f>
        <v>Alto</v>
      </c>
      <c r="H11" s="25" t="str">
        <f>IF($A11="","",'00_Portafoglio_Tecnologie'!H11)</f>
        <v>40-120 EUR/MWh</v>
      </c>
      <c r="I11" s="25" t="str">
        <f>IF($A11="","",'00_Portafoglio_Tecnologie'!J11)</f>
        <v>Allineata con DNSH</v>
      </c>
      <c r="J11" s="16">
        <f>IF($A11="","",'00_Scorecard'!R10)</f>
        <v>0.91666666666666663</v>
      </c>
      <c r="K11" s="25">
        <f t="shared" si="0"/>
        <v>60</v>
      </c>
      <c r="L11" s="25">
        <f t="shared" si="1"/>
        <v>80</v>
      </c>
      <c r="M11" s="25">
        <f t="shared" si="2"/>
        <v>72</v>
      </c>
      <c r="N11" s="25">
        <f t="shared" si="3"/>
        <v>9</v>
      </c>
      <c r="O11" s="25">
        <f t="shared" si="4"/>
        <v>100</v>
      </c>
      <c r="P11" s="25">
        <f t="shared" si="5"/>
        <v>80</v>
      </c>
      <c r="Q11" s="25">
        <f t="shared" si="6"/>
        <v>78</v>
      </c>
      <c r="R11" s="25">
        <f t="shared" si="7"/>
        <v>90</v>
      </c>
      <c r="S11" s="25">
        <f t="shared" si="8"/>
        <v>91.7</v>
      </c>
      <c r="T11" s="17">
        <f t="shared" si="9"/>
        <v>83.2</v>
      </c>
      <c r="U11" s="25">
        <f>IF($A11="","",COUNTIF($T$5:$T$35,"&gt;"&amp;$T11)+COUNTIF($T$5:$T11,$T11))</f>
        <v>3</v>
      </c>
      <c r="V11" s="25" t="str">
        <f t="shared" si="10"/>
        <v>VERDE</v>
      </c>
      <c r="W11" s="25" t="str">
        <f t="shared" si="11"/>
        <v>VERDE</v>
      </c>
      <c r="X11" s="25" t="str">
        <f t="shared" si="12"/>
        <v>VERDE</v>
      </c>
      <c r="Y11" s="25" t="str">
        <f t="shared" si="13"/>
        <v>ACCELERARE</v>
      </c>
      <c r="Z11" s="25" t="str">
        <f t="shared" si="14"/>
        <v>Core</v>
      </c>
    </row>
    <row r="12" spans="1:26">
      <c r="A12" s="25" t="str">
        <f>IF('03_Tecnologie'!A11="","",'03_Tecnologie'!A11)</f>
        <v>T008</v>
      </c>
      <c r="B12" s="25" t="str">
        <f>IF($A12="","",'03_Tecnologie'!D11)</f>
        <v>Biomasse</v>
      </c>
      <c r="C12" s="25" t="str">
        <f>IF($A12="","",'03_Tecnologie'!B11)</f>
        <v>Rinnovabili</v>
      </c>
      <c r="D12" s="25">
        <f>IF($A12="","",'03_Tecnologie'!H11)</f>
        <v>0</v>
      </c>
      <c r="E12" s="25" t="str">
        <f>IF($A12="","",'03_Tecnologie'!F11)</f>
        <v>Monitoraggio attivo</v>
      </c>
      <c r="F12" s="25" t="str">
        <f>IF($A12="","",'00_Portafoglio_Tecnologie'!F12)</f>
        <v>8</v>
      </c>
      <c r="G12" s="25" t="str">
        <f>IF($A12="","",'00_Portafoglio_Tecnologie'!G12)</f>
        <v>Medio-alto</v>
      </c>
      <c r="H12" s="25" t="str">
        <f>IF($A12="","",'00_Portafoglio_Tecnologie'!H12)</f>
        <v>90-180 EUR/MWh</v>
      </c>
      <c r="I12" s="25" t="str">
        <f>IF($A12="","",'00_Portafoglio_Tecnologie'!J12)</f>
        <v>Condizionata</v>
      </c>
      <c r="J12" s="16">
        <f>IF($A12="","",'00_Scorecard'!R11)</f>
        <v>0.91666666666666663</v>
      </c>
      <c r="K12" s="25">
        <f t="shared" si="0"/>
        <v>60</v>
      </c>
      <c r="L12" s="25">
        <f t="shared" si="1"/>
        <v>80</v>
      </c>
      <c r="M12" s="25">
        <f t="shared" si="2"/>
        <v>72</v>
      </c>
      <c r="N12" s="25">
        <f t="shared" si="3"/>
        <v>8</v>
      </c>
      <c r="O12" s="25">
        <f t="shared" si="4"/>
        <v>88.9</v>
      </c>
      <c r="P12" s="25">
        <f t="shared" si="5"/>
        <v>65</v>
      </c>
      <c r="Q12" s="25">
        <f t="shared" si="6"/>
        <v>40</v>
      </c>
      <c r="R12" s="25">
        <f t="shared" si="7"/>
        <v>55</v>
      </c>
      <c r="S12" s="25">
        <f t="shared" si="8"/>
        <v>91.7</v>
      </c>
      <c r="T12" s="17">
        <f t="shared" si="9"/>
        <v>64.7</v>
      </c>
      <c r="U12" s="25">
        <f>IF($A12="","",COUNTIF($T$5:$T$35,"&gt;"&amp;$T12)+COUNTIF($T$5:$T12,$T12))</f>
        <v>8</v>
      </c>
      <c r="V12" s="25" t="str">
        <f t="shared" si="10"/>
        <v>GIALLO</v>
      </c>
      <c r="W12" s="25" t="str">
        <f t="shared" si="11"/>
        <v>VERDE</v>
      </c>
      <c r="X12" s="25" t="str">
        <f t="shared" si="12"/>
        <v>GIALLO</v>
      </c>
      <c r="Y12" s="25" t="str">
        <f t="shared" si="13"/>
        <v>SELEZIONARE / PILOTARE</v>
      </c>
      <c r="Z12" s="25" t="str">
        <f t="shared" si="14"/>
        <v>Selettiva</v>
      </c>
    </row>
    <row r="13" spans="1:26">
      <c r="A13" s="25" t="str">
        <f>IF('03_Tecnologie'!A12="","",'03_Tecnologie'!A12)</f>
        <v>T009</v>
      </c>
      <c r="B13" s="25" t="str">
        <f>IF($A13="","",'03_Tecnologie'!D12)</f>
        <v>Geotermico</v>
      </c>
      <c r="C13" s="25" t="str">
        <f>IF($A13="","",'03_Tecnologie'!B12)</f>
        <v>Rinnovabili</v>
      </c>
      <c r="D13" s="25">
        <f>IF($A13="","",'03_Tecnologie'!H12)</f>
        <v>0</v>
      </c>
      <c r="E13" s="25" t="str">
        <f>IF($A13="","",'03_Tecnologie'!F12)</f>
        <v>Monitoraggio attivo</v>
      </c>
      <c r="F13" s="25" t="str">
        <f>IF($A13="","",'00_Portafoglio_Tecnologie'!F13)</f>
        <v>8</v>
      </c>
      <c r="G13" s="25" t="str">
        <f>IF($A13="","",'00_Portafoglio_Tecnologie'!G13)</f>
        <v>Medio-alto</v>
      </c>
      <c r="H13" s="25" t="str">
        <f>IF($A13="","",'00_Portafoglio_Tecnologie'!H13)</f>
        <v>45-120 EUR/MWh</v>
      </c>
      <c r="I13" s="25" t="str">
        <f>IF($A13="","",'00_Portafoglio_Tecnologie'!J13)</f>
        <v>Allineata</v>
      </c>
      <c r="J13" s="16">
        <f>IF($A13="","",'00_Scorecard'!R12)</f>
        <v>0.91666666666666663</v>
      </c>
      <c r="K13" s="25">
        <f t="shared" si="0"/>
        <v>60</v>
      </c>
      <c r="L13" s="25">
        <f t="shared" si="1"/>
        <v>80</v>
      </c>
      <c r="M13" s="25">
        <f t="shared" si="2"/>
        <v>72</v>
      </c>
      <c r="N13" s="25">
        <f t="shared" si="3"/>
        <v>8</v>
      </c>
      <c r="O13" s="25">
        <f t="shared" si="4"/>
        <v>88.9</v>
      </c>
      <c r="P13" s="25">
        <f t="shared" si="5"/>
        <v>65</v>
      </c>
      <c r="Q13" s="25">
        <f t="shared" si="6"/>
        <v>74</v>
      </c>
      <c r="R13" s="25">
        <f t="shared" si="7"/>
        <v>100</v>
      </c>
      <c r="S13" s="25">
        <f t="shared" si="8"/>
        <v>91.7</v>
      </c>
      <c r="T13" s="17">
        <f t="shared" si="9"/>
        <v>80.5</v>
      </c>
      <c r="U13" s="25">
        <f>IF($A13="","",COUNTIF($T$5:$T$35,"&gt;"&amp;$T13)+COUNTIF($T$5:$T13,$T13))</f>
        <v>4</v>
      </c>
      <c r="V13" s="25" t="str">
        <f t="shared" si="10"/>
        <v>VERDE</v>
      </c>
      <c r="W13" s="25" t="str">
        <f t="shared" si="11"/>
        <v>VERDE</v>
      </c>
      <c r="X13" s="25" t="str">
        <f t="shared" si="12"/>
        <v>VERDE</v>
      </c>
      <c r="Y13" s="25" t="str">
        <f t="shared" si="13"/>
        <v>ACCELERARE</v>
      </c>
      <c r="Z13" s="25" t="str">
        <f t="shared" si="14"/>
        <v>Core</v>
      </c>
    </row>
    <row r="14" spans="1:26">
      <c r="A14" s="25" t="str">
        <f>IF('03_Tecnologie'!A13="","",'03_Tecnologie'!A13)</f>
        <v>T010</v>
      </c>
      <c r="B14" s="25" t="str">
        <f>IF($A14="","",'03_Tecnologie'!D13)</f>
        <v>Nucleare da fissione</v>
      </c>
      <c r="C14" s="25" t="str">
        <f>IF($A14="","",'03_Tecnologie'!B13)</f>
        <v>Basse emissioni / transitorie</v>
      </c>
      <c r="D14" s="25">
        <f>IF($A14="","",'03_Tecnologie'!H13)</f>
        <v>0</v>
      </c>
      <c r="E14" s="25" t="str">
        <f>IF($A14="","",'03_Tecnologie'!F13)</f>
        <v>Monitoraggio attivo</v>
      </c>
      <c r="F14" s="25" t="str">
        <f>IF($A14="","",'00_Portafoglio_Tecnologie'!F14)</f>
        <v>8</v>
      </c>
      <c r="G14" s="25" t="str">
        <f>IF($A14="","",'00_Portafoglio_Tecnologie'!G14)</f>
        <v>Medio-alto</v>
      </c>
      <c r="H14" s="25" t="str">
        <f>IF($A14="","",'00_Portafoglio_Tecnologie'!H14)</f>
        <v>90-180 EUR/MWh</v>
      </c>
      <c r="I14" s="25" t="str">
        <f>IF($A14="","",'00_Portafoglio_Tecnologie'!J14)</f>
        <v>Condizionata</v>
      </c>
      <c r="J14" s="16">
        <f>IF($A14="","",'00_Scorecard'!R13)</f>
        <v>0.91666666666666663</v>
      </c>
      <c r="K14" s="25">
        <f t="shared" si="0"/>
        <v>60</v>
      </c>
      <c r="L14" s="25">
        <f t="shared" si="1"/>
        <v>80</v>
      </c>
      <c r="M14" s="25">
        <f t="shared" si="2"/>
        <v>72</v>
      </c>
      <c r="N14" s="25">
        <f t="shared" si="3"/>
        <v>8</v>
      </c>
      <c r="O14" s="25">
        <f t="shared" si="4"/>
        <v>88.9</v>
      </c>
      <c r="P14" s="25">
        <f t="shared" si="5"/>
        <v>65</v>
      </c>
      <c r="Q14" s="25">
        <f t="shared" si="6"/>
        <v>40</v>
      </c>
      <c r="R14" s="25">
        <f t="shared" si="7"/>
        <v>55</v>
      </c>
      <c r="S14" s="25">
        <f t="shared" si="8"/>
        <v>91.7</v>
      </c>
      <c r="T14" s="17">
        <f t="shared" si="9"/>
        <v>64.7</v>
      </c>
      <c r="U14" s="25">
        <f>IF($A14="","",COUNTIF($T$5:$T$35,"&gt;"&amp;$T14)+COUNTIF($T$5:$T14,$T14))</f>
        <v>9</v>
      </c>
      <c r="V14" s="25" t="str">
        <f t="shared" si="10"/>
        <v>GIALLO</v>
      </c>
      <c r="W14" s="25" t="str">
        <f t="shared" si="11"/>
        <v>VERDE</v>
      </c>
      <c r="X14" s="25" t="str">
        <f t="shared" si="12"/>
        <v>GIALLO</v>
      </c>
      <c r="Y14" s="25" t="str">
        <f t="shared" si="13"/>
        <v>SELEZIONARE / PILOTARE</v>
      </c>
      <c r="Z14" s="25" t="str">
        <f t="shared" si="14"/>
        <v>Selettiva</v>
      </c>
    </row>
    <row r="15" spans="1:26">
      <c r="A15" s="25" t="str">
        <f>IF('03_Tecnologie'!A14="","",'03_Tecnologie'!A14)</f>
        <v>T011</v>
      </c>
      <c r="B15" s="25" t="str">
        <f>IF($A15="","",'03_Tecnologie'!D14)</f>
        <v>Idrogeno verde</v>
      </c>
      <c r="C15" s="25" t="str">
        <f>IF($A15="","",'03_Tecnologie'!B14)</f>
        <v>Vettori innovativi</v>
      </c>
      <c r="D15" s="25">
        <f>IF($A15="","",'03_Tecnologie'!H14)</f>
        <v>0</v>
      </c>
      <c r="E15" s="25" t="str">
        <f>IF($A15="","",'03_Tecnologie'!F14)</f>
        <v>Prioritaria</v>
      </c>
      <c r="F15" s="25" t="str">
        <f>IF($A15="","",'00_Portafoglio_Tecnologie'!F15)</f>
        <v>7-8</v>
      </c>
      <c r="G15" s="25" t="str">
        <f>IF($A15="","",'00_Portafoglio_Tecnologie'!G15)</f>
        <v>In crescita</v>
      </c>
      <c r="H15" s="25" t="str">
        <f>IF($A15="","",'00_Portafoglio_Tecnologie'!H15)</f>
        <v>Fuel cost-driven</v>
      </c>
      <c r="I15" s="25" t="str">
        <f>IF($A15="","",'00_Portafoglio_Tecnologie'!J15)</f>
        <v>Allineabile</v>
      </c>
      <c r="J15" s="16">
        <f>IF($A15="","",'00_Scorecard'!R14)</f>
        <v>0.91666666666666663</v>
      </c>
      <c r="K15" s="25">
        <f t="shared" si="0"/>
        <v>60</v>
      </c>
      <c r="L15" s="25">
        <f t="shared" si="1"/>
        <v>100</v>
      </c>
      <c r="M15" s="25">
        <f t="shared" si="2"/>
        <v>84</v>
      </c>
      <c r="N15" s="25">
        <f t="shared" si="3"/>
        <v>7.5</v>
      </c>
      <c r="O15" s="25">
        <f t="shared" si="4"/>
        <v>83.3</v>
      </c>
      <c r="P15" s="25">
        <f t="shared" si="5"/>
        <v>75</v>
      </c>
      <c r="Q15" s="25">
        <f t="shared" si="6"/>
        <v>60</v>
      </c>
      <c r="R15" s="25">
        <f t="shared" si="7"/>
        <v>80</v>
      </c>
      <c r="S15" s="25">
        <f t="shared" si="8"/>
        <v>91.7</v>
      </c>
      <c r="T15" s="17">
        <f t="shared" si="9"/>
        <v>77.3</v>
      </c>
      <c r="U15" s="25">
        <f>IF($A15="","",COUNTIF($T$5:$T$35,"&gt;"&amp;$T15)+COUNTIF($T$5:$T15,$T15))</f>
        <v>5</v>
      </c>
      <c r="V15" s="25" t="str">
        <f t="shared" si="10"/>
        <v>GIALLO</v>
      </c>
      <c r="W15" s="25" t="str">
        <f t="shared" si="11"/>
        <v>VERDE</v>
      </c>
      <c r="X15" s="25" t="str">
        <f t="shared" si="12"/>
        <v>GIALLO</v>
      </c>
      <c r="Y15" s="25" t="str">
        <f t="shared" si="13"/>
        <v>SELEZIONARE / PILOTARE</v>
      </c>
      <c r="Z15" s="25" t="str">
        <f t="shared" si="14"/>
        <v>Core</v>
      </c>
    </row>
    <row r="16" spans="1:26">
      <c r="A16" s="25" t="str">
        <f>IF('03_Tecnologie'!A15="","",'03_Tecnologie'!A15)</f>
        <v>T012</v>
      </c>
      <c r="B16" s="25">
        <f>IF($A16="","",'03_Tecnologie'!D15)</f>
        <v>0</v>
      </c>
      <c r="C16" s="25" t="str">
        <f>IF($A16="","",'03_Tecnologie'!B15)</f>
        <v>Rinnovabili</v>
      </c>
      <c r="D16" s="25">
        <f>IF($A16="","",'03_Tecnologie'!H15)</f>
        <v>0</v>
      </c>
      <c r="E16" s="25">
        <f>IF($A16="","",'03_Tecnologie'!F15)</f>
        <v>0</v>
      </c>
      <c r="F16" s="25">
        <f>IF($A16="","",'00_Portafoglio_Tecnologie'!F16)</f>
        <v>0</v>
      </c>
      <c r="G16" s="25">
        <f>IF($A16="","",'00_Portafoglio_Tecnologie'!G16)</f>
        <v>0</v>
      </c>
      <c r="H16" s="25">
        <f>IF($A16="","",'00_Portafoglio_Tecnologie'!H16)</f>
        <v>0</v>
      </c>
      <c r="I16" s="25">
        <f>IF($A16="","",'00_Portafoglio_Tecnologie'!J16)</f>
        <v>0</v>
      </c>
      <c r="J16" s="16">
        <f>IF($A16="","",'00_Scorecard'!R15)</f>
        <v>0</v>
      </c>
      <c r="K16" s="25">
        <f t="shared" si="0"/>
        <v>60</v>
      </c>
      <c r="L16" s="25">
        <f t="shared" si="1"/>
        <v>60</v>
      </c>
      <c r="M16" s="25">
        <f t="shared" si="2"/>
        <v>60</v>
      </c>
      <c r="N16" s="25">
        <f t="shared" si="3"/>
        <v>0</v>
      </c>
      <c r="O16" s="25">
        <f t="shared" si="4"/>
        <v>0</v>
      </c>
      <c r="P16" s="25">
        <f t="shared" si="5"/>
        <v>50</v>
      </c>
      <c r="Q16" s="25">
        <f t="shared" si="6"/>
        <v>55</v>
      </c>
      <c r="R16" s="25">
        <f t="shared" si="7"/>
        <v>10</v>
      </c>
      <c r="S16" s="25">
        <f t="shared" si="8"/>
        <v>0</v>
      </c>
      <c r="T16" s="17">
        <f t="shared" si="9"/>
        <v>35.5</v>
      </c>
      <c r="U16" s="25">
        <f>IF($A16="","",COUNTIF($T$5:$T$35,"&gt;"&amp;$T16)+COUNTIF($T$5:$T16,$T16))</f>
        <v>12</v>
      </c>
      <c r="V16" s="25" t="str">
        <f t="shared" si="10"/>
        <v>ROSSO</v>
      </c>
      <c r="W16" s="25" t="str">
        <f t="shared" si="11"/>
        <v>ROSSO</v>
      </c>
      <c r="X16" s="25" t="str">
        <f t="shared" si="12"/>
        <v>ROSSO</v>
      </c>
      <c r="Y16" s="25" t="str">
        <f t="shared" si="13"/>
        <v>PRESIDIARE / PHASE-OUT</v>
      </c>
      <c r="Z16" s="25" t="str">
        <f t="shared" si="14"/>
        <v>Presidio</v>
      </c>
    </row>
    <row r="17" spans="1:26">
      <c r="A17" s="25" t="str">
        <f>IF('03_Tecnologie'!A16="","",'03_Tecnologie'!A16)</f>
        <v/>
      </c>
      <c r="B17" s="25" t="str">
        <f>IF($A17="","",'03_Tecnologie'!D16)</f>
        <v/>
      </c>
      <c r="C17" s="25" t="str">
        <f>IF($A17="","",'03_Tecnologie'!B16)</f>
        <v/>
      </c>
      <c r="D17" s="25" t="str">
        <f>IF($A17="","",'03_Tecnologie'!H16)</f>
        <v/>
      </c>
      <c r="E17" s="25" t="str">
        <f>IF($A17="","",'03_Tecnologie'!F16)</f>
        <v/>
      </c>
      <c r="F17" s="25" t="str">
        <f>IF($A17="","",'00_Portafoglio_Tecnologie'!F17)</f>
        <v/>
      </c>
      <c r="G17" s="25" t="str">
        <f>IF($A17="","",'00_Portafoglio_Tecnologie'!G17)</f>
        <v/>
      </c>
      <c r="H17" s="25" t="str">
        <f>IF($A17="","",'00_Portafoglio_Tecnologie'!H17)</f>
        <v/>
      </c>
      <c r="I17" s="25" t="str">
        <f>IF($A17="","",'00_Portafoglio_Tecnologie'!J17)</f>
        <v/>
      </c>
      <c r="J17" s="16" t="str">
        <f>IF($A17="","",'00_Scorecard'!R16)</f>
        <v/>
      </c>
      <c r="K17" s="25" t="str">
        <f t="shared" si="0"/>
        <v/>
      </c>
      <c r="L17" s="25" t="str">
        <f t="shared" si="1"/>
        <v/>
      </c>
      <c r="M17" s="25" t="str">
        <f t="shared" si="2"/>
        <v/>
      </c>
      <c r="N17" s="25" t="str">
        <f t="shared" si="3"/>
        <v/>
      </c>
      <c r="O17" s="25" t="str">
        <f t="shared" si="4"/>
        <v/>
      </c>
      <c r="P17" s="25" t="str">
        <f t="shared" si="5"/>
        <v/>
      </c>
      <c r="Q17" s="25" t="str">
        <f t="shared" si="6"/>
        <v/>
      </c>
      <c r="R17" s="25" t="str">
        <f t="shared" si="7"/>
        <v/>
      </c>
      <c r="S17" s="25" t="str">
        <f t="shared" si="8"/>
        <v/>
      </c>
      <c r="T17" s="17" t="str">
        <f t="shared" si="9"/>
        <v/>
      </c>
      <c r="U17" s="25" t="str">
        <f>IF($A17="","",COUNTIF($T$5:$T$35,"&gt;"&amp;$T17)+COUNTIF($T$5:$T17,$T17))</f>
        <v/>
      </c>
      <c r="V17" s="25" t="str">
        <f t="shared" si="10"/>
        <v/>
      </c>
      <c r="W17" s="25" t="str">
        <f t="shared" si="11"/>
        <v/>
      </c>
      <c r="X17" s="25" t="str">
        <f t="shared" si="12"/>
        <v/>
      </c>
      <c r="Y17" s="25" t="str">
        <f t="shared" si="13"/>
        <v/>
      </c>
      <c r="Z17" s="25" t="str">
        <f t="shared" si="14"/>
        <v/>
      </c>
    </row>
    <row r="18" spans="1:26">
      <c r="A18" s="25" t="str">
        <f>IF('03_Tecnologie'!A17="","",'03_Tecnologie'!A17)</f>
        <v/>
      </c>
      <c r="B18" s="25" t="str">
        <f>IF($A18="","",'03_Tecnologie'!D17)</f>
        <v/>
      </c>
      <c r="C18" s="25" t="str">
        <f>IF($A18="","",'03_Tecnologie'!B17)</f>
        <v/>
      </c>
      <c r="D18" s="25" t="str">
        <f>IF($A18="","",'03_Tecnologie'!H17)</f>
        <v/>
      </c>
      <c r="E18" s="25" t="str">
        <f>IF($A18="","",'03_Tecnologie'!F17)</f>
        <v/>
      </c>
      <c r="F18" s="25" t="str">
        <f>IF($A18="","",'00_Portafoglio_Tecnologie'!F18)</f>
        <v/>
      </c>
      <c r="G18" s="25" t="str">
        <f>IF($A18="","",'00_Portafoglio_Tecnologie'!G18)</f>
        <v/>
      </c>
      <c r="H18" s="25" t="str">
        <f>IF($A18="","",'00_Portafoglio_Tecnologie'!H18)</f>
        <v/>
      </c>
      <c r="I18" s="25" t="str">
        <f>IF($A18="","",'00_Portafoglio_Tecnologie'!J18)</f>
        <v/>
      </c>
      <c r="J18" s="16" t="str">
        <f>IF($A18="","",'00_Scorecard'!R17)</f>
        <v/>
      </c>
      <c r="K18" s="25" t="str">
        <f t="shared" si="0"/>
        <v/>
      </c>
      <c r="L18" s="25" t="str">
        <f t="shared" si="1"/>
        <v/>
      </c>
      <c r="M18" s="25" t="str">
        <f t="shared" si="2"/>
        <v/>
      </c>
      <c r="N18" s="25" t="str">
        <f t="shared" si="3"/>
        <v/>
      </c>
      <c r="O18" s="25" t="str">
        <f t="shared" si="4"/>
        <v/>
      </c>
      <c r="P18" s="25" t="str">
        <f t="shared" si="5"/>
        <v/>
      </c>
      <c r="Q18" s="25" t="str">
        <f t="shared" si="6"/>
        <v/>
      </c>
      <c r="R18" s="25" t="str">
        <f t="shared" si="7"/>
        <v/>
      </c>
      <c r="S18" s="25" t="str">
        <f t="shared" si="8"/>
        <v/>
      </c>
      <c r="T18" s="17" t="str">
        <f t="shared" si="9"/>
        <v/>
      </c>
      <c r="U18" s="25" t="str">
        <f>IF($A18="","",COUNTIF($T$5:$T$35,"&gt;"&amp;$T18)+COUNTIF($T$5:$T18,$T18))</f>
        <v/>
      </c>
      <c r="V18" s="25" t="str">
        <f t="shared" si="10"/>
        <v/>
      </c>
      <c r="W18" s="25" t="str">
        <f t="shared" si="11"/>
        <v/>
      </c>
      <c r="X18" s="25" t="str">
        <f t="shared" si="12"/>
        <v/>
      </c>
      <c r="Y18" s="25" t="str">
        <f t="shared" si="13"/>
        <v/>
      </c>
      <c r="Z18" s="25" t="str">
        <f t="shared" si="14"/>
        <v/>
      </c>
    </row>
    <row r="19" spans="1:26">
      <c r="A19" s="25" t="str">
        <f>IF('03_Tecnologie'!A18="","",'03_Tecnologie'!A18)</f>
        <v/>
      </c>
      <c r="B19" s="25" t="str">
        <f>IF($A19="","",'03_Tecnologie'!D18)</f>
        <v/>
      </c>
      <c r="C19" s="25" t="str">
        <f>IF($A19="","",'03_Tecnologie'!B18)</f>
        <v/>
      </c>
      <c r="D19" s="25" t="str">
        <f>IF($A19="","",'03_Tecnologie'!H18)</f>
        <v/>
      </c>
      <c r="E19" s="25" t="str">
        <f>IF($A19="","",'03_Tecnologie'!F18)</f>
        <v/>
      </c>
      <c r="F19" s="25" t="str">
        <f>IF($A19="","",'00_Portafoglio_Tecnologie'!F19)</f>
        <v/>
      </c>
      <c r="G19" s="25" t="str">
        <f>IF($A19="","",'00_Portafoglio_Tecnologie'!G19)</f>
        <v/>
      </c>
      <c r="H19" s="25" t="str">
        <f>IF($A19="","",'00_Portafoglio_Tecnologie'!H19)</f>
        <v/>
      </c>
      <c r="I19" s="25" t="str">
        <f>IF($A19="","",'00_Portafoglio_Tecnologie'!J19)</f>
        <v/>
      </c>
      <c r="J19" s="16" t="str">
        <f>IF($A19="","",'00_Scorecard'!R18)</f>
        <v/>
      </c>
      <c r="K19" s="25" t="str">
        <f t="shared" si="0"/>
        <v/>
      </c>
      <c r="L19" s="25" t="str">
        <f t="shared" si="1"/>
        <v/>
      </c>
      <c r="M19" s="25" t="str">
        <f t="shared" si="2"/>
        <v/>
      </c>
      <c r="N19" s="25" t="str">
        <f t="shared" si="3"/>
        <v/>
      </c>
      <c r="O19" s="25" t="str">
        <f t="shared" si="4"/>
        <v/>
      </c>
      <c r="P19" s="25" t="str">
        <f t="shared" si="5"/>
        <v/>
      </c>
      <c r="Q19" s="25" t="str">
        <f t="shared" si="6"/>
        <v/>
      </c>
      <c r="R19" s="25" t="str">
        <f t="shared" si="7"/>
        <v/>
      </c>
      <c r="S19" s="25" t="str">
        <f t="shared" si="8"/>
        <v/>
      </c>
      <c r="T19" s="17" t="str">
        <f t="shared" si="9"/>
        <v/>
      </c>
      <c r="U19" s="25" t="str">
        <f>IF($A19="","",COUNTIF($T$5:$T$35,"&gt;"&amp;$T19)+COUNTIF($T$5:$T19,$T19))</f>
        <v/>
      </c>
      <c r="V19" s="25" t="str">
        <f t="shared" si="10"/>
        <v/>
      </c>
      <c r="W19" s="25" t="str">
        <f t="shared" si="11"/>
        <v/>
      </c>
      <c r="X19" s="25" t="str">
        <f t="shared" si="12"/>
        <v/>
      </c>
      <c r="Y19" s="25" t="str">
        <f t="shared" si="13"/>
        <v/>
      </c>
      <c r="Z19" s="25" t="str">
        <f t="shared" si="14"/>
        <v/>
      </c>
    </row>
    <row r="20" spans="1:26">
      <c r="A20" s="25" t="str">
        <f>IF('03_Tecnologie'!A19="","",'03_Tecnologie'!A19)</f>
        <v/>
      </c>
      <c r="B20" s="25" t="str">
        <f>IF($A20="","",'03_Tecnologie'!D19)</f>
        <v/>
      </c>
      <c r="C20" s="25" t="str">
        <f>IF($A20="","",'03_Tecnologie'!B19)</f>
        <v/>
      </c>
      <c r="D20" s="25" t="str">
        <f>IF($A20="","",'03_Tecnologie'!H19)</f>
        <v/>
      </c>
      <c r="E20" s="25" t="str">
        <f>IF($A20="","",'03_Tecnologie'!F19)</f>
        <v/>
      </c>
      <c r="F20" s="25" t="str">
        <f>IF($A20="","",'00_Portafoglio_Tecnologie'!F20)</f>
        <v/>
      </c>
      <c r="G20" s="25" t="str">
        <f>IF($A20="","",'00_Portafoglio_Tecnologie'!G20)</f>
        <v/>
      </c>
      <c r="H20" s="25" t="str">
        <f>IF($A20="","",'00_Portafoglio_Tecnologie'!H20)</f>
        <v/>
      </c>
      <c r="I20" s="25" t="str">
        <f>IF($A20="","",'00_Portafoglio_Tecnologie'!J20)</f>
        <v/>
      </c>
      <c r="J20" s="16" t="str">
        <f>IF($A20="","",'00_Scorecard'!R19)</f>
        <v/>
      </c>
      <c r="K20" s="25" t="str">
        <f t="shared" si="0"/>
        <v/>
      </c>
      <c r="L20" s="25" t="str">
        <f t="shared" si="1"/>
        <v/>
      </c>
      <c r="M20" s="25" t="str">
        <f t="shared" si="2"/>
        <v/>
      </c>
      <c r="N20" s="25" t="str">
        <f t="shared" si="3"/>
        <v/>
      </c>
      <c r="O20" s="25" t="str">
        <f t="shared" si="4"/>
        <v/>
      </c>
      <c r="P20" s="25" t="str">
        <f t="shared" si="5"/>
        <v/>
      </c>
      <c r="Q20" s="25" t="str">
        <f t="shared" si="6"/>
        <v/>
      </c>
      <c r="R20" s="25" t="str">
        <f t="shared" si="7"/>
        <v/>
      </c>
      <c r="S20" s="25" t="str">
        <f t="shared" si="8"/>
        <v/>
      </c>
      <c r="T20" s="17" t="str">
        <f t="shared" si="9"/>
        <v/>
      </c>
      <c r="U20" s="25" t="str">
        <f>IF($A20="","",COUNTIF($T$5:$T$35,"&gt;"&amp;$T20)+COUNTIF($T$5:$T20,$T20))</f>
        <v/>
      </c>
      <c r="V20" s="25" t="str">
        <f t="shared" si="10"/>
        <v/>
      </c>
      <c r="W20" s="25" t="str">
        <f t="shared" si="11"/>
        <v/>
      </c>
      <c r="X20" s="25" t="str">
        <f t="shared" si="12"/>
        <v/>
      </c>
      <c r="Y20" s="25" t="str">
        <f t="shared" si="13"/>
        <v/>
      </c>
      <c r="Z20" s="25" t="str">
        <f t="shared" si="14"/>
        <v/>
      </c>
    </row>
    <row r="21" spans="1:26">
      <c r="A21" s="25" t="str">
        <f>IF('03_Tecnologie'!A20="","",'03_Tecnologie'!A20)</f>
        <v/>
      </c>
      <c r="B21" s="25" t="str">
        <f>IF($A21="","",'03_Tecnologie'!D20)</f>
        <v/>
      </c>
      <c r="C21" s="25" t="str">
        <f>IF($A21="","",'03_Tecnologie'!B20)</f>
        <v/>
      </c>
      <c r="D21" s="25" t="str">
        <f>IF($A21="","",'03_Tecnologie'!H20)</f>
        <v/>
      </c>
      <c r="E21" s="25" t="str">
        <f>IF($A21="","",'03_Tecnologie'!F20)</f>
        <v/>
      </c>
      <c r="F21" s="25" t="str">
        <f>IF($A21="","",'00_Portafoglio_Tecnologie'!F21)</f>
        <v/>
      </c>
      <c r="G21" s="25" t="str">
        <f>IF($A21="","",'00_Portafoglio_Tecnologie'!G21)</f>
        <v/>
      </c>
      <c r="H21" s="25" t="str">
        <f>IF($A21="","",'00_Portafoglio_Tecnologie'!H21)</f>
        <v/>
      </c>
      <c r="I21" s="25" t="str">
        <f>IF($A21="","",'00_Portafoglio_Tecnologie'!J21)</f>
        <v/>
      </c>
      <c r="J21" s="16" t="str">
        <f>IF($A21="","",'00_Scorecard'!R20)</f>
        <v/>
      </c>
      <c r="K21" s="25" t="str">
        <f t="shared" si="0"/>
        <v/>
      </c>
      <c r="L21" s="25" t="str">
        <f t="shared" si="1"/>
        <v/>
      </c>
      <c r="M21" s="25" t="str">
        <f t="shared" si="2"/>
        <v/>
      </c>
      <c r="N21" s="25" t="str">
        <f t="shared" si="3"/>
        <v/>
      </c>
      <c r="O21" s="25" t="str">
        <f t="shared" si="4"/>
        <v/>
      </c>
      <c r="P21" s="25" t="str">
        <f t="shared" si="5"/>
        <v/>
      </c>
      <c r="Q21" s="25" t="str">
        <f t="shared" si="6"/>
        <v/>
      </c>
      <c r="R21" s="25" t="str">
        <f t="shared" si="7"/>
        <v/>
      </c>
      <c r="S21" s="25" t="str">
        <f t="shared" si="8"/>
        <v/>
      </c>
      <c r="T21" s="17" t="str">
        <f t="shared" si="9"/>
        <v/>
      </c>
      <c r="U21" s="25" t="str">
        <f>IF($A21="","",COUNTIF($T$5:$T$35,"&gt;"&amp;$T21)+COUNTIF($T$5:$T21,$T21))</f>
        <v/>
      </c>
      <c r="V21" s="25" t="str">
        <f t="shared" si="10"/>
        <v/>
      </c>
      <c r="W21" s="25" t="str">
        <f t="shared" si="11"/>
        <v/>
      </c>
      <c r="X21" s="25" t="str">
        <f t="shared" si="12"/>
        <v/>
      </c>
      <c r="Y21" s="25" t="str">
        <f t="shared" si="13"/>
        <v/>
      </c>
      <c r="Z21" s="25" t="str">
        <f t="shared" si="14"/>
        <v/>
      </c>
    </row>
    <row r="22" spans="1:26">
      <c r="A22" s="25" t="str">
        <f>IF('03_Tecnologie'!A21="","",'03_Tecnologie'!A21)</f>
        <v/>
      </c>
      <c r="B22" s="25" t="str">
        <f>IF($A22="","",'03_Tecnologie'!D21)</f>
        <v/>
      </c>
      <c r="C22" s="25" t="str">
        <f>IF($A22="","",'03_Tecnologie'!B21)</f>
        <v/>
      </c>
      <c r="D22" s="25" t="str">
        <f>IF($A22="","",'03_Tecnologie'!H21)</f>
        <v/>
      </c>
      <c r="E22" s="25" t="str">
        <f>IF($A22="","",'03_Tecnologie'!F21)</f>
        <v/>
      </c>
      <c r="F22" s="25" t="str">
        <f>IF($A22="","",'00_Portafoglio_Tecnologie'!F22)</f>
        <v/>
      </c>
      <c r="G22" s="25" t="str">
        <f>IF($A22="","",'00_Portafoglio_Tecnologie'!G22)</f>
        <v/>
      </c>
      <c r="H22" s="25" t="str">
        <f>IF($A22="","",'00_Portafoglio_Tecnologie'!H22)</f>
        <v/>
      </c>
      <c r="I22" s="25" t="str">
        <f>IF($A22="","",'00_Portafoglio_Tecnologie'!J22)</f>
        <v/>
      </c>
      <c r="J22" s="16" t="str">
        <f>IF($A22="","",'00_Scorecard'!R21)</f>
        <v/>
      </c>
      <c r="K22" s="25" t="str">
        <f t="shared" si="0"/>
        <v/>
      </c>
      <c r="L22" s="25" t="str">
        <f t="shared" si="1"/>
        <v/>
      </c>
      <c r="M22" s="25" t="str">
        <f t="shared" si="2"/>
        <v/>
      </c>
      <c r="N22" s="25" t="str">
        <f t="shared" si="3"/>
        <v/>
      </c>
      <c r="O22" s="25" t="str">
        <f t="shared" si="4"/>
        <v/>
      </c>
      <c r="P22" s="25" t="str">
        <f t="shared" si="5"/>
        <v/>
      </c>
      <c r="Q22" s="25" t="str">
        <f t="shared" si="6"/>
        <v/>
      </c>
      <c r="R22" s="25" t="str">
        <f t="shared" si="7"/>
        <v/>
      </c>
      <c r="S22" s="25" t="str">
        <f t="shared" si="8"/>
        <v/>
      </c>
      <c r="T22" s="17" t="str">
        <f t="shared" si="9"/>
        <v/>
      </c>
      <c r="U22" s="25" t="str">
        <f>IF($A22="","",COUNTIF($T$5:$T$35,"&gt;"&amp;$T22)+COUNTIF($T$5:$T22,$T22))</f>
        <v/>
      </c>
      <c r="V22" s="25" t="str">
        <f t="shared" si="10"/>
        <v/>
      </c>
      <c r="W22" s="25" t="str">
        <f t="shared" si="11"/>
        <v/>
      </c>
      <c r="X22" s="25" t="str">
        <f t="shared" si="12"/>
        <v/>
      </c>
      <c r="Y22" s="25" t="str">
        <f t="shared" si="13"/>
        <v/>
      </c>
      <c r="Z22" s="25" t="str">
        <f t="shared" si="14"/>
        <v/>
      </c>
    </row>
    <row r="23" spans="1:26">
      <c r="A23" s="25" t="str">
        <f>IF('03_Tecnologie'!A22="","",'03_Tecnologie'!A22)</f>
        <v/>
      </c>
      <c r="B23" s="25" t="str">
        <f>IF($A23="","",'03_Tecnologie'!D22)</f>
        <v/>
      </c>
      <c r="C23" s="25" t="str">
        <f>IF($A23="","",'03_Tecnologie'!B22)</f>
        <v/>
      </c>
      <c r="D23" s="25" t="str">
        <f>IF($A23="","",'03_Tecnologie'!H22)</f>
        <v/>
      </c>
      <c r="E23" s="25" t="str">
        <f>IF($A23="","",'03_Tecnologie'!F22)</f>
        <v/>
      </c>
      <c r="F23" s="25" t="str">
        <f>IF($A23="","",'00_Portafoglio_Tecnologie'!F23)</f>
        <v/>
      </c>
      <c r="G23" s="25" t="str">
        <f>IF($A23="","",'00_Portafoglio_Tecnologie'!G23)</f>
        <v/>
      </c>
      <c r="H23" s="25" t="str">
        <f>IF($A23="","",'00_Portafoglio_Tecnologie'!H23)</f>
        <v/>
      </c>
      <c r="I23" s="25" t="str">
        <f>IF($A23="","",'00_Portafoglio_Tecnologie'!J23)</f>
        <v/>
      </c>
      <c r="J23" s="16" t="str">
        <f>IF($A23="","",'00_Scorecard'!R22)</f>
        <v/>
      </c>
      <c r="K23" s="25" t="str">
        <f t="shared" si="0"/>
        <v/>
      </c>
      <c r="L23" s="25" t="str">
        <f t="shared" si="1"/>
        <v/>
      </c>
      <c r="M23" s="25" t="str">
        <f t="shared" si="2"/>
        <v/>
      </c>
      <c r="N23" s="25" t="str">
        <f t="shared" si="3"/>
        <v/>
      </c>
      <c r="O23" s="25" t="str">
        <f t="shared" si="4"/>
        <v/>
      </c>
      <c r="P23" s="25" t="str">
        <f t="shared" si="5"/>
        <v/>
      </c>
      <c r="Q23" s="25" t="str">
        <f t="shared" si="6"/>
        <v/>
      </c>
      <c r="R23" s="25" t="str">
        <f t="shared" si="7"/>
        <v/>
      </c>
      <c r="S23" s="25" t="str">
        <f t="shared" si="8"/>
        <v/>
      </c>
      <c r="T23" s="17" t="str">
        <f t="shared" si="9"/>
        <v/>
      </c>
      <c r="U23" s="25" t="str">
        <f>IF($A23="","",COUNTIF($T$5:$T$35,"&gt;"&amp;$T23)+COUNTIF($T$5:$T23,$T23))</f>
        <v/>
      </c>
      <c r="V23" s="25" t="str">
        <f t="shared" si="10"/>
        <v/>
      </c>
      <c r="W23" s="25" t="str">
        <f t="shared" si="11"/>
        <v/>
      </c>
      <c r="X23" s="25" t="str">
        <f t="shared" si="12"/>
        <v/>
      </c>
      <c r="Y23" s="25" t="str">
        <f t="shared" si="13"/>
        <v/>
      </c>
      <c r="Z23" s="25" t="str">
        <f t="shared" si="14"/>
        <v/>
      </c>
    </row>
    <row r="24" spans="1:26">
      <c r="A24" s="25" t="str">
        <f>IF('03_Tecnologie'!A23="","",'03_Tecnologie'!A23)</f>
        <v/>
      </c>
      <c r="B24" s="25" t="str">
        <f>IF($A24="","",'03_Tecnologie'!D23)</f>
        <v/>
      </c>
      <c r="C24" s="25" t="str">
        <f>IF($A24="","",'03_Tecnologie'!B23)</f>
        <v/>
      </c>
      <c r="D24" s="25" t="str">
        <f>IF($A24="","",'03_Tecnologie'!H23)</f>
        <v/>
      </c>
      <c r="E24" s="25" t="str">
        <f>IF($A24="","",'03_Tecnologie'!F23)</f>
        <v/>
      </c>
      <c r="F24" s="25" t="str">
        <f>IF($A24="","",'00_Portafoglio_Tecnologie'!F24)</f>
        <v/>
      </c>
      <c r="G24" s="25" t="str">
        <f>IF($A24="","",'00_Portafoglio_Tecnologie'!G24)</f>
        <v/>
      </c>
      <c r="H24" s="25" t="str">
        <f>IF($A24="","",'00_Portafoglio_Tecnologie'!H24)</f>
        <v/>
      </c>
      <c r="I24" s="25" t="str">
        <f>IF($A24="","",'00_Portafoglio_Tecnologie'!J24)</f>
        <v/>
      </c>
      <c r="J24" s="16" t="str">
        <f>IF($A24="","",'00_Scorecard'!R23)</f>
        <v/>
      </c>
      <c r="K24" s="25" t="str">
        <f t="shared" si="0"/>
        <v/>
      </c>
      <c r="L24" s="25" t="str">
        <f t="shared" si="1"/>
        <v/>
      </c>
      <c r="M24" s="25" t="str">
        <f t="shared" si="2"/>
        <v/>
      </c>
      <c r="N24" s="25" t="str">
        <f t="shared" si="3"/>
        <v/>
      </c>
      <c r="O24" s="25" t="str">
        <f t="shared" si="4"/>
        <v/>
      </c>
      <c r="P24" s="25" t="str">
        <f t="shared" si="5"/>
        <v/>
      </c>
      <c r="Q24" s="25" t="str">
        <f t="shared" si="6"/>
        <v/>
      </c>
      <c r="R24" s="25" t="str">
        <f t="shared" si="7"/>
        <v/>
      </c>
      <c r="S24" s="25" t="str">
        <f t="shared" si="8"/>
        <v/>
      </c>
      <c r="T24" s="17" t="str">
        <f t="shared" si="9"/>
        <v/>
      </c>
      <c r="U24" s="25" t="str">
        <f>IF($A24="","",COUNTIF($T$5:$T$35,"&gt;"&amp;$T24)+COUNTIF($T$5:$T24,$T24))</f>
        <v/>
      </c>
      <c r="V24" s="25" t="str">
        <f t="shared" si="10"/>
        <v/>
      </c>
      <c r="W24" s="25" t="str">
        <f t="shared" si="11"/>
        <v/>
      </c>
      <c r="X24" s="25" t="str">
        <f t="shared" si="12"/>
        <v/>
      </c>
      <c r="Y24" s="25" t="str">
        <f t="shared" si="13"/>
        <v/>
      </c>
      <c r="Z24" s="25" t="str">
        <f t="shared" si="14"/>
        <v/>
      </c>
    </row>
    <row r="25" spans="1:26">
      <c r="A25" s="25" t="str">
        <f>IF('03_Tecnologie'!A24="","",'03_Tecnologie'!A24)</f>
        <v/>
      </c>
      <c r="B25" s="25" t="str">
        <f>IF($A25="","",'03_Tecnologie'!D24)</f>
        <v/>
      </c>
      <c r="C25" s="25" t="str">
        <f>IF($A25="","",'03_Tecnologie'!B24)</f>
        <v/>
      </c>
      <c r="D25" s="25" t="str">
        <f>IF($A25="","",'03_Tecnologie'!H24)</f>
        <v/>
      </c>
      <c r="E25" s="25" t="str">
        <f>IF($A25="","",'03_Tecnologie'!F24)</f>
        <v/>
      </c>
      <c r="F25" s="25" t="str">
        <f>IF($A25="","",'00_Portafoglio_Tecnologie'!F25)</f>
        <v/>
      </c>
      <c r="G25" s="25" t="str">
        <f>IF($A25="","",'00_Portafoglio_Tecnologie'!G25)</f>
        <v/>
      </c>
      <c r="H25" s="25" t="str">
        <f>IF($A25="","",'00_Portafoglio_Tecnologie'!H25)</f>
        <v/>
      </c>
      <c r="I25" s="25" t="str">
        <f>IF($A25="","",'00_Portafoglio_Tecnologie'!J25)</f>
        <v/>
      </c>
      <c r="J25" s="16" t="str">
        <f>IF($A25="","",'00_Scorecard'!R24)</f>
        <v/>
      </c>
      <c r="K25" s="25" t="str">
        <f t="shared" si="0"/>
        <v/>
      </c>
      <c r="L25" s="25" t="str">
        <f t="shared" si="1"/>
        <v/>
      </c>
      <c r="M25" s="25" t="str">
        <f t="shared" si="2"/>
        <v/>
      </c>
      <c r="N25" s="25" t="str">
        <f t="shared" si="3"/>
        <v/>
      </c>
      <c r="O25" s="25" t="str">
        <f t="shared" si="4"/>
        <v/>
      </c>
      <c r="P25" s="25" t="str">
        <f t="shared" si="5"/>
        <v/>
      </c>
      <c r="Q25" s="25" t="str">
        <f t="shared" si="6"/>
        <v/>
      </c>
      <c r="R25" s="25" t="str">
        <f t="shared" si="7"/>
        <v/>
      </c>
      <c r="S25" s="25" t="str">
        <f t="shared" si="8"/>
        <v/>
      </c>
      <c r="T25" s="17" t="str">
        <f t="shared" si="9"/>
        <v/>
      </c>
      <c r="U25" s="25" t="str">
        <f>IF($A25="","",COUNTIF($T$5:$T$35,"&gt;"&amp;$T25)+COUNTIF($T$5:$T25,$T25))</f>
        <v/>
      </c>
      <c r="V25" s="25" t="str">
        <f t="shared" si="10"/>
        <v/>
      </c>
      <c r="W25" s="25" t="str">
        <f t="shared" si="11"/>
        <v/>
      </c>
      <c r="X25" s="25" t="str">
        <f t="shared" si="12"/>
        <v/>
      </c>
      <c r="Y25" s="25" t="str">
        <f t="shared" si="13"/>
        <v/>
      </c>
      <c r="Z25" s="25" t="str">
        <f t="shared" si="14"/>
        <v/>
      </c>
    </row>
    <row r="26" spans="1:26">
      <c r="A26" s="25" t="str">
        <f>IF('03_Tecnologie'!A25="","",'03_Tecnologie'!A25)</f>
        <v/>
      </c>
      <c r="B26" s="25" t="str">
        <f>IF($A26="","",'03_Tecnologie'!D25)</f>
        <v/>
      </c>
      <c r="C26" s="25" t="str">
        <f>IF($A26="","",'03_Tecnologie'!B25)</f>
        <v/>
      </c>
      <c r="D26" s="25" t="str">
        <f>IF($A26="","",'03_Tecnologie'!H25)</f>
        <v/>
      </c>
      <c r="E26" s="25" t="str">
        <f>IF($A26="","",'03_Tecnologie'!F25)</f>
        <v/>
      </c>
      <c r="F26" s="25" t="str">
        <f>IF($A26="","",'00_Portafoglio_Tecnologie'!F26)</f>
        <v/>
      </c>
      <c r="G26" s="25" t="str">
        <f>IF($A26="","",'00_Portafoglio_Tecnologie'!G26)</f>
        <v/>
      </c>
      <c r="H26" s="25" t="str">
        <f>IF($A26="","",'00_Portafoglio_Tecnologie'!H26)</f>
        <v/>
      </c>
      <c r="I26" s="25" t="str">
        <f>IF($A26="","",'00_Portafoglio_Tecnologie'!J26)</f>
        <v/>
      </c>
      <c r="J26" s="16" t="str">
        <f>IF($A26="","",'00_Scorecard'!R25)</f>
        <v/>
      </c>
      <c r="K26" s="25" t="str">
        <f t="shared" si="0"/>
        <v/>
      </c>
      <c r="L26" s="25" t="str">
        <f t="shared" si="1"/>
        <v/>
      </c>
      <c r="M26" s="25" t="str">
        <f t="shared" si="2"/>
        <v/>
      </c>
      <c r="N26" s="25" t="str">
        <f t="shared" si="3"/>
        <v/>
      </c>
      <c r="O26" s="25" t="str">
        <f t="shared" si="4"/>
        <v/>
      </c>
      <c r="P26" s="25" t="str">
        <f t="shared" si="5"/>
        <v/>
      </c>
      <c r="Q26" s="25" t="str">
        <f t="shared" si="6"/>
        <v/>
      </c>
      <c r="R26" s="25" t="str">
        <f t="shared" si="7"/>
        <v/>
      </c>
      <c r="S26" s="25" t="str">
        <f t="shared" si="8"/>
        <v/>
      </c>
      <c r="T26" s="17" t="str">
        <f t="shared" si="9"/>
        <v/>
      </c>
      <c r="U26" s="25" t="str">
        <f>IF($A26="","",COUNTIF($T$5:$T$35,"&gt;"&amp;$T26)+COUNTIF($T$5:$T26,$T26))</f>
        <v/>
      </c>
      <c r="V26" s="25" t="str">
        <f t="shared" si="10"/>
        <v/>
      </c>
      <c r="W26" s="25" t="str">
        <f t="shared" si="11"/>
        <v/>
      </c>
      <c r="X26" s="25" t="str">
        <f t="shared" si="12"/>
        <v/>
      </c>
      <c r="Y26" s="25" t="str">
        <f t="shared" si="13"/>
        <v/>
      </c>
      <c r="Z26" s="25" t="str">
        <f t="shared" si="14"/>
        <v/>
      </c>
    </row>
    <row r="27" spans="1:26">
      <c r="A27" s="25" t="str">
        <f>IF('03_Tecnologie'!A26="","",'03_Tecnologie'!A26)</f>
        <v/>
      </c>
      <c r="B27" s="25" t="str">
        <f>IF($A27="","",'03_Tecnologie'!D26)</f>
        <v/>
      </c>
      <c r="C27" s="25" t="str">
        <f>IF($A27="","",'03_Tecnologie'!B26)</f>
        <v/>
      </c>
      <c r="D27" s="25" t="str">
        <f>IF($A27="","",'03_Tecnologie'!H26)</f>
        <v/>
      </c>
      <c r="E27" s="25" t="str">
        <f>IF($A27="","",'03_Tecnologie'!F26)</f>
        <v/>
      </c>
      <c r="F27" s="25" t="str">
        <f>IF($A27="","",'00_Portafoglio_Tecnologie'!F27)</f>
        <v/>
      </c>
      <c r="G27" s="25" t="str">
        <f>IF($A27="","",'00_Portafoglio_Tecnologie'!G27)</f>
        <v/>
      </c>
      <c r="H27" s="25" t="str">
        <f>IF($A27="","",'00_Portafoglio_Tecnologie'!H27)</f>
        <v/>
      </c>
      <c r="I27" s="25" t="str">
        <f>IF($A27="","",'00_Portafoglio_Tecnologie'!J27)</f>
        <v/>
      </c>
      <c r="J27" s="16" t="str">
        <f>IF($A27="","",'00_Scorecard'!R26)</f>
        <v/>
      </c>
      <c r="K27" s="25" t="str">
        <f t="shared" si="0"/>
        <v/>
      </c>
      <c r="L27" s="25" t="str">
        <f t="shared" si="1"/>
        <v/>
      </c>
      <c r="M27" s="25" t="str">
        <f t="shared" si="2"/>
        <v/>
      </c>
      <c r="N27" s="25" t="str">
        <f t="shared" si="3"/>
        <v/>
      </c>
      <c r="O27" s="25" t="str">
        <f t="shared" si="4"/>
        <v/>
      </c>
      <c r="P27" s="25" t="str">
        <f t="shared" si="5"/>
        <v/>
      </c>
      <c r="Q27" s="25" t="str">
        <f t="shared" si="6"/>
        <v/>
      </c>
      <c r="R27" s="25" t="str">
        <f t="shared" si="7"/>
        <v/>
      </c>
      <c r="S27" s="25" t="str">
        <f t="shared" si="8"/>
        <v/>
      </c>
      <c r="T27" s="17" t="str">
        <f t="shared" si="9"/>
        <v/>
      </c>
      <c r="U27" s="25" t="str">
        <f>IF($A27="","",COUNTIF($T$5:$T$35,"&gt;"&amp;$T27)+COUNTIF($T$5:$T27,$T27))</f>
        <v/>
      </c>
      <c r="V27" s="25" t="str">
        <f t="shared" si="10"/>
        <v/>
      </c>
      <c r="W27" s="25" t="str">
        <f t="shared" si="11"/>
        <v/>
      </c>
      <c r="X27" s="25" t="str">
        <f t="shared" si="12"/>
        <v/>
      </c>
      <c r="Y27" s="25" t="str">
        <f t="shared" si="13"/>
        <v/>
      </c>
      <c r="Z27" s="25" t="str">
        <f t="shared" si="14"/>
        <v/>
      </c>
    </row>
    <row r="28" spans="1:26">
      <c r="A28" s="25" t="str">
        <f>IF('03_Tecnologie'!A27="","",'03_Tecnologie'!A27)</f>
        <v/>
      </c>
      <c r="B28" s="25" t="str">
        <f>IF($A28="","",'03_Tecnologie'!D27)</f>
        <v/>
      </c>
      <c r="C28" s="25" t="str">
        <f>IF($A28="","",'03_Tecnologie'!B27)</f>
        <v/>
      </c>
      <c r="D28" s="25" t="str">
        <f>IF($A28="","",'03_Tecnologie'!H27)</f>
        <v/>
      </c>
      <c r="E28" s="25" t="str">
        <f>IF($A28="","",'03_Tecnologie'!F27)</f>
        <v/>
      </c>
      <c r="F28" s="25" t="str">
        <f>IF($A28="","",'00_Portafoglio_Tecnologie'!F28)</f>
        <v/>
      </c>
      <c r="G28" s="25" t="str">
        <f>IF($A28="","",'00_Portafoglio_Tecnologie'!G28)</f>
        <v/>
      </c>
      <c r="H28" s="25" t="str">
        <f>IF($A28="","",'00_Portafoglio_Tecnologie'!H28)</f>
        <v/>
      </c>
      <c r="I28" s="25" t="str">
        <f>IF($A28="","",'00_Portafoglio_Tecnologie'!J28)</f>
        <v/>
      </c>
      <c r="J28" s="16" t="str">
        <f>IF($A28="","",'00_Scorecard'!R27)</f>
        <v/>
      </c>
      <c r="K28" s="25" t="str">
        <f t="shared" si="0"/>
        <v/>
      </c>
      <c r="L28" s="25" t="str">
        <f t="shared" si="1"/>
        <v/>
      </c>
      <c r="M28" s="25" t="str">
        <f t="shared" si="2"/>
        <v/>
      </c>
      <c r="N28" s="25" t="str">
        <f t="shared" si="3"/>
        <v/>
      </c>
      <c r="O28" s="25" t="str">
        <f t="shared" si="4"/>
        <v/>
      </c>
      <c r="P28" s="25" t="str">
        <f t="shared" si="5"/>
        <v/>
      </c>
      <c r="Q28" s="25" t="str">
        <f t="shared" si="6"/>
        <v/>
      </c>
      <c r="R28" s="25" t="str">
        <f t="shared" si="7"/>
        <v/>
      </c>
      <c r="S28" s="25" t="str">
        <f t="shared" si="8"/>
        <v/>
      </c>
      <c r="T28" s="17" t="str">
        <f t="shared" si="9"/>
        <v/>
      </c>
      <c r="U28" s="25" t="str">
        <f>IF($A28="","",COUNTIF($T$5:$T$35,"&gt;"&amp;$T28)+COUNTIF($T$5:$T28,$T28))</f>
        <v/>
      </c>
      <c r="V28" s="25" t="str">
        <f t="shared" si="10"/>
        <v/>
      </c>
      <c r="W28" s="25" t="str">
        <f t="shared" si="11"/>
        <v/>
      </c>
      <c r="X28" s="25" t="str">
        <f t="shared" si="12"/>
        <v/>
      </c>
      <c r="Y28" s="25" t="str">
        <f t="shared" si="13"/>
        <v/>
      </c>
      <c r="Z28" s="25" t="str">
        <f t="shared" si="14"/>
        <v/>
      </c>
    </row>
    <row r="29" spans="1:26">
      <c r="A29" s="25" t="str">
        <f>IF('03_Tecnologie'!A28="","",'03_Tecnologie'!A28)</f>
        <v/>
      </c>
      <c r="B29" s="25" t="str">
        <f>IF($A29="","",'03_Tecnologie'!D28)</f>
        <v/>
      </c>
      <c r="C29" s="25" t="str">
        <f>IF($A29="","",'03_Tecnologie'!B28)</f>
        <v/>
      </c>
      <c r="D29" s="25" t="str">
        <f>IF($A29="","",'03_Tecnologie'!H28)</f>
        <v/>
      </c>
      <c r="E29" s="25" t="str">
        <f>IF($A29="","",'03_Tecnologie'!F28)</f>
        <v/>
      </c>
      <c r="F29" s="25" t="str">
        <f>IF($A29="","",'00_Portafoglio_Tecnologie'!F29)</f>
        <v/>
      </c>
      <c r="G29" s="25" t="str">
        <f>IF($A29="","",'00_Portafoglio_Tecnologie'!G29)</f>
        <v/>
      </c>
      <c r="H29" s="25" t="str">
        <f>IF($A29="","",'00_Portafoglio_Tecnologie'!H29)</f>
        <v/>
      </c>
      <c r="I29" s="25" t="str">
        <f>IF($A29="","",'00_Portafoglio_Tecnologie'!J29)</f>
        <v/>
      </c>
      <c r="J29" s="16" t="str">
        <f>IF($A29="","",'00_Scorecard'!R28)</f>
        <v/>
      </c>
      <c r="K29" s="25" t="str">
        <f t="shared" si="0"/>
        <v/>
      </c>
      <c r="L29" s="25" t="str">
        <f t="shared" si="1"/>
        <v/>
      </c>
      <c r="M29" s="25" t="str">
        <f t="shared" si="2"/>
        <v/>
      </c>
      <c r="N29" s="25" t="str">
        <f t="shared" si="3"/>
        <v/>
      </c>
      <c r="O29" s="25" t="str">
        <f t="shared" si="4"/>
        <v/>
      </c>
      <c r="P29" s="25" t="str">
        <f t="shared" si="5"/>
        <v/>
      </c>
      <c r="Q29" s="25" t="str">
        <f t="shared" si="6"/>
        <v/>
      </c>
      <c r="R29" s="25" t="str">
        <f t="shared" si="7"/>
        <v/>
      </c>
      <c r="S29" s="25" t="str">
        <f t="shared" si="8"/>
        <v/>
      </c>
      <c r="T29" s="17" t="str">
        <f t="shared" si="9"/>
        <v/>
      </c>
      <c r="U29" s="25" t="str">
        <f>IF($A29="","",COUNTIF($T$5:$T$35,"&gt;"&amp;$T29)+COUNTIF($T$5:$T29,$T29))</f>
        <v/>
      </c>
      <c r="V29" s="25" t="str">
        <f t="shared" si="10"/>
        <v/>
      </c>
      <c r="W29" s="25" t="str">
        <f t="shared" si="11"/>
        <v/>
      </c>
      <c r="X29" s="25" t="str">
        <f t="shared" si="12"/>
        <v/>
      </c>
      <c r="Y29" s="25" t="str">
        <f t="shared" si="13"/>
        <v/>
      </c>
      <c r="Z29" s="25" t="str">
        <f t="shared" si="14"/>
        <v/>
      </c>
    </row>
    <row r="30" spans="1:26">
      <c r="A30" s="25" t="str">
        <f>IF('03_Tecnologie'!A29="","",'03_Tecnologie'!A29)</f>
        <v/>
      </c>
      <c r="B30" s="25" t="str">
        <f>IF($A30="","",'03_Tecnologie'!D29)</f>
        <v/>
      </c>
      <c r="C30" s="25" t="str">
        <f>IF($A30="","",'03_Tecnologie'!B29)</f>
        <v/>
      </c>
      <c r="D30" s="25" t="str">
        <f>IF($A30="","",'03_Tecnologie'!H29)</f>
        <v/>
      </c>
      <c r="E30" s="25" t="str">
        <f>IF($A30="","",'03_Tecnologie'!F29)</f>
        <v/>
      </c>
      <c r="F30" s="25" t="str">
        <f>IF($A30="","",'00_Portafoglio_Tecnologie'!F30)</f>
        <v/>
      </c>
      <c r="G30" s="25" t="str">
        <f>IF($A30="","",'00_Portafoglio_Tecnologie'!G30)</f>
        <v/>
      </c>
      <c r="H30" s="25" t="str">
        <f>IF($A30="","",'00_Portafoglio_Tecnologie'!H30)</f>
        <v/>
      </c>
      <c r="I30" s="25" t="str">
        <f>IF($A30="","",'00_Portafoglio_Tecnologie'!J30)</f>
        <v/>
      </c>
      <c r="J30" s="16" t="str">
        <f>IF($A30="","",'00_Scorecard'!R29)</f>
        <v/>
      </c>
      <c r="K30" s="25" t="str">
        <f t="shared" si="0"/>
        <v/>
      </c>
      <c r="L30" s="25" t="str">
        <f t="shared" si="1"/>
        <v/>
      </c>
      <c r="M30" s="25" t="str">
        <f t="shared" si="2"/>
        <v/>
      </c>
      <c r="N30" s="25" t="str">
        <f t="shared" si="3"/>
        <v/>
      </c>
      <c r="O30" s="25" t="str">
        <f t="shared" si="4"/>
        <v/>
      </c>
      <c r="P30" s="25" t="str">
        <f t="shared" si="5"/>
        <v/>
      </c>
      <c r="Q30" s="25" t="str">
        <f t="shared" si="6"/>
        <v/>
      </c>
      <c r="R30" s="25" t="str">
        <f t="shared" si="7"/>
        <v/>
      </c>
      <c r="S30" s="25" t="str">
        <f t="shared" si="8"/>
        <v/>
      </c>
      <c r="T30" s="17" t="str">
        <f t="shared" si="9"/>
        <v/>
      </c>
      <c r="U30" s="25" t="str">
        <f>IF($A30="","",COUNTIF($T$5:$T$35,"&gt;"&amp;$T30)+COUNTIF($T$5:$T30,$T30))</f>
        <v/>
      </c>
      <c r="V30" s="25" t="str">
        <f t="shared" si="10"/>
        <v/>
      </c>
      <c r="W30" s="25" t="str">
        <f t="shared" si="11"/>
        <v/>
      </c>
      <c r="X30" s="25" t="str">
        <f t="shared" si="12"/>
        <v/>
      </c>
      <c r="Y30" s="25" t="str">
        <f t="shared" si="13"/>
        <v/>
      </c>
      <c r="Z30" s="25" t="str">
        <f t="shared" si="14"/>
        <v/>
      </c>
    </row>
    <row r="31" spans="1:26">
      <c r="A31" s="25" t="str">
        <f>IF('03_Tecnologie'!A30="","",'03_Tecnologie'!A30)</f>
        <v/>
      </c>
      <c r="B31" s="25" t="str">
        <f>IF($A31="","",'03_Tecnologie'!D30)</f>
        <v/>
      </c>
      <c r="C31" s="25" t="str">
        <f>IF($A31="","",'03_Tecnologie'!B30)</f>
        <v/>
      </c>
      <c r="D31" s="25" t="str">
        <f>IF($A31="","",'03_Tecnologie'!H30)</f>
        <v/>
      </c>
      <c r="E31" s="25" t="str">
        <f>IF($A31="","",'03_Tecnologie'!F30)</f>
        <v/>
      </c>
      <c r="F31" s="25" t="str">
        <f>IF($A31="","",'00_Portafoglio_Tecnologie'!F31)</f>
        <v/>
      </c>
      <c r="G31" s="25" t="str">
        <f>IF($A31="","",'00_Portafoglio_Tecnologie'!G31)</f>
        <v/>
      </c>
      <c r="H31" s="25" t="str">
        <f>IF($A31="","",'00_Portafoglio_Tecnologie'!H31)</f>
        <v/>
      </c>
      <c r="I31" s="25" t="str">
        <f>IF($A31="","",'00_Portafoglio_Tecnologie'!J31)</f>
        <v/>
      </c>
      <c r="J31" s="16" t="str">
        <f>IF($A31="","",'00_Scorecard'!R30)</f>
        <v/>
      </c>
      <c r="K31" s="25" t="str">
        <f t="shared" si="0"/>
        <v/>
      </c>
      <c r="L31" s="25" t="str">
        <f t="shared" si="1"/>
        <v/>
      </c>
      <c r="M31" s="25" t="str">
        <f t="shared" si="2"/>
        <v/>
      </c>
      <c r="N31" s="25" t="str">
        <f t="shared" si="3"/>
        <v/>
      </c>
      <c r="O31" s="25" t="str">
        <f t="shared" si="4"/>
        <v/>
      </c>
      <c r="P31" s="25" t="str">
        <f t="shared" si="5"/>
        <v/>
      </c>
      <c r="Q31" s="25" t="str">
        <f t="shared" si="6"/>
        <v/>
      </c>
      <c r="R31" s="25" t="str">
        <f t="shared" si="7"/>
        <v/>
      </c>
      <c r="S31" s="25" t="str">
        <f t="shared" si="8"/>
        <v/>
      </c>
      <c r="T31" s="17" t="str">
        <f t="shared" si="9"/>
        <v/>
      </c>
      <c r="U31" s="25" t="str">
        <f>IF($A31="","",COUNTIF($T$5:$T$35,"&gt;"&amp;$T31)+COUNTIF($T$5:$T31,$T31))</f>
        <v/>
      </c>
      <c r="V31" s="25" t="str">
        <f t="shared" si="10"/>
        <v/>
      </c>
      <c r="W31" s="25" t="str">
        <f t="shared" si="11"/>
        <v/>
      </c>
      <c r="X31" s="25" t="str">
        <f t="shared" si="12"/>
        <v/>
      </c>
      <c r="Y31" s="25" t="str">
        <f t="shared" si="13"/>
        <v/>
      </c>
      <c r="Z31" s="25" t="str">
        <f t="shared" si="14"/>
        <v/>
      </c>
    </row>
    <row r="32" spans="1:26">
      <c r="A32" s="25" t="str">
        <f>IF('03_Tecnologie'!A31="","",'03_Tecnologie'!A31)</f>
        <v/>
      </c>
      <c r="B32" s="25" t="str">
        <f>IF($A32="","",'03_Tecnologie'!D31)</f>
        <v/>
      </c>
      <c r="C32" s="25" t="str">
        <f>IF($A32="","",'03_Tecnologie'!B31)</f>
        <v/>
      </c>
      <c r="D32" s="25" t="str">
        <f>IF($A32="","",'03_Tecnologie'!H31)</f>
        <v/>
      </c>
      <c r="E32" s="25" t="str">
        <f>IF($A32="","",'03_Tecnologie'!F31)</f>
        <v/>
      </c>
      <c r="F32" s="25" t="str">
        <f>IF($A32="","",'00_Portafoglio_Tecnologie'!F32)</f>
        <v/>
      </c>
      <c r="G32" s="25" t="str">
        <f>IF($A32="","",'00_Portafoglio_Tecnologie'!G32)</f>
        <v/>
      </c>
      <c r="H32" s="25" t="str">
        <f>IF($A32="","",'00_Portafoglio_Tecnologie'!H32)</f>
        <v/>
      </c>
      <c r="I32" s="25" t="str">
        <f>IF($A32="","",'00_Portafoglio_Tecnologie'!J32)</f>
        <v/>
      </c>
      <c r="J32" s="16" t="str">
        <f>IF($A32="","",'00_Scorecard'!R31)</f>
        <v/>
      </c>
      <c r="K32" s="25" t="str">
        <f t="shared" si="0"/>
        <v/>
      </c>
      <c r="L32" s="25" t="str">
        <f t="shared" si="1"/>
        <v/>
      </c>
      <c r="M32" s="25" t="str">
        <f t="shared" si="2"/>
        <v/>
      </c>
      <c r="N32" s="25" t="str">
        <f t="shared" si="3"/>
        <v/>
      </c>
      <c r="O32" s="25" t="str">
        <f t="shared" si="4"/>
        <v/>
      </c>
      <c r="P32" s="25" t="str">
        <f t="shared" si="5"/>
        <v/>
      </c>
      <c r="Q32" s="25" t="str">
        <f t="shared" si="6"/>
        <v/>
      </c>
      <c r="R32" s="25" t="str">
        <f t="shared" si="7"/>
        <v/>
      </c>
      <c r="S32" s="25" t="str">
        <f t="shared" si="8"/>
        <v/>
      </c>
      <c r="T32" s="17" t="str">
        <f t="shared" si="9"/>
        <v/>
      </c>
      <c r="U32" s="25" t="str">
        <f>IF($A32="","",COUNTIF($T$5:$T$35,"&gt;"&amp;$T32)+COUNTIF($T$5:$T32,$T32))</f>
        <v/>
      </c>
      <c r="V32" s="25" t="str">
        <f t="shared" si="10"/>
        <v/>
      </c>
      <c r="W32" s="25" t="str">
        <f t="shared" si="11"/>
        <v/>
      </c>
      <c r="X32" s="25" t="str">
        <f t="shared" si="12"/>
        <v/>
      </c>
      <c r="Y32" s="25" t="str">
        <f t="shared" si="13"/>
        <v/>
      </c>
      <c r="Z32" s="25" t="str">
        <f t="shared" si="14"/>
        <v/>
      </c>
    </row>
    <row r="33" spans="1:26">
      <c r="A33" s="25" t="str">
        <f>IF('03_Tecnologie'!A32="","",'03_Tecnologie'!A32)</f>
        <v/>
      </c>
      <c r="B33" s="25" t="str">
        <f>IF($A33="","",'03_Tecnologie'!D32)</f>
        <v/>
      </c>
      <c r="C33" s="25" t="str">
        <f>IF($A33="","",'03_Tecnologie'!B32)</f>
        <v/>
      </c>
      <c r="D33" s="25" t="str">
        <f>IF($A33="","",'03_Tecnologie'!H32)</f>
        <v/>
      </c>
      <c r="E33" s="25" t="str">
        <f>IF($A33="","",'03_Tecnologie'!F32)</f>
        <v/>
      </c>
      <c r="F33" s="25" t="str">
        <f>IF($A33="","",'00_Portafoglio_Tecnologie'!F33)</f>
        <v/>
      </c>
      <c r="G33" s="25" t="str">
        <f>IF($A33="","",'00_Portafoglio_Tecnologie'!G33)</f>
        <v/>
      </c>
      <c r="H33" s="25" t="str">
        <f>IF($A33="","",'00_Portafoglio_Tecnologie'!H33)</f>
        <v/>
      </c>
      <c r="I33" s="25" t="str">
        <f>IF($A33="","",'00_Portafoglio_Tecnologie'!J33)</f>
        <v/>
      </c>
      <c r="J33" s="16" t="str">
        <f>IF($A33="","",'00_Scorecard'!R32)</f>
        <v/>
      </c>
      <c r="K33" s="25" t="str">
        <f t="shared" si="0"/>
        <v/>
      </c>
      <c r="L33" s="25" t="str">
        <f t="shared" si="1"/>
        <v/>
      </c>
      <c r="M33" s="25" t="str">
        <f t="shared" si="2"/>
        <v/>
      </c>
      <c r="N33" s="25" t="str">
        <f t="shared" si="3"/>
        <v/>
      </c>
      <c r="O33" s="25" t="str">
        <f t="shared" si="4"/>
        <v/>
      </c>
      <c r="P33" s="25" t="str">
        <f t="shared" si="5"/>
        <v/>
      </c>
      <c r="Q33" s="25" t="str">
        <f t="shared" si="6"/>
        <v/>
      </c>
      <c r="R33" s="25" t="str">
        <f t="shared" si="7"/>
        <v/>
      </c>
      <c r="S33" s="25" t="str">
        <f t="shared" si="8"/>
        <v/>
      </c>
      <c r="T33" s="17" t="str">
        <f t="shared" si="9"/>
        <v/>
      </c>
      <c r="U33" s="25" t="str">
        <f>IF($A33="","",COUNTIF($T$5:$T$35,"&gt;"&amp;$T33)+COUNTIF($T$5:$T33,$T33))</f>
        <v/>
      </c>
      <c r="V33" s="25" t="str">
        <f t="shared" si="10"/>
        <v/>
      </c>
      <c r="W33" s="25" t="str">
        <f t="shared" si="11"/>
        <v/>
      </c>
      <c r="X33" s="25" t="str">
        <f t="shared" si="12"/>
        <v/>
      </c>
      <c r="Y33" s="25" t="str">
        <f t="shared" si="13"/>
        <v/>
      </c>
      <c r="Z33" s="25" t="str">
        <f t="shared" si="14"/>
        <v/>
      </c>
    </row>
    <row r="34" spans="1:26">
      <c r="A34" s="25" t="str">
        <f>IF('03_Tecnologie'!A33="","",'03_Tecnologie'!A33)</f>
        <v/>
      </c>
      <c r="B34" s="25" t="str">
        <f>IF($A34="","",'03_Tecnologie'!D33)</f>
        <v/>
      </c>
      <c r="C34" s="25" t="str">
        <f>IF($A34="","",'03_Tecnologie'!B33)</f>
        <v/>
      </c>
      <c r="D34" s="25" t="str">
        <f>IF($A34="","",'03_Tecnologie'!H33)</f>
        <v/>
      </c>
      <c r="E34" s="25" t="str">
        <f>IF($A34="","",'03_Tecnologie'!F33)</f>
        <v/>
      </c>
      <c r="F34" s="25" t="str">
        <f>IF($A34="","",'00_Portafoglio_Tecnologie'!F34)</f>
        <v/>
      </c>
      <c r="G34" s="25" t="str">
        <f>IF($A34="","",'00_Portafoglio_Tecnologie'!G34)</f>
        <v/>
      </c>
      <c r="H34" s="25" t="str">
        <f>IF($A34="","",'00_Portafoglio_Tecnologie'!H34)</f>
        <v/>
      </c>
      <c r="I34" s="25" t="str">
        <f>IF($A34="","",'00_Portafoglio_Tecnologie'!J34)</f>
        <v/>
      </c>
      <c r="J34" s="16" t="str">
        <f>IF($A34="","",'00_Scorecard'!R33)</f>
        <v/>
      </c>
      <c r="K34" s="25" t="str">
        <f t="shared" si="0"/>
        <v/>
      </c>
      <c r="L34" s="25" t="str">
        <f t="shared" si="1"/>
        <v/>
      </c>
      <c r="M34" s="25" t="str">
        <f t="shared" si="2"/>
        <v/>
      </c>
      <c r="N34" s="25" t="str">
        <f t="shared" si="3"/>
        <v/>
      </c>
      <c r="O34" s="25" t="str">
        <f t="shared" si="4"/>
        <v/>
      </c>
      <c r="P34" s="25" t="str">
        <f t="shared" si="5"/>
        <v/>
      </c>
      <c r="Q34" s="25" t="str">
        <f t="shared" si="6"/>
        <v/>
      </c>
      <c r="R34" s="25" t="str">
        <f t="shared" si="7"/>
        <v/>
      </c>
      <c r="S34" s="25" t="str">
        <f t="shared" si="8"/>
        <v/>
      </c>
      <c r="T34" s="17" t="str">
        <f t="shared" si="9"/>
        <v/>
      </c>
      <c r="U34" s="25" t="str">
        <f>IF($A34="","",COUNTIF($T$5:$T$35,"&gt;"&amp;$T34)+COUNTIF($T$5:$T34,$T34))</f>
        <v/>
      </c>
      <c r="V34" s="25" t="str">
        <f t="shared" si="10"/>
        <v/>
      </c>
      <c r="W34" s="25" t="str">
        <f t="shared" si="11"/>
        <v/>
      </c>
      <c r="X34" s="25" t="str">
        <f t="shared" si="12"/>
        <v/>
      </c>
      <c r="Y34" s="25" t="str">
        <f t="shared" si="13"/>
        <v/>
      </c>
      <c r="Z34" s="25" t="str">
        <f t="shared" si="14"/>
        <v/>
      </c>
    </row>
    <row r="35" spans="1:26">
      <c r="A35" s="25" t="str">
        <f>IF('03_Tecnologie'!A34="","",'03_Tecnologie'!A34)</f>
        <v/>
      </c>
      <c r="B35" s="25" t="str">
        <f>IF($A35="","",'03_Tecnologie'!D34)</f>
        <v/>
      </c>
      <c r="C35" s="25" t="str">
        <f>IF($A35="","",'03_Tecnologie'!B34)</f>
        <v/>
      </c>
      <c r="D35" s="25" t="str">
        <f>IF($A35="","",'03_Tecnologie'!H34)</f>
        <v/>
      </c>
      <c r="E35" s="25" t="str">
        <f>IF($A35="","",'03_Tecnologie'!F34)</f>
        <v/>
      </c>
      <c r="F35" s="25" t="str">
        <f>IF($A35="","",'00_Portafoglio_Tecnologie'!F35)</f>
        <v/>
      </c>
      <c r="G35" s="25" t="str">
        <f>IF($A35="","",'00_Portafoglio_Tecnologie'!G35)</f>
        <v/>
      </c>
      <c r="H35" s="25" t="str">
        <f>IF($A35="","",'00_Portafoglio_Tecnologie'!H35)</f>
        <v/>
      </c>
      <c r="I35" s="25" t="str">
        <f>IF($A35="","",'00_Portafoglio_Tecnologie'!J35)</f>
        <v/>
      </c>
      <c r="J35" s="16" t="str">
        <f>IF($A35="","",'00_Scorecard'!R34)</f>
        <v/>
      </c>
      <c r="K35" s="25" t="str">
        <f t="shared" si="0"/>
        <v/>
      </c>
      <c r="L35" s="25" t="str">
        <f t="shared" si="1"/>
        <v/>
      </c>
      <c r="M35" s="25" t="str">
        <f t="shared" si="2"/>
        <v/>
      </c>
      <c r="N35" s="25" t="str">
        <f t="shared" si="3"/>
        <v/>
      </c>
      <c r="O35" s="25" t="str">
        <f t="shared" si="4"/>
        <v/>
      </c>
      <c r="P35" s="25" t="str">
        <f t="shared" si="5"/>
        <v/>
      </c>
      <c r="Q35" s="25" t="str">
        <f t="shared" si="6"/>
        <v/>
      </c>
      <c r="R35" s="25" t="str">
        <f t="shared" si="7"/>
        <v/>
      </c>
      <c r="S35" s="25" t="str">
        <f t="shared" si="8"/>
        <v/>
      </c>
      <c r="T35" s="17" t="str">
        <f t="shared" si="9"/>
        <v/>
      </c>
      <c r="U35" s="25" t="str">
        <f>IF($A35="","",COUNTIF($T$5:$T$35,"&gt;"&amp;$T35)+COUNTIF($T$5:$T35,$T35))</f>
        <v/>
      </c>
      <c r="V35" s="25" t="str">
        <f t="shared" si="10"/>
        <v/>
      </c>
      <c r="W35" s="25" t="str">
        <f t="shared" si="11"/>
        <v/>
      </c>
      <c r="X35" s="25" t="str">
        <f t="shared" si="12"/>
        <v/>
      </c>
      <c r="Y35" s="25" t="str">
        <f t="shared" si="13"/>
        <v/>
      </c>
      <c r="Z35" s="25" t="str">
        <f t="shared" si="14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Donato Viggiano</cp:lastModifiedBy>
  <cp:revision/>
  <dcterms:created xsi:type="dcterms:W3CDTF">2026-03-29T10:58:00Z</dcterms:created>
  <dcterms:modified xsi:type="dcterms:W3CDTF">2026-04-23T06:46:39Z</dcterms:modified>
  <cp:category/>
  <cp:contentStatus/>
</cp:coreProperties>
</file>